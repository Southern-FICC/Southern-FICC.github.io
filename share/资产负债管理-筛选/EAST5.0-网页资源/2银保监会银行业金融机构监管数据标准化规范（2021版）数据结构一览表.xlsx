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060" tabRatio="601" activeTab="4"/>
  </bookViews>
  <sheets>
    <sheet name="表格说明" sheetId="1" r:id="rId1"/>
    <sheet name="表结构总览" sheetId="2" r:id="rId2"/>
    <sheet name="数据元说明" sheetId="3" r:id="rId3"/>
    <sheet name="数据结构" sheetId="4" r:id="rId4"/>
    <sheet name="自营报送范围" sheetId="5" r:id="rId5"/>
    <sheet name="即期及衍生品交易信息表填报示例" sheetId="6" r:id="rId6"/>
  </sheets>
  <externalReferences>
    <externalReference r:id="rId8"/>
  </externalReferences>
  <definedNames>
    <definedName name="_xlnm._FilterDatabase" localSheetId="3" hidden="1">数据结构!$A$4:$P$1924</definedName>
    <definedName name="_xlnm._FilterDatabase" localSheetId="1" hidden="1">表结构总览!$A$1:$H$82</definedName>
    <definedName name="_xlnm._FilterDatabase" localSheetId="2" hidden="1">数据元说明!$4:$5</definedName>
    <definedName name="_xlnm.Print_Area" localSheetId="1">表结构总览!$A$1:$H$82</definedName>
    <definedName name="_xlnm.Print_Area" localSheetId="3">数据结构!$A$2:$P$1924</definedName>
    <definedName name="_xlnm.Print_Area" localSheetId="2">数据元说明!$A$1:$F$320</definedName>
    <definedName name="_xlnm.Print_Area" localSheetId="4">自营报送范围!$A$1:$C$63</definedName>
    <definedName name="Z_F0CFB77D_A0AA_42D2_9325_13E6710D5843_.wvu.FilterData" localSheetId="3" hidden="1">数据结构!$A$4:$M$1439</definedName>
    <definedName name="Z_F0CFB77D_A0AA_42D2_9325_13E6710D5843_.wvu.FilterData" localSheetId="2" hidden="1">数据元说明!$5:$209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<sst xmlns="http://schemas.openxmlformats.org/spreadsheetml/2006/main" count="16553" uniqueCount="4523">
  <si>
    <r>
      <rPr>
        <b/>
        <sz val="18"/>
        <rFont val="宋体"/>
        <charset val="134"/>
      </rPr>
      <t>中国银保监会银行业金融机构监管数据标准化规范</t>
    </r>
    <r>
      <rPr>
        <b/>
        <sz val="18"/>
        <rFont val="Times New Roman"/>
        <charset val="134"/>
      </rPr>
      <t xml:space="preserve">
</t>
    </r>
    <r>
      <rPr>
        <b/>
        <sz val="18"/>
        <rFont val="宋体"/>
        <charset val="134"/>
      </rPr>
      <t>数据结构一览表说明</t>
    </r>
  </si>
  <si>
    <r>
      <rPr>
        <sz val="14"/>
        <rFont val="Times New Roman"/>
        <charset val="134"/>
      </rPr>
      <t xml:space="preserve">1. </t>
    </r>
    <r>
      <rPr>
        <sz val="14"/>
        <rFont val="宋体"/>
        <charset val="134"/>
      </rPr>
      <t>标准化数据结构以表形式组织。一个或多个表归属于一个分类，每个表包含多个数据项。</t>
    </r>
  </si>
  <si>
    <r>
      <rPr>
        <sz val="14"/>
        <rFont val="Times New Roman"/>
        <charset val="134"/>
      </rPr>
      <t xml:space="preserve">2. </t>
    </r>
    <r>
      <rPr>
        <sz val="14"/>
        <rFont val="宋体"/>
        <charset val="134"/>
      </rPr>
      <t>数据项已按表进行分类组合，通过使用最左侧导航按钮，可以展开或隐藏各表数据项，便于查看。</t>
    </r>
  </si>
  <si>
    <r>
      <rPr>
        <sz val="14"/>
        <rFont val="Times New Roman"/>
        <charset val="134"/>
      </rPr>
      <t xml:space="preserve">3. </t>
    </r>
    <r>
      <rPr>
        <sz val="14"/>
        <rFont val="宋体"/>
        <charset val="134"/>
      </rPr>
      <t>数据结构备注中</t>
    </r>
    <r>
      <rPr>
        <sz val="14"/>
        <rFont val="Times New Roman"/>
        <charset val="134"/>
      </rPr>
      <t>PK</t>
    </r>
    <r>
      <rPr>
        <sz val="14"/>
        <rFont val="宋体"/>
        <charset val="134"/>
      </rPr>
      <t>为监管部门作为唯一性约束的参考条件，含有多个</t>
    </r>
    <r>
      <rPr>
        <sz val="14"/>
        <rFont val="Times New Roman"/>
        <charset val="134"/>
      </rPr>
      <t>PK</t>
    </r>
    <r>
      <rPr>
        <sz val="14"/>
        <rFont val="宋体"/>
        <charset val="134"/>
      </rPr>
      <t>的，表示联合主键的参考，并不作为主外键唯一性约束的要求，银行机构可根据数据实际入库情况作出调整。</t>
    </r>
  </si>
  <si>
    <r>
      <rPr>
        <sz val="14"/>
        <rFont val="Times New Roman"/>
        <charset val="134"/>
      </rPr>
      <t>4. “</t>
    </r>
    <r>
      <rPr>
        <sz val="14"/>
        <rFont val="宋体"/>
        <charset val="134"/>
      </rPr>
      <t>数据元说明</t>
    </r>
    <r>
      <rPr>
        <sz val="14"/>
        <rFont val="Times New Roman"/>
        <charset val="134"/>
      </rPr>
      <t>”</t>
    </r>
    <r>
      <rPr>
        <sz val="14"/>
        <rFont val="宋体"/>
        <charset val="134"/>
      </rPr>
      <t>定义数据项的类型及长度的表示形式。</t>
    </r>
  </si>
  <si>
    <r>
      <rPr>
        <sz val="14"/>
        <rFont val="Times New Roman"/>
        <charset val="134"/>
      </rPr>
      <t xml:space="preserve">5. </t>
    </r>
    <r>
      <rPr>
        <sz val="14"/>
        <rFont val="宋体"/>
        <charset val="134"/>
      </rPr>
      <t>数据项中备注</t>
    </r>
    <r>
      <rPr>
        <sz val="14"/>
        <rFont val="Times New Roman"/>
        <charset val="134"/>
      </rPr>
      <t>“</t>
    </r>
    <r>
      <rPr>
        <sz val="14"/>
        <rFont val="宋体"/>
        <charset val="134"/>
      </rPr>
      <t>关联数据项：</t>
    </r>
    <r>
      <rPr>
        <sz val="14"/>
        <rFont val="Times New Roman"/>
        <charset val="134"/>
      </rPr>
      <t>[</t>
    </r>
    <r>
      <rPr>
        <sz val="14"/>
        <rFont val="宋体"/>
        <charset val="134"/>
      </rPr>
      <t>表名</t>
    </r>
    <r>
      <rPr>
        <sz val="14"/>
        <rFont val="Times New Roman"/>
        <charset val="134"/>
      </rPr>
      <t>].[</t>
    </r>
    <r>
      <rPr>
        <sz val="14"/>
        <rFont val="宋体"/>
        <charset val="134"/>
      </rPr>
      <t>数据项名</t>
    </r>
    <r>
      <rPr>
        <sz val="14"/>
        <rFont val="Times New Roman"/>
        <charset val="134"/>
      </rPr>
      <t>]”</t>
    </r>
    <r>
      <rPr>
        <sz val="14"/>
        <rFont val="宋体"/>
        <charset val="134"/>
      </rPr>
      <t>表示该数据项取值的参考数据项。例如</t>
    </r>
    <r>
      <rPr>
        <sz val="14"/>
        <rFont val="Times New Roman"/>
        <charset val="134"/>
      </rPr>
      <t>“</t>
    </r>
    <r>
      <rPr>
        <sz val="14"/>
        <rFont val="宋体"/>
        <charset val="134"/>
      </rPr>
      <t>关联数据项</t>
    </r>
    <r>
      <rPr>
        <sz val="14"/>
        <rFont val="Times New Roman"/>
        <charset val="134"/>
      </rPr>
      <t>:</t>
    </r>
    <r>
      <rPr>
        <sz val="14"/>
        <rFont val="宋体"/>
        <charset val="134"/>
      </rPr>
      <t>机构信息表</t>
    </r>
    <r>
      <rPr>
        <sz val="14"/>
        <rFont val="Times New Roman"/>
        <charset val="134"/>
      </rPr>
      <t>.</t>
    </r>
    <r>
      <rPr>
        <sz val="14"/>
        <rFont val="宋体"/>
        <charset val="134"/>
      </rPr>
      <t>内部机构号</t>
    </r>
    <r>
      <rPr>
        <sz val="14"/>
        <rFont val="Times New Roman"/>
        <charset val="134"/>
      </rPr>
      <t>”</t>
    </r>
    <r>
      <rPr>
        <sz val="14"/>
        <rFont val="宋体"/>
        <charset val="134"/>
      </rPr>
      <t>表示该数据项应和</t>
    </r>
    <r>
      <rPr>
        <sz val="14"/>
        <rFont val="Times New Roman"/>
        <charset val="134"/>
      </rPr>
      <t>“</t>
    </r>
    <r>
      <rPr>
        <sz val="14"/>
        <rFont val="宋体"/>
        <charset val="134"/>
      </rPr>
      <t>机构信息表</t>
    </r>
    <r>
      <rPr>
        <sz val="14"/>
        <rFont val="Times New Roman"/>
        <charset val="134"/>
      </rPr>
      <t>”</t>
    </r>
    <r>
      <rPr>
        <sz val="14"/>
        <rFont val="宋体"/>
        <charset val="134"/>
      </rPr>
      <t>中的</t>
    </r>
    <r>
      <rPr>
        <sz val="14"/>
        <rFont val="Times New Roman"/>
        <charset val="134"/>
      </rPr>
      <t>“</t>
    </r>
    <r>
      <rPr>
        <sz val="14"/>
        <rFont val="宋体"/>
        <charset val="134"/>
      </rPr>
      <t>内部机构号</t>
    </r>
    <r>
      <rPr>
        <sz val="14"/>
        <rFont val="Times New Roman"/>
        <charset val="134"/>
      </rPr>
      <t>”</t>
    </r>
    <r>
      <rPr>
        <sz val="14"/>
        <rFont val="宋体"/>
        <charset val="134"/>
      </rPr>
      <t>数据项取值一致。</t>
    </r>
  </si>
  <si>
    <r>
      <rPr>
        <sz val="14"/>
        <rFont val="Times New Roman"/>
        <charset val="134"/>
      </rPr>
      <t xml:space="preserve">6.  Cn </t>
    </r>
    <r>
      <rPr>
        <sz val="14"/>
        <rFont val="宋体"/>
        <charset val="134"/>
      </rPr>
      <t>表示</t>
    </r>
    <r>
      <rPr>
        <sz val="14"/>
        <rFont val="Times New Roman"/>
        <charset val="134"/>
      </rPr>
      <t>n</t>
    </r>
    <r>
      <rPr>
        <sz val="14"/>
        <rFont val="宋体"/>
        <charset val="134"/>
      </rPr>
      <t>个字节的固定长度，相应的字符长度由字符编码集确定。</t>
    </r>
    <r>
      <rPr>
        <sz val="14"/>
        <rFont val="Times New Roman"/>
        <charset val="134"/>
      </rPr>
      <t>UTF-8</t>
    </r>
    <r>
      <rPr>
        <sz val="14"/>
        <rFont val="宋体"/>
        <charset val="134"/>
      </rPr>
      <t>的中文字符占</t>
    </r>
    <r>
      <rPr>
        <sz val="14"/>
        <rFont val="Times New Roman"/>
        <charset val="134"/>
      </rPr>
      <t>3</t>
    </r>
    <r>
      <rPr>
        <sz val="14"/>
        <rFont val="宋体"/>
        <charset val="134"/>
      </rPr>
      <t>个字节。</t>
    </r>
  </si>
  <si>
    <r>
      <rPr>
        <sz val="14"/>
        <rFont val="Times New Roman"/>
        <charset val="134"/>
      </rPr>
      <t xml:space="preserve">7. C..n </t>
    </r>
    <r>
      <rPr>
        <sz val="14"/>
        <rFont val="宋体"/>
        <charset val="134"/>
      </rPr>
      <t>表示最多为</t>
    </r>
    <r>
      <rPr>
        <sz val="14"/>
        <rFont val="Times New Roman"/>
        <charset val="134"/>
      </rPr>
      <t>n</t>
    </r>
    <r>
      <rPr>
        <sz val="14"/>
        <rFont val="宋体"/>
        <charset val="134"/>
      </rPr>
      <t>个字节的可变长度。</t>
    </r>
    <r>
      <rPr>
        <sz val="14"/>
        <rFont val="Times New Roman"/>
        <charset val="134"/>
      </rPr>
      <t>UTF-8</t>
    </r>
    <r>
      <rPr>
        <sz val="14"/>
        <rFont val="宋体"/>
        <charset val="134"/>
      </rPr>
      <t>的中文字符占</t>
    </r>
    <r>
      <rPr>
        <sz val="14"/>
        <rFont val="Times New Roman"/>
        <charset val="134"/>
      </rPr>
      <t>3</t>
    </r>
    <r>
      <rPr>
        <sz val="14"/>
        <rFont val="宋体"/>
        <charset val="134"/>
      </rPr>
      <t>个字节。</t>
    </r>
  </si>
  <si>
    <r>
      <rPr>
        <sz val="14"/>
        <rFont val="Times New Roman"/>
        <charset val="134"/>
      </rPr>
      <t xml:space="preserve">8. I </t>
    </r>
    <r>
      <rPr>
        <sz val="14"/>
        <rFont val="宋体"/>
        <charset val="134"/>
      </rPr>
      <t>表示整数可计算形式。</t>
    </r>
  </si>
  <si>
    <r>
      <rPr>
        <sz val="14"/>
        <rFont val="Times New Roman"/>
        <charset val="134"/>
      </rPr>
      <t xml:space="preserve">9. I..n </t>
    </r>
    <r>
      <rPr>
        <sz val="14"/>
        <rFont val="宋体"/>
        <charset val="134"/>
      </rPr>
      <t>表示最多为</t>
    </r>
    <r>
      <rPr>
        <sz val="14"/>
        <rFont val="Times New Roman"/>
        <charset val="134"/>
      </rPr>
      <t>n</t>
    </r>
    <r>
      <rPr>
        <sz val="14"/>
        <rFont val="宋体"/>
        <charset val="134"/>
      </rPr>
      <t>位的整数可计算形式。</t>
    </r>
  </si>
  <si>
    <r>
      <rPr>
        <sz val="14"/>
        <rFont val="Times New Roman"/>
        <charset val="134"/>
      </rPr>
      <t xml:space="preserve">10. Dw.d </t>
    </r>
    <r>
      <rPr>
        <sz val="14"/>
        <rFont val="宋体"/>
        <charset val="134"/>
      </rPr>
      <t>表示十进制小数可计算形式，</t>
    </r>
    <r>
      <rPr>
        <sz val="14"/>
        <rFont val="Times New Roman"/>
        <charset val="134"/>
      </rPr>
      <t>w</t>
    </r>
    <r>
      <rPr>
        <sz val="14"/>
        <rFont val="宋体"/>
        <charset val="134"/>
      </rPr>
      <t>表示包含小数点前后字符位在内的整个字段最多字符位数，</t>
    </r>
    <r>
      <rPr>
        <sz val="14"/>
        <rFont val="Times New Roman"/>
        <charset val="134"/>
      </rPr>
      <t>d</t>
    </r>
    <r>
      <rPr>
        <sz val="14"/>
        <rFont val="宋体"/>
        <charset val="134"/>
      </rPr>
      <t>表示小数点后的最多字符位数。</t>
    </r>
  </si>
  <si>
    <r>
      <rPr>
        <sz val="14"/>
        <rFont val="Times New Roman"/>
        <charset val="134"/>
      </rPr>
      <t xml:space="preserve">11. F </t>
    </r>
    <r>
      <rPr>
        <sz val="14"/>
        <rFont val="宋体"/>
        <charset val="134"/>
      </rPr>
      <t>表示任意长度浮点数。</t>
    </r>
  </si>
  <si>
    <r>
      <rPr>
        <sz val="14"/>
        <rFont val="Times New Roman"/>
        <charset val="134"/>
      </rPr>
      <t>12.</t>
    </r>
    <r>
      <rPr>
        <sz val="14"/>
        <rFont val="宋体"/>
        <charset val="134"/>
      </rPr>
      <t>本规范中涉及到的“明细科目编号”及“明细科目名称”均为该笔业务数据关联的主要会计科目名称，同一条数据涉及多个会计科目的仅报送该笔业务指向的主要会计科目，并不作为总分核对的分类指标。</t>
    </r>
  </si>
  <si>
    <t>数据治理体系公众号推荐</t>
  </si>
  <si>
    <t>主题</t>
  </si>
  <si>
    <t>主题编号</t>
  </si>
  <si>
    <t>数据表代码</t>
  </si>
  <si>
    <t>数据表名</t>
  </si>
  <si>
    <t>数据表编号</t>
  </si>
  <si>
    <t>报送模式</t>
  </si>
  <si>
    <t>报送要求</t>
  </si>
  <si>
    <t>修改说明</t>
  </si>
  <si>
    <t>公共信息</t>
  </si>
  <si>
    <t>001</t>
  </si>
  <si>
    <t>JGXXB</t>
  </si>
  <si>
    <t>机构信息表</t>
  </si>
  <si>
    <t>101</t>
  </si>
  <si>
    <t>全量表，报送截至采集日有效的数据，以及上一采集日至采集日期间结清、失效、终结等所有视为终态的数据。</t>
  </si>
  <si>
    <t>本表报送银行机构或业务中心信息，业务中心包含管理机构、营业机构、内设机构、虚拟机构。对于营业机构、内设机构、虚拟机构，银行机构代码、金融许可证号等字段可以取上级机构或者本级实体机构对应的信息（优先取本级实体机构）。境外机构也需要报送，根据实际情况无法填报的字段可以为空。子公司不必报送（理财子公司应报送）。内设机构标准：承担业务归属的机构。机构永久关停、撤销等情况的，在报送最后状态的次月可不再报送。</t>
  </si>
  <si>
    <t>修改</t>
  </si>
  <si>
    <t>YGB</t>
  </si>
  <si>
    <t>员工表</t>
  </si>
  <si>
    <t>102</t>
  </si>
  <si>
    <t>在职类员工需每月报送。员工状态转为离职的，在报送该员工最后状态的次月可不再报送。子公司员工不用报送（理财子公司应报送）。</t>
  </si>
  <si>
    <t>GYB</t>
  </si>
  <si>
    <t>柜员表</t>
  </si>
  <si>
    <t>103</t>
  </si>
  <si>
    <r>
      <rPr>
        <sz val="12"/>
        <rFont val="宋体"/>
        <charset val="134"/>
      </rPr>
      <t>包含实体柜员和虚拟柜员。为虚拟柜员时，工号、银行机构代码等字段依业务实际填列（若无则置空），如报送虚拟柜员，则通过</t>
    </r>
    <r>
      <rPr>
        <sz val="12"/>
        <rFont val="Times New Roman"/>
        <charset val="134"/>
      </rPr>
      <t>“</t>
    </r>
    <r>
      <rPr>
        <sz val="12"/>
        <rFont val="宋体"/>
        <charset val="134"/>
      </rPr>
      <t>柜员类型</t>
    </r>
    <r>
      <rPr>
        <sz val="12"/>
        <rFont val="Times New Roman"/>
        <charset val="134"/>
      </rPr>
      <t>”</t>
    </r>
    <r>
      <rPr>
        <sz val="12"/>
        <rFont val="宋体"/>
        <charset val="134"/>
      </rPr>
      <t>字段进行区分；柜员状态转为注销、无效等时，可在报送该条数据最终状态的次月不再报送。</t>
    </r>
  </si>
  <si>
    <t>GWXXB</t>
  </si>
  <si>
    <t>岗位信息表</t>
  </si>
  <si>
    <t>104</t>
  </si>
  <si>
    <t>银行机构内设立的所有岗位的相关信息，至少应包括核心和人力资源系统中的所有岗位信息。撤销的岗位于次月不再报送。</t>
  </si>
  <si>
    <t>JGGXB</t>
  </si>
  <si>
    <t>机构关系表</t>
  </si>
  <si>
    <t>105</t>
  </si>
  <si>
    <t>报送范围应包括所有进行账务处理的机构，至少应包括总行、分行、支行等实体机构和省级汇总、地市级汇总、法人汇总、分行汇总。会计全科目表中的机构在机构关系表中都需要报送，每次全量报送。</t>
  </si>
  <si>
    <t>GDJGLFXXB</t>
  </si>
  <si>
    <t>股东及关联方信息表</t>
  </si>
  <si>
    <t>106</t>
  </si>
  <si>
    <t>填报银行股东及银行关联方相关信息。股东：对于已上市银行，需填报持有或控制1%以上股份或表决权，及虽不足1%但对商业银行经营管理有重大影响的股东。未上市银行机构应报送所有的对公、个人股东信息。包括金融产品。
关联方：参照《银行保险机构关联交易管理办法》（中国银行保险监督管理委员会令〔2022〕1号）第二章规定。</t>
  </si>
  <si>
    <t>客户信息</t>
  </si>
  <si>
    <t>002</t>
  </si>
  <si>
    <t>GRJCXXB</t>
  </si>
  <si>
    <t>个人基础信息表</t>
  </si>
  <si>
    <t>201</t>
  </si>
  <si>
    <t>报送范围包括本行客户及本行客户的担保、配偶、亲属关系所涉及到的个人信息。包括核心系统、客户关系系统、信用卡系统等各类信息系统采集的个人客户信息。</t>
  </si>
  <si>
    <t>GRKHGXB</t>
  </si>
  <si>
    <t>个人客户关系表</t>
  </si>
  <si>
    <t>202</t>
  </si>
  <si>
    <t>个人客户的所有关联关系，包括个人对个人、个人对对公的相关关联关系。本人为本人担保的关系不报送。</t>
  </si>
  <si>
    <t>DGKHXXB</t>
  </si>
  <si>
    <t>对公客户信息表</t>
  </si>
  <si>
    <t>203</t>
  </si>
  <si>
    <t>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</si>
  <si>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DGKHCWXXB</t>
  </si>
  <si>
    <t>对公客户财务信息表</t>
  </si>
  <si>
    <t>204</t>
  </si>
  <si>
    <t>增量表，报送上一采集日至采集日期间新增的数据。</t>
  </si>
  <si>
    <t>报送本月源系统中新收集的对公客户财务信息。对于非授信客户、负债类客户、离岸对公客户、机关事业单位、未达到税务部门建账标准的个体工商户等无需报送。</t>
  </si>
  <si>
    <t>新增</t>
  </si>
  <si>
    <t>JTKHB</t>
  </si>
  <si>
    <t>集团客户表</t>
  </si>
  <si>
    <t>205</t>
  </si>
  <si>
    <t>报送在本行纳入集团授信的客户信息，包括供应链客户信息。以集团成员为最小粒度报送。同业集团客户信息无需报送。</t>
  </si>
  <si>
    <t>GLGXB</t>
  </si>
  <si>
    <t>关联关系表</t>
  </si>
  <si>
    <t>206</t>
  </si>
  <si>
    <t>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</si>
  <si>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卡片信息</t>
  </si>
  <si>
    <t>003</t>
  </si>
  <si>
    <t>JJKXXB</t>
  </si>
  <si>
    <t>借记卡信息表</t>
  </si>
  <si>
    <t>301</t>
  </si>
  <si>
    <t>个人和对公客户在银行机构开办的借记卡信息，指只能存取款而无法透支的卡片信息。当卡片状态为“注销”时，可在报送最后状态的次月不再报送。</t>
  </si>
  <si>
    <t>CZXXB</t>
  </si>
  <si>
    <t>存折信息表</t>
  </si>
  <si>
    <t>302</t>
  </si>
  <si>
    <t>个人和对公客户在银行机构开办的存折信息，包括存折和存单。当存折状态为“注销”时，可在报送最后状态的次月不再报送。</t>
  </si>
  <si>
    <t>SDSHXXB</t>
  </si>
  <si>
    <t>收单商户信息表</t>
  </si>
  <si>
    <t>303</t>
  </si>
  <si>
    <t>报送本行因线下线上收单业务而拓展的线下POS终端、线上终端以及二维码商户的信息。同一商户存在多个POS终端的，按多条报送。商户状态为“失效”或“注销”等状态的，在报送最后状态的次月可不再报送。</t>
  </si>
  <si>
    <t>会计记账信息</t>
  </si>
  <si>
    <t>004</t>
  </si>
  <si>
    <t>ZZKJQKMB</t>
  </si>
  <si>
    <t>总账会计全科目表</t>
  </si>
  <si>
    <t>401</t>
  </si>
  <si>
    <t>本表报送银行机构会计记账使用的有余额的或余额变动的会计科目。只报境内银行（不报子公司），包括总行、一级分行、二级分行、一级支行（最多报4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t>
  </si>
  <si>
    <t>NBKMDZB</t>
  </si>
  <si>
    <t>内部科目对照表</t>
  </si>
  <si>
    <t>402</t>
  </si>
  <si>
    <t>本表报送总账会计全科目的上下级对应关系，以会计科目为最小粒度报送。内部科目对照表由法人机构统一确定，分支机构按同一内容报送。报送科目必须与当期《总账会计全科目表》中的科目一致。此表首次采集为全量采集，后续采集如有变化，需全量报送。</t>
  </si>
  <si>
    <t>GRCKFHZ</t>
  </si>
  <si>
    <t>个人存款分户账</t>
  </si>
  <si>
    <t>403</t>
  </si>
  <si>
    <t>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t>
  </si>
  <si>
    <t>GRCKFHZMX</t>
  </si>
  <si>
    <t>个人存款分户账明细记录</t>
  </si>
  <si>
    <t>404</t>
  </si>
  <si>
    <t>除计息、扣利息税外，所有影响个人存款账户余额变动的交易信息，包括结息交易，不包括查询交易。</t>
  </si>
  <si>
    <t>DGCKFHZ</t>
  </si>
  <si>
    <t>对公存款分户账</t>
  </si>
  <si>
    <t>405</t>
  </si>
  <si>
    <t>填报银行机构吸收的除个人以外的机构（包括企业、财政部门、社保基金、部队、住房公积金、社会团体、同业机构等）开立的所有存款账户信息。个人存款账户和对公存款账户按照《人民币银行结算账户管理办法》（中国人民银行令2003年第5号）划分。个体工商户、私营业主以营业执照等证件开立的对公账户计入本表，以个人名义开立的账户不计入本表。以存款账号为最小颗粒报送，如账户注销或终结，在报送该账户最终状态后的次月可不再报送。</t>
  </si>
  <si>
    <t>DGCKFHZMX</t>
  </si>
  <si>
    <t>对公存款分户账明细记录</t>
  </si>
  <si>
    <t>406</t>
  </si>
  <si>
    <t>除计息、扣利息税外，所有影响对公存款账户余额变动的交易信息，包括结息交易，不包括查询交易。</t>
  </si>
  <si>
    <t>NBFHZ</t>
  </si>
  <si>
    <t>内部分户账</t>
  </si>
  <si>
    <t>407</t>
  </si>
  <si>
    <t>根据会计核算科目，除单列账之外的科目原则上都归入内部账采集；单列账报送至信用卡、对公/个人等分户账中；资本账户需要报送。以内部分户账号为最小颗粒报送，如账户注销或终结，在报送该账户最终状态后的次月可不再报送。交易与核算分离的机构，应根据总账科目中划分出对应内部分户账性质的科目，自定义内部分户账号进行报送。</t>
  </si>
  <si>
    <t>NBFHZMX</t>
  </si>
  <si>
    <t>内部分户账明细记录</t>
  </si>
  <si>
    <t>408</t>
  </si>
  <si>
    <r>
      <rPr>
        <sz val="12"/>
        <rFont val="宋体"/>
        <charset val="134"/>
      </rPr>
      <t>根据会计核算科目，除单列账之外的科目原则上都归入内部账采集；单列账报送至信用卡、对公</t>
    </r>
    <r>
      <rPr>
        <sz val="12"/>
        <rFont val="Times New Roman"/>
        <charset val="134"/>
      </rPr>
      <t>/</t>
    </r>
    <r>
      <rPr>
        <sz val="12"/>
        <rFont val="宋体"/>
        <charset val="134"/>
      </rPr>
      <t>个人等分户账中；资本账户需要报送。</t>
    </r>
  </si>
  <si>
    <t>GRXDFHZ</t>
  </si>
  <si>
    <t>个人信贷分户账</t>
  </si>
  <si>
    <t>409</t>
  </si>
  <si>
    <t>填报以个人名义在银行机构所开立的信贷账户信息。不报送信用卡业务。表外业务只报送委托贷款（非现金管理项下），其他不报送。个体工商户、私营业主以个人名义开立的信贷分户账计入本表，以营业执照等证件开立的对公信贷分户账不计入本表。以信贷借据号为最小粒度报送，借据结清、核销或转让的，可在报送最后状态的次月不再报送。账户状态为“销户”时，也可于次月不再报送。</t>
  </si>
  <si>
    <t>GRXDFHZMX</t>
  </si>
  <si>
    <t>个人信贷分户账明细记录</t>
  </si>
  <si>
    <t>410</t>
  </si>
  <si>
    <t>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</si>
  <si>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DGXDFHZ</t>
  </si>
  <si>
    <t>对公信贷分户账</t>
  </si>
  <si>
    <t>411</t>
  </si>
  <si>
    <t>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t>
  </si>
  <si>
    <t>DGXDFHZMX</t>
  </si>
  <si>
    <t>对公信贷分户账明细记录</t>
  </si>
  <si>
    <t>412</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</si>
  <si>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</si>
  <si>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各项贷款</t>
  </si>
  <si>
    <t>005</t>
  </si>
  <si>
    <t>XDHTB</t>
  </si>
  <si>
    <t>信贷合同表</t>
  </si>
  <si>
    <t>501</t>
  </si>
  <si>
    <t>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t>
  </si>
  <si>
    <t>报送范围应至少包括1104中：各项贷款+非现金管理项下的委托贷款-信用卡。如，个人贷款、对公贷款、票据贴现、买断式转贴现、贸易融资业务、融资租赁业务、委托贷款（非现金管理项下）对应的业务合同，以及各项垫款对应的原业务合同。委托贷款中现金管理项下委托贷款不报送，其他表外业务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t>
  </si>
  <si>
    <t>HLWDKHTFJB</t>
  </si>
  <si>
    <t>互联网贷款合同附加表</t>
  </si>
  <si>
    <t>502</t>
  </si>
  <si>
    <t>本表报送所有互联网贷款合同的附加信息。互联网贷款的认定参照《商业银行互联网贷款管理暂行办法》。互联网贷款的发放明细应该报送至相对应的信贷业务借据表、信贷合同表、信贷分户账以及信贷分户账明细记录中。已撤销、失效、终结的合同在报送合同最后状态的次月可不再报送。</t>
  </si>
  <si>
    <t>GRXDYWJJB</t>
  </si>
  <si>
    <t>个人信贷业务借据表</t>
  </si>
  <si>
    <t>503</t>
  </si>
  <si>
    <t>所有以个人名义在信贷业务中签订的借据信息。个体工商户、私营业主以个人名义办理的贷款的计入本表，以机构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t>
  </si>
  <si>
    <t>DGXDYWJJB</t>
  </si>
  <si>
    <t>对公信贷业务借据表</t>
  </si>
  <si>
    <t>504</t>
  </si>
  <si>
    <t>所有以机构名义在信贷业务中签订的借据信息。个体工商户、私营业主以机构名义办理的贷款计入本表，以个人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转贴、二级市场福费廷业务的借款人按照交易对手（同业）填报，贴现和信用证下融资的借款人按照贴现申请人、信用证融资人填报。借据状态为结清、核销、转让的可在报送最后状态的次月不再报送。</t>
  </si>
  <si>
    <t>STZFXXB</t>
  </si>
  <si>
    <t>受托支付信息表</t>
  </si>
  <si>
    <t>505</t>
  </si>
  <si>
    <t>《个人信贷业务借据表》和《对公信贷业务借据表》中放款方式为“受托支付”或“混合支付”的，在该表中报送受托支付对象信息。</t>
  </si>
  <si>
    <t>XMDKXXB</t>
  </si>
  <si>
    <t>项目贷款信息表</t>
  </si>
  <si>
    <t>506</t>
  </si>
  <si>
    <t>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</si>
  <si>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YTDKXXB</t>
  </si>
  <si>
    <t>银团贷款信息表</t>
  </si>
  <si>
    <t>507</t>
  </si>
  <si>
    <t>银（社）团贷款信息。以信贷借据号为最小颗粒报送，同一合同下多笔借据的按多条报送。已结清、核销的数据在次月不再报送。</t>
  </si>
  <si>
    <t>PJTXB</t>
  </si>
  <si>
    <t>票据贴现表</t>
  </si>
  <si>
    <t>508</t>
  </si>
  <si>
    <t>填报机构对客户办理的商业票据贴现，不包括对金融机构办理的买断式转贴现业务。票据状态为“卖断”、“解付”或“核销”的数据，在报送票据最后状态的次月可不再报送。</t>
  </si>
  <si>
    <t>PJZTXB</t>
  </si>
  <si>
    <t>票据转贴现表</t>
  </si>
  <si>
    <t>509</t>
  </si>
  <si>
    <t>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</si>
  <si>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MYRZYWB</t>
  </si>
  <si>
    <t>贸易融资业务表</t>
  </si>
  <si>
    <t>510</t>
  </si>
  <si>
    <t>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t>
  </si>
  <si>
    <t>RZZLYWB</t>
  </si>
  <si>
    <t>融资租赁业务表</t>
  </si>
  <si>
    <t>511</t>
  </si>
  <si>
    <t>填报机构与租赁公司合作，购买承租人指定租赁物件，与承租人签订租赁合同，待合同期满后租赁物资产所有权转移给承租人的一类业务。报送范围：参照1104报表G01_III[1.5融资租赁]填报口径。贷款状态为结清、核销、转让的，可在报送最终状态的次月不再报送。</t>
  </si>
  <si>
    <t>DKDJB</t>
  </si>
  <si>
    <t>垫款登记表</t>
  </si>
  <si>
    <t>512</t>
  </si>
  <si>
    <t>填报信用证、承兑汇票、保函、贵金属租赁等业务产生的各项垫款信息，相关业务定义参照1104报表《各项垫款情况表》。垫款状态为“结清”、“转让”、“核销”的，在报送最后状态的次月可不再报送。</t>
  </si>
  <si>
    <t>HLWDKHZXYB</t>
  </si>
  <si>
    <t>互联网贷款合作协议表</t>
  </si>
  <si>
    <t>513</t>
  </si>
  <si>
    <t>本表报送机构与合作方签订的互联网贷款合作协议信息。互联网贷款的认定参照《商业银行互联网贷款管理暂行办法》。已终止的合作协议于报送协议最后状态的次月不再报送。</t>
  </si>
  <si>
    <t>表内外担保信息</t>
  </si>
  <si>
    <t>006</t>
  </si>
  <si>
    <t>BNWYWDBHTB</t>
  </si>
  <si>
    <t>表内外业务担保合同表</t>
  </si>
  <si>
    <t>601</t>
  </si>
  <si>
    <t>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</si>
  <si>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BNWYWDBR</t>
  </si>
  <si>
    <t>表内外业务担保人</t>
  </si>
  <si>
    <t>602</t>
  </si>
  <si>
    <t>担保合同中约定的担保人信息。同一份担保合同有多个担保人的，每个担保人填写一条记录。失效担保合同的担保人于次月不再报送。</t>
  </si>
  <si>
    <t>BNWYWDZYW</t>
  </si>
  <si>
    <t>表内外业务抵质押物</t>
  </si>
  <si>
    <t>603</t>
  </si>
  <si>
    <t>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</si>
  <si>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信贷管理信息</t>
  </si>
  <si>
    <t>007</t>
  </si>
  <si>
    <t>SXXXB</t>
  </si>
  <si>
    <t>授信信息表</t>
  </si>
  <si>
    <t>701</t>
  </si>
  <si>
    <r>
      <rPr>
        <sz val="12"/>
        <rFont val="宋体"/>
        <charset val="134"/>
      </rPr>
      <t xml:space="preserve">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t>
    </r>
    <r>
      <rPr>
        <sz val="12"/>
        <rFont val="Times New Roman"/>
        <charset val="134"/>
      </rPr>
      <t>1.</t>
    </r>
    <r>
      <rPr>
        <sz val="12"/>
        <rFont val="宋体"/>
        <charset val="134"/>
      </rPr>
      <t xml:space="preserve">按授信协议为最细颗粒填报，有授信的客户都需要报送，如低风险额度授信都需要填报授信信息。
</t>
    </r>
    <r>
      <rPr>
        <sz val="12"/>
        <rFont val="Times New Roman"/>
        <charset val="134"/>
      </rPr>
      <t>2.</t>
    </r>
    <r>
      <rPr>
        <sz val="12"/>
        <rFont val="宋体"/>
        <charset val="134"/>
      </rPr>
      <t xml:space="preserve">表内、表外、代管理的信贷资产均需报送，如：本行信贷资产转让后由本行代管的授信信息仍需报送。
</t>
    </r>
    <r>
      <rPr>
        <sz val="12"/>
        <rFont val="Times New Roman"/>
        <charset val="134"/>
      </rPr>
      <t>3.</t>
    </r>
    <r>
      <rPr>
        <sz val="12"/>
        <rFont val="宋体"/>
        <charset val="134"/>
      </rPr>
      <t>增加授信的，应该按照单笔报送。如发生授信额度变更的，填写最新的协议授信额度。
4.无授信的无需报送。
5.授信协议失效的，报送协议最后状态的次月不再报送。</t>
    </r>
  </si>
  <si>
    <t>ZCHXB</t>
  </si>
  <si>
    <t>资产核销表</t>
  </si>
  <si>
    <t>702</t>
  </si>
  <si>
    <t>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t>
  </si>
  <si>
    <t>XDZCZRB</t>
  </si>
  <si>
    <t>信贷资产转让表</t>
  </si>
  <si>
    <t>703</t>
  </si>
  <si>
    <t xml:space="preserve">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t>
  </si>
  <si>
    <t>ZCZRGXB</t>
  </si>
  <si>
    <t>资产转让关系表</t>
  </si>
  <si>
    <t>704</t>
  </si>
  <si>
    <t>本表报送信贷资产转让合同与被转让贷款借据的对应关系，一个转让合同对应多个借据的，按借据填报多条记录。对于信用卡资产转让，以信用卡账号填报为借据号。票据的买卖、买入返售、卖出回购不在本表填报。</t>
  </si>
  <si>
    <t>DKWJXTBDB</t>
  </si>
  <si>
    <t>贷款五级形态变动表</t>
  </si>
  <si>
    <t>705</t>
  </si>
  <si>
    <t>所有表内信贷的五级分类变动信息，与其他表格中五级分类字段一致。需要报送信用卡业务的五级形态变动，填报为信贷合同号=信用卡账号，信贷借据号=信用卡卡号。无需报送新发放业务（五级分类从无到有）的五级形态变动。</t>
  </si>
  <si>
    <t>信用卡业务</t>
  </si>
  <si>
    <t>008</t>
  </si>
  <si>
    <t>XYKXXB</t>
  </si>
  <si>
    <t>信用卡信息表</t>
  </si>
  <si>
    <t>801</t>
  </si>
  <si>
    <t>填报信用卡信息，以卡号为最小粒度报送。状态为“销户”的信用卡在报送最后状态的次月不再报送。状态为“销户”的账户以及账户下所属的所有信用卡在报送最后状态的次月不再报送。</t>
  </si>
  <si>
    <t>XYKJYMXB</t>
  </si>
  <si>
    <t>信用卡交易明细表</t>
  </si>
  <si>
    <t>802</t>
  </si>
  <si>
    <t>影响信用卡余额变动的交易明细，不包括查询交易，以信用账号、卡号中取较小粒度报送。已核销卡的交易明细不再报送。</t>
  </si>
  <si>
    <t>XYKSXQKB</t>
  </si>
  <si>
    <t>信用卡授信情况表</t>
  </si>
  <si>
    <t>803</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</si>
  <si>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t>
  </si>
  <si>
    <t>XYKFQYWB</t>
  </si>
  <si>
    <t>信用卡分期业务表</t>
  </si>
  <si>
    <t>804</t>
  </si>
  <si>
    <t>填报每月新增的持卡人分期业务情况。</t>
  </si>
  <si>
    <t>表外授信业务</t>
  </si>
  <si>
    <t>009</t>
  </si>
  <si>
    <t>PJCPXXB</t>
  </si>
  <si>
    <t>票据出票信息表</t>
  </si>
  <si>
    <t>报送由出票人签发并向填报机构申请，经填报机构承兑的汇票。票据状态为卖断（转贴现卖断），解付（票据到期且出票人已付款）的数据，在报送票据最后状态的次月可不再报送。</t>
  </si>
  <si>
    <t>BHYXYZB</t>
  </si>
  <si>
    <t>保函与信用证表</t>
  </si>
  <si>
    <t>报送范围为跟单信用证、保函、信用风险仍在银行的销售与购买协议、其他担保类业务、承诺、其他承诺，相关业务定义可参照1104报表。合同到期且已结清的数据，在报送合同最后状态的次月不再填报。</t>
  </si>
  <si>
    <t>JYBJXXB</t>
  </si>
  <si>
    <t>交易背景信息表</t>
  </si>
  <si>
    <t>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</si>
  <si>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WTDKXXB</t>
  </si>
  <si>
    <t>委托贷款信息表</t>
  </si>
  <si>
    <t>报送范围为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t>
  </si>
  <si>
    <t>DLDXJYXXB</t>
  </si>
  <si>
    <t>代理代销交易信息表</t>
  </si>
  <si>
    <t>报送范围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的交易需要报送。</t>
  </si>
  <si>
    <t>资金交易信息</t>
  </si>
  <si>
    <t>010</t>
  </si>
  <si>
    <t>HLXXB</t>
  </si>
  <si>
    <t>汇率信息表</t>
  </si>
  <si>
    <t>1001</t>
  </si>
  <si>
    <t>国家外汇管理局公布汇率的主要币种，填报各主要外币与人民币的折算汇率。其他货币对人民币的折算汇率，以当天美元兑人民币的基准汇率与同一天国际外汇市场其他货币兑美元汇率套算确定。机构可只填报常见的外币信息，但至少应包含其它表中填报使用过的所有外币。</t>
  </si>
  <si>
    <t>JRGJXXB</t>
  </si>
  <si>
    <t>金融工具信息表</t>
  </si>
  <si>
    <t>1002</t>
  </si>
  <si>
    <t>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t>
  </si>
  <si>
    <t>ZYZJJYXXB</t>
  </si>
  <si>
    <t>自营资金交易信息表</t>
  </si>
  <si>
    <t>1003</t>
  </si>
  <si>
    <t>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</si>
  <si>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ZYZJYWYEB</t>
  </si>
  <si>
    <t>自营资金业务余额表</t>
  </si>
  <si>
    <t>1004</t>
  </si>
  <si>
    <t>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</si>
  <si>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JQJYSPJYXXB</t>
  </si>
  <si>
    <t>即期及衍生品交易信息表</t>
  </si>
  <si>
    <t>1005</t>
  </si>
  <si>
    <t>填报范围：报告期内发生的自营、代客即期资金交易，以及衍生品交易信息，按发生额填报。其中即期资金交易包括结售汇、贵金属实物（积存金）交易、商品类交易等。交易不涉及的数据项不填报。
填报方式：非掉期（互换）交易中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t>
  </si>
  <si>
    <t>理财业务</t>
  </si>
  <si>
    <t>011</t>
  </si>
  <si>
    <t>LCCPXXB</t>
  </si>
  <si>
    <t>理财产品信息表</t>
  </si>
  <si>
    <t>该表体现截至统计时点所有在全国银行业理财信息登记系统中取得产品登记编码并成功发行的理财产品相关信息。</t>
  </si>
  <si>
    <t>LCCPZTB</t>
  </si>
  <si>
    <t>理财产品状态表</t>
  </si>
  <si>
    <t>全量表，报送截至采集日有效的数据以及与上一采集日期间失效的数据。该表体现统计期末存续的理财产品状态及运营情况等信息。包含银行及理财公司数据。</t>
  </si>
  <si>
    <t>LCCPDCCCXXB</t>
  </si>
  <si>
    <t>理财产品底层持仓信息表</t>
  </si>
  <si>
    <t>该表体现统计期末理财产品持有所有类别资产的相关信息。</t>
  </si>
  <si>
    <t>FBZCMXXXB</t>
  </si>
  <si>
    <t>非标资产明细信息表</t>
  </si>
  <si>
    <t>该表体现统计期末理财产品持有的非标准化债权类资产（目前包含信托贷款、委托贷款、信贷资产转让、收/受益权、委托债权、应收账款、带回购条款的股权性融资、债券融资类产品）明细信息。</t>
  </si>
  <si>
    <t>QTFBZCMXXXB</t>
  </si>
  <si>
    <t>其他非标资产明细信息表</t>
  </si>
  <si>
    <t>该表体现统计期末理财产品持有的其他非标准化债权类资产（包括但不限于保理、融资租赁、股票质押融资等）明细信息。</t>
  </si>
  <si>
    <t>LCCPZCJYXXB</t>
  </si>
  <si>
    <t>理财产品资产交易信息表</t>
  </si>
  <si>
    <t>该表体现统计期内理财产品发生的逐笔投资交易信息。</t>
  </si>
  <si>
    <t>LCCPXSMXB</t>
  </si>
  <si>
    <t>理财产品销售明细表</t>
  </si>
  <si>
    <t>代销他行理财产品由银行机构在代理代销信息表中报送。</t>
  </si>
  <si>
    <t>KHLCCPCYXXB</t>
  </si>
  <si>
    <t>客户理财产品持有信息表</t>
  </si>
  <si>
    <t>全量表，报送截至采集日有效的数据。本机构客户开立的理财分户账信息，报送本机构理财产品账户信息，代销其他机构理财在其他机构数据源下报送。买入不同理财产品的，每个产品作为一条记录。本表为状态表，每月逐客户（客户证件类别+客户证件号码）、逐产品报送截至月底的持仓信息。
仅包含产品起始日在2018年10月1日之后的理财产品（由母行划转至理财公司的产品，仅包含母行原产品的起始日在2018年10月1日之后的产品）
包含银行及理财公司数据。</t>
  </si>
  <si>
    <t>数据元说明</t>
  </si>
  <si>
    <r>
      <rPr>
        <sz val="12"/>
        <rFont val="宋体"/>
        <charset val="134"/>
      </rPr>
      <t>分类</t>
    </r>
  </si>
  <si>
    <r>
      <rPr>
        <sz val="12"/>
        <rFont val="宋体"/>
        <charset val="134"/>
      </rPr>
      <t>数据元编码</t>
    </r>
  </si>
  <si>
    <r>
      <rPr>
        <sz val="12"/>
        <rFont val="宋体"/>
        <charset val="134"/>
      </rPr>
      <t>数据元名称</t>
    </r>
  </si>
  <si>
    <r>
      <rPr>
        <sz val="12"/>
        <rFont val="宋体"/>
        <charset val="134"/>
      </rPr>
      <t>数据元英文</t>
    </r>
  </si>
  <si>
    <r>
      <rPr>
        <sz val="12"/>
        <rFont val="宋体"/>
        <charset val="134"/>
      </rPr>
      <t>数据元说明</t>
    </r>
  </si>
  <si>
    <r>
      <rPr>
        <sz val="12"/>
        <rFont val="宋体"/>
        <charset val="134"/>
      </rPr>
      <t>格式</t>
    </r>
  </si>
  <si>
    <r>
      <rPr>
        <sz val="12"/>
        <rFont val="宋体"/>
        <charset val="134"/>
      </rPr>
      <t>公共信息</t>
    </r>
  </si>
  <si>
    <t>001001</t>
  </si>
  <si>
    <r>
      <rPr>
        <sz val="12"/>
        <rFont val="宋体"/>
        <charset val="134"/>
      </rPr>
      <t>名称</t>
    </r>
  </si>
  <si>
    <t>Name</t>
  </si>
  <si>
    <r>
      <rPr>
        <sz val="12"/>
        <rFont val="宋体"/>
        <charset val="134"/>
      </rPr>
      <t>名称应与公章所使用的名称完全一致。银行机构以银保监会金融机构许可证登记名称为准。无独立金融机构许可证的机构，可在本名称中体现出机构特征。第三方支付平台填报第三方支付平台名称。</t>
    </r>
    <r>
      <rPr>
        <sz val="12"/>
        <rFont val="Times New Roman"/>
        <charset val="134"/>
      </rPr>
      <t xml:space="preserve">
</t>
    </r>
    <r>
      <rPr>
        <sz val="12"/>
        <rFont val="宋体"/>
        <charset val="134"/>
      </rPr>
      <t>客户名称按照客户的不同类型按如下标准填报。</t>
    </r>
    <r>
      <rPr>
        <sz val="12"/>
        <rFont val="Times New Roman"/>
        <charset val="134"/>
      </rPr>
      <t xml:space="preserve">
</t>
    </r>
    <r>
      <rPr>
        <sz val="12"/>
        <rFont val="宋体"/>
        <charset val="134"/>
      </rPr>
      <t>（</t>
    </r>
    <r>
      <rPr>
        <sz val="12"/>
        <rFont val="Times New Roman"/>
        <charset val="134"/>
      </rPr>
      <t>1</t>
    </r>
    <r>
      <rPr>
        <sz val="12"/>
        <rFont val="宋体"/>
        <charset val="134"/>
      </rPr>
      <t>）集团客户，填报银行对该集团授信采用的集团客户名称。视同集团客户填报的供应链融资填报核心企业客户名称。</t>
    </r>
    <r>
      <rPr>
        <sz val="12"/>
        <rFont val="Times New Roman"/>
        <charset val="134"/>
      </rPr>
      <t xml:space="preserve">
</t>
    </r>
    <r>
      <rPr>
        <sz val="12"/>
        <rFont val="宋体"/>
        <charset val="134"/>
      </rPr>
      <t>（</t>
    </r>
    <r>
      <rPr>
        <sz val="12"/>
        <rFont val="Times New Roman"/>
        <charset val="134"/>
      </rPr>
      <t>2</t>
    </r>
    <r>
      <rPr>
        <sz val="12"/>
        <rFont val="宋体"/>
        <charset val="134"/>
      </rPr>
      <t>）单一法人客户，经有关部门批准正式使用的全称，与公章所使用的名称完全一致。视同单一法人客户填报的分公司，填报分公司全称，与分公司公章所使用的名称完全一致。客户是境内涉密机构的，客户名称填报为</t>
    </r>
    <r>
      <rPr>
        <sz val="12"/>
        <rFont val="Times New Roman"/>
        <charset val="134"/>
      </rPr>
      <t>“*********”</t>
    </r>
    <r>
      <rPr>
        <sz val="12"/>
        <rFont val="宋体"/>
        <charset val="134"/>
      </rPr>
      <t>。</t>
    </r>
    <r>
      <rPr>
        <sz val="12"/>
        <rFont val="Times New Roman"/>
        <charset val="134"/>
      </rPr>
      <t xml:space="preserve">
</t>
    </r>
    <r>
      <rPr>
        <sz val="12"/>
        <rFont val="宋体"/>
        <charset val="134"/>
      </rPr>
      <t>（</t>
    </r>
    <r>
      <rPr>
        <sz val="12"/>
        <rFont val="Times New Roman"/>
        <charset val="134"/>
      </rPr>
      <t>3</t>
    </r>
    <r>
      <rPr>
        <sz val="12"/>
        <rFont val="宋体"/>
        <charset val="134"/>
      </rPr>
      <t>）同业客户，经有关部门批准正式使用的客户全称，与客户公章所使用的名称完全一致。</t>
    </r>
    <r>
      <rPr>
        <sz val="12"/>
        <rFont val="Times New Roman"/>
        <charset val="134"/>
      </rPr>
      <t xml:space="preserve">
</t>
    </r>
    <r>
      <rPr>
        <sz val="12"/>
        <rFont val="宋体"/>
        <charset val="134"/>
      </rPr>
      <t>（</t>
    </r>
    <r>
      <rPr>
        <sz val="12"/>
        <rFont val="Times New Roman"/>
        <charset val="134"/>
      </rPr>
      <t>4</t>
    </r>
    <r>
      <rPr>
        <sz val="12"/>
        <rFont val="宋体"/>
        <charset val="134"/>
      </rPr>
      <t>）自然人，与有效证件上的姓名一致。</t>
    </r>
    <r>
      <rPr>
        <sz val="12"/>
        <rFont val="Times New Roman"/>
        <charset val="134"/>
      </rPr>
      <t xml:space="preserve">
</t>
    </r>
    <r>
      <rPr>
        <sz val="12"/>
        <rFont val="宋体"/>
        <charset val="134"/>
      </rPr>
      <t>（</t>
    </r>
    <r>
      <rPr>
        <sz val="12"/>
        <rFont val="Times New Roman"/>
        <charset val="134"/>
      </rPr>
      <t>5</t>
    </r>
    <r>
      <rPr>
        <sz val="12"/>
        <rFont val="宋体"/>
        <charset val="134"/>
      </rPr>
      <t>）境外客户，客户名称填报英文名称。</t>
    </r>
  </si>
  <si>
    <t>C..450</t>
  </si>
  <si>
    <t>001002</t>
  </si>
  <si>
    <r>
      <rPr>
        <sz val="12"/>
        <rFont val="宋体"/>
        <charset val="134"/>
      </rPr>
      <t>是否标志</t>
    </r>
  </si>
  <si>
    <t>Yes or No</t>
  </si>
  <si>
    <r>
      <rPr>
        <sz val="12"/>
        <rFont val="宋体"/>
        <charset val="134"/>
      </rPr>
      <t>是，否。</t>
    </r>
  </si>
  <si>
    <t>C3</t>
  </si>
  <si>
    <t>001003</t>
  </si>
  <si>
    <r>
      <rPr>
        <sz val="12"/>
        <rFont val="宋体"/>
        <charset val="134"/>
      </rPr>
      <t>比例</t>
    </r>
  </si>
  <si>
    <t>Ratio</t>
  </si>
  <si>
    <r>
      <rPr>
        <sz val="12"/>
        <rFont val="宋体"/>
        <charset val="134"/>
      </rPr>
      <t>百分比为单位，即</t>
    </r>
    <r>
      <rPr>
        <sz val="12"/>
        <rFont val="Times New Roman"/>
        <charset val="134"/>
      </rPr>
      <t>1/100</t>
    </r>
    <r>
      <rPr>
        <sz val="12"/>
        <rFont val="宋体"/>
        <charset val="134"/>
      </rPr>
      <t>，保留两位小数。如</t>
    </r>
    <r>
      <rPr>
        <sz val="12"/>
        <rFont val="Times New Roman"/>
        <charset val="134"/>
      </rPr>
      <t>4.5%</t>
    </r>
    <r>
      <rPr>
        <sz val="12"/>
        <rFont val="宋体"/>
        <charset val="134"/>
      </rPr>
      <t>则填报为</t>
    </r>
    <r>
      <rPr>
        <sz val="12"/>
        <rFont val="Times New Roman"/>
        <charset val="134"/>
      </rPr>
      <t>4.50</t>
    </r>
    <r>
      <rPr>
        <sz val="12"/>
        <rFont val="宋体"/>
        <charset val="134"/>
      </rPr>
      <t>。</t>
    </r>
  </si>
  <si>
    <t>D20.2</t>
  </si>
  <si>
    <t>001004</t>
  </si>
  <si>
    <r>
      <rPr>
        <sz val="12"/>
        <rFont val="宋体"/>
        <charset val="134"/>
      </rPr>
      <t>比例（精）</t>
    </r>
  </si>
  <si>
    <t>Accurate rate</t>
  </si>
  <si>
    <r>
      <rPr>
        <sz val="12"/>
        <rFont val="宋体"/>
        <charset val="134"/>
      </rPr>
      <t>百分比为单位，即</t>
    </r>
    <r>
      <rPr>
        <sz val="12"/>
        <rFont val="Times New Roman"/>
        <charset val="134"/>
      </rPr>
      <t>1/100</t>
    </r>
    <r>
      <rPr>
        <sz val="12"/>
        <rFont val="宋体"/>
        <charset val="134"/>
      </rPr>
      <t>，保留六位小数。</t>
    </r>
    <r>
      <rPr>
        <sz val="12"/>
        <rFont val="Times New Roman"/>
        <charset val="134"/>
      </rPr>
      <t>4.123456%</t>
    </r>
    <r>
      <rPr>
        <sz val="12"/>
        <rFont val="宋体"/>
        <charset val="134"/>
      </rPr>
      <t>则填报为</t>
    </r>
    <r>
      <rPr>
        <sz val="12"/>
        <rFont val="Times New Roman"/>
        <charset val="134"/>
      </rPr>
      <t>4.123456</t>
    </r>
    <r>
      <rPr>
        <sz val="12"/>
        <rFont val="宋体"/>
        <charset val="134"/>
      </rPr>
      <t>。</t>
    </r>
  </si>
  <si>
    <t>D20.6</t>
  </si>
  <si>
    <t>001005</t>
  </si>
  <si>
    <r>
      <rPr>
        <sz val="12"/>
        <rFont val="宋体"/>
        <charset val="134"/>
      </rPr>
      <t>日期</t>
    </r>
  </si>
  <si>
    <t>Date</t>
  </si>
  <si>
    <r>
      <rPr>
        <sz val="12"/>
        <rFont val="Times New Roman"/>
        <charset val="134"/>
      </rPr>
      <t>YYYYMMDD</t>
    </r>
    <r>
      <rPr>
        <sz val="12"/>
        <rFont val="宋体"/>
        <charset val="134"/>
      </rPr>
      <t>，默认值</t>
    </r>
    <r>
      <rPr>
        <sz val="12"/>
        <rFont val="Times New Roman"/>
        <charset val="134"/>
      </rPr>
      <t>99991231</t>
    </r>
    <r>
      <rPr>
        <sz val="12"/>
        <rFont val="宋体"/>
        <charset val="134"/>
      </rPr>
      <t>。</t>
    </r>
  </si>
  <si>
    <t>C8</t>
  </si>
  <si>
    <t>001006</t>
  </si>
  <si>
    <r>
      <rPr>
        <sz val="12"/>
        <rFont val="宋体"/>
        <charset val="134"/>
      </rPr>
      <t>年月</t>
    </r>
  </si>
  <si>
    <t>Year &amp; Month</t>
  </si>
  <si>
    <r>
      <rPr>
        <sz val="12"/>
        <rFont val="Times New Roman"/>
        <charset val="134"/>
      </rPr>
      <t>YYYYMM</t>
    </r>
    <r>
      <rPr>
        <sz val="12"/>
        <rFont val="宋体"/>
        <charset val="134"/>
      </rPr>
      <t>，默认值</t>
    </r>
    <r>
      <rPr>
        <sz val="12"/>
        <rFont val="Times New Roman"/>
        <charset val="134"/>
      </rPr>
      <t>999912</t>
    </r>
    <r>
      <rPr>
        <sz val="12"/>
        <rFont val="宋体"/>
        <charset val="134"/>
      </rPr>
      <t>。</t>
    </r>
  </si>
  <si>
    <t>C6</t>
  </si>
  <si>
    <t>001007</t>
  </si>
  <si>
    <r>
      <rPr>
        <sz val="12"/>
        <rFont val="宋体"/>
        <charset val="134"/>
      </rPr>
      <t>时间</t>
    </r>
  </si>
  <si>
    <t>Time</t>
  </si>
  <si>
    <r>
      <rPr>
        <sz val="12"/>
        <rFont val="Times New Roman"/>
        <charset val="134"/>
      </rPr>
      <t>24</t>
    </r>
    <r>
      <rPr>
        <sz val="12"/>
        <rFont val="宋体"/>
        <charset val="134"/>
      </rPr>
      <t>小时制时间，精确到秒。</t>
    </r>
    <r>
      <rPr>
        <sz val="12"/>
        <rFont val="Times New Roman"/>
        <charset val="134"/>
      </rPr>
      <t>hhmmss</t>
    </r>
    <r>
      <rPr>
        <sz val="12"/>
        <rFont val="宋体"/>
        <charset val="134"/>
      </rPr>
      <t>，默认值</t>
    </r>
    <r>
      <rPr>
        <sz val="12"/>
        <rFont val="Times New Roman"/>
        <charset val="134"/>
      </rPr>
      <t>000000</t>
    </r>
    <r>
      <rPr>
        <sz val="12"/>
        <rFont val="宋体"/>
        <charset val="134"/>
      </rPr>
      <t>。</t>
    </r>
  </si>
  <si>
    <t>001008</t>
  </si>
  <si>
    <r>
      <rPr>
        <sz val="12"/>
        <rFont val="宋体"/>
        <charset val="134"/>
      </rPr>
      <t>地址</t>
    </r>
  </si>
  <si>
    <t>Address</t>
  </si>
  <si>
    <r>
      <rPr>
        <sz val="12"/>
        <rFont val="宋体"/>
        <charset val="134"/>
      </rPr>
      <t>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t>
    </r>
  </si>
  <si>
    <t>C..600</t>
  </si>
  <si>
    <t>001009</t>
  </si>
  <si>
    <r>
      <rPr>
        <sz val="12"/>
        <rFont val="宋体"/>
        <charset val="134"/>
      </rPr>
      <t>电话</t>
    </r>
  </si>
  <si>
    <t>Tel.</t>
  </si>
  <si>
    <r>
      <rPr>
        <sz val="12"/>
        <rFont val="宋体"/>
        <charset val="134"/>
      </rPr>
      <t>手机号码或者区号</t>
    </r>
    <r>
      <rPr>
        <sz val="12"/>
        <rFont val="Times New Roman"/>
        <charset val="134"/>
      </rPr>
      <t>-</t>
    </r>
    <r>
      <rPr>
        <sz val="12"/>
        <rFont val="宋体"/>
        <charset val="134"/>
      </rPr>
      <t>固定电话号码。</t>
    </r>
  </si>
  <si>
    <t>C..30</t>
  </si>
  <si>
    <t>001010</t>
  </si>
  <si>
    <r>
      <rPr>
        <sz val="12"/>
        <rFont val="宋体"/>
        <charset val="134"/>
      </rPr>
      <t>银行机构代码</t>
    </r>
  </si>
  <si>
    <t>Bank code</t>
  </si>
  <si>
    <r>
      <rPr>
        <sz val="12"/>
        <rFont val="Times New Roman"/>
        <charset val="134"/>
      </rPr>
      <t>12</t>
    </r>
    <r>
      <rPr>
        <sz val="12"/>
        <rFont val="宋体"/>
        <charset val="134"/>
      </rPr>
      <t>位人行支付行号或</t>
    </r>
    <r>
      <rPr>
        <sz val="12"/>
        <rFont val="Times New Roman"/>
        <charset val="134"/>
      </rPr>
      <t>SWIFT</t>
    </r>
    <r>
      <rPr>
        <sz val="12"/>
        <rFont val="宋体"/>
        <charset val="134"/>
      </rPr>
      <t>行号。</t>
    </r>
  </si>
  <si>
    <t>001011</t>
  </si>
  <si>
    <r>
      <rPr>
        <sz val="12"/>
        <rFont val="宋体"/>
        <charset val="134"/>
      </rPr>
      <t>金融许可证号</t>
    </r>
  </si>
  <si>
    <t>Financial license number</t>
  </si>
  <si>
    <r>
      <rPr>
        <sz val="12"/>
        <rFont val="宋体"/>
        <charset val="134"/>
      </rPr>
      <t>金融许可证机构编码编制规则（试行）</t>
    </r>
    <r>
      <rPr>
        <sz val="12"/>
        <rFont val="Times New Roman"/>
        <charset val="134"/>
      </rPr>
      <t xml:space="preserve">
</t>
    </r>
    <r>
      <rPr>
        <sz val="12"/>
        <rFont val="宋体"/>
        <charset val="134"/>
      </rPr>
      <t>　一、机构编码结构</t>
    </r>
    <r>
      <rPr>
        <sz val="12"/>
        <rFont val="Times New Roman"/>
        <charset val="134"/>
      </rPr>
      <t xml:space="preserve">
</t>
    </r>
    <r>
      <rPr>
        <sz val="12"/>
        <rFont val="宋体"/>
        <charset val="134"/>
      </rPr>
      <t>　　机构编码由大写英文字母和数字组成，共</t>
    </r>
    <r>
      <rPr>
        <sz val="12"/>
        <rFont val="Times New Roman"/>
        <charset val="134"/>
      </rPr>
      <t>15</t>
    </r>
    <r>
      <rPr>
        <sz val="12"/>
        <rFont val="宋体"/>
        <charset val="134"/>
      </rPr>
      <t>位。分六个部分，分别是机构类型代码、机构代码、组织类别代码、发证机关代码、地址代码、顺序代码，从左至右顺序排列，如下表所示。</t>
    </r>
    <r>
      <rPr>
        <sz val="12"/>
        <rFont val="Times New Roman"/>
        <charset val="134"/>
      </rPr>
      <t xml:space="preserve">
</t>
    </r>
    <r>
      <rPr>
        <sz val="12"/>
        <rFont val="宋体"/>
        <charset val="134"/>
      </rPr>
      <t>　　二、机构编码含义</t>
    </r>
    <r>
      <rPr>
        <sz val="12"/>
        <rFont val="Times New Roman"/>
        <charset val="134"/>
      </rPr>
      <t xml:space="preserve">
</t>
    </r>
    <r>
      <rPr>
        <sz val="12"/>
        <rFont val="宋体"/>
        <charset val="134"/>
      </rPr>
      <t>　　（一）第［一］位是机构类型代码，用大写英文字母表示。</t>
    </r>
    <r>
      <rPr>
        <sz val="12"/>
        <rFont val="Times New Roman"/>
        <charset val="134"/>
      </rPr>
      <t xml:space="preserve">
</t>
    </r>
    <r>
      <rPr>
        <sz val="12"/>
        <rFont val="宋体"/>
        <charset val="134"/>
      </rPr>
      <t>　　</t>
    </r>
    <r>
      <rPr>
        <sz val="12"/>
        <rFont val="Times New Roman"/>
        <charset val="134"/>
      </rPr>
      <t>A-</t>
    </r>
    <r>
      <rPr>
        <sz val="12"/>
        <rFont val="宋体"/>
        <charset val="134"/>
      </rPr>
      <t>政策性银行</t>
    </r>
    <r>
      <rPr>
        <sz val="12"/>
        <rFont val="Times New Roman"/>
        <charset val="134"/>
      </rPr>
      <t xml:space="preserve">
</t>
    </r>
    <r>
      <rPr>
        <sz val="12"/>
        <rFont val="宋体"/>
        <charset val="134"/>
      </rPr>
      <t>　　</t>
    </r>
    <r>
      <rPr>
        <sz val="12"/>
        <rFont val="Times New Roman"/>
        <charset val="134"/>
      </rPr>
      <t>B-</t>
    </r>
    <r>
      <rPr>
        <sz val="12"/>
        <rFont val="宋体"/>
        <charset val="134"/>
      </rPr>
      <t>商业银行</t>
    </r>
    <r>
      <rPr>
        <sz val="12"/>
        <rFont val="Times New Roman"/>
        <charset val="134"/>
      </rPr>
      <t xml:space="preserve">
</t>
    </r>
    <r>
      <rPr>
        <sz val="12"/>
        <rFont val="宋体"/>
        <charset val="134"/>
      </rPr>
      <t>　　</t>
    </r>
    <r>
      <rPr>
        <sz val="12"/>
        <rFont val="Times New Roman"/>
        <charset val="134"/>
      </rPr>
      <t>C-</t>
    </r>
    <r>
      <rPr>
        <sz val="12"/>
        <rFont val="宋体"/>
        <charset val="134"/>
      </rPr>
      <t>农村合作银行</t>
    </r>
    <r>
      <rPr>
        <sz val="12"/>
        <rFont val="Times New Roman"/>
        <charset val="134"/>
      </rPr>
      <t xml:space="preserve">
</t>
    </r>
    <r>
      <rPr>
        <sz val="12"/>
        <rFont val="宋体"/>
        <charset val="134"/>
      </rPr>
      <t>　　</t>
    </r>
    <r>
      <rPr>
        <sz val="12"/>
        <rFont val="Times New Roman"/>
        <charset val="134"/>
      </rPr>
      <t>D-</t>
    </r>
    <r>
      <rPr>
        <sz val="12"/>
        <rFont val="宋体"/>
        <charset val="134"/>
      </rPr>
      <t>城市信用社</t>
    </r>
    <r>
      <rPr>
        <sz val="12"/>
        <rFont val="Times New Roman"/>
        <charset val="134"/>
      </rPr>
      <t xml:space="preserve">
</t>
    </r>
    <r>
      <rPr>
        <sz val="12"/>
        <rFont val="宋体"/>
        <charset val="134"/>
      </rPr>
      <t>　　</t>
    </r>
    <r>
      <rPr>
        <sz val="12"/>
        <rFont val="Times New Roman"/>
        <charset val="134"/>
      </rPr>
      <t>E-</t>
    </r>
    <r>
      <rPr>
        <sz val="12"/>
        <rFont val="宋体"/>
        <charset val="134"/>
      </rPr>
      <t>农村信用社</t>
    </r>
    <r>
      <rPr>
        <sz val="12"/>
        <rFont val="Times New Roman"/>
        <charset val="134"/>
      </rPr>
      <t xml:space="preserve">
</t>
    </r>
    <r>
      <rPr>
        <sz val="12"/>
        <rFont val="宋体"/>
        <charset val="134"/>
      </rPr>
      <t>　　</t>
    </r>
    <r>
      <rPr>
        <sz val="12"/>
        <rFont val="Times New Roman"/>
        <charset val="134"/>
      </rPr>
      <t>F-</t>
    </r>
    <r>
      <rPr>
        <sz val="12"/>
        <rFont val="宋体"/>
        <charset val="134"/>
      </rPr>
      <t>资金互助社</t>
    </r>
    <r>
      <rPr>
        <sz val="12"/>
        <rFont val="Times New Roman"/>
        <charset val="134"/>
      </rPr>
      <t xml:space="preserve">
</t>
    </r>
    <r>
      <rPr>
        <sz val="12"/>
        <rFont val="宋体"/>
        <charset val="134"/>
      </rPr>
      <t>　　</t>
    </r>
    <r>
      <rPr>
        <sz val="12"/>
        <rFont val="Times New Roman"/>
        <charset val="134"/>
      </rPr>
      <t>J-</t>
    </r>
    <r>
      <rPr>
        <sz val="12"/>
        <rFont val="宋体"/>
        <charset val="134"/>
      </rPr>
      <t>金融资产管理公司</t>
    </r>
    <r>
      <rPr>
        <sz val="12"/>
        <rFont val="Times New Roman"/>
        <charset val="134"/>
      </rPr>
      <t xml:space="preserve">
</t>
    </r>
    <r>
      <rPr>
        <sz val="12"/>
        <rFont val="宋体"/>
        <charset val="134"/>
      </rPr>
      <t>　　</t>
    </r>
    <r>
      <rPr>
        <sz val="12"/>
        <rFont val="Times New Roman"/>
        <charset val="134"/>
      </rPr>
      <t>K-</t>
    </r>
    <r>
      <rPr>
        <sz val="12"/>
        <rFont val="宋体"/>
        <charset val="134"/>
      </rPr>
      <t>信托公司</t>
    </r>
    <r>
      <rPr>
        <sz val="12"/>
        <rFont val="Times New Roman"/>
        <charset val="134"/>
      </rPr>
      <t xml:space="preserve">
</t>
    </r>
    <r>
      <rPr>
        <sz val="12"/>
        <rFont val="宋体"/>
        <charset val="134"/>
      </rPr>
      <t>　　</t>
    </r>
    <r>
      <rPr>
        <sz val="12"/>
        <rFont val="Times New Roman"/>
        <charset val="134"/>
      </rPr>
      <t>L-</t>
    </r>
    <r>
      <rPr>
        <sz val="12"/>
        <rFont val="宋体"/>
        <charset val="134"/>
      </rPr>
      <t>财务公司</t>
    </r>
    <r>
      <rPr>
        <sz val="12"/>
        <rFont val="Times New Roman"/>
        <charset val="134"/>
      </rPr>
      <t xml:space="preserve">
</t>
    </r>
    <r>
      <rPr>
        <sz val="12"/>
        <rFont val="宋体"/>
        <charset val="134"/>
      </rPr>
      <t>　　</t>
    </r>
    <r>
      <rPr>
        <sz val="12"/>
        <rFont val="Times New Roman"/>
        <charset val="134"/>
      </rPr>
      <t>M-</t>
    </r>
    <r>
      <rPr>
        <sz val="12"/>
        <rFont val="宋体"/>
        <charset val="134"/>
      </rPr>
      <t>金融租赁公司</t>
    </r>
    <r>
      <rPr>
        <sz val="12"/>
        <rFont val="Times New Roman"/>
        <charset val="134"/>
      </rPr>
      <t xml:space="preserve">
</t>
    </r>
    <r>
      <rPr>
        <sz val="12"/>
        <rFont val="宋体"/>
        <charset val="134"/>
      </rPr>
      <t>　　</t>
    </r>
    <r>
      <rPr>
        <sz val="12"/>
        <rFont val="Times New Roman"/>
        <charset val="134"/>
      </rPr>
      <t>N-</t>
    </r>
    <r>
      <rPr>
        <sz val="12"/>
        <rFont val="宋体"/>
        <charset val="134"/>
      </rPr>
      <t>汽车金融公司</t>
    </r>
    <r>
      <rPr>
        <sz val="12"/>
        <rFont val="Times New Roman"/>
        <charset val="134"/>
      </rPr>
      <t xml:space="preserve">
</t>
    </r>
    <r>
      <rPr>
        <sz val="12"/>
        <rFont val="宋体"/>
        <charset val="134"/>
      </rPr>
      <t>　　</t>
    </r>
    <r>
      <rPr>
        <sz val="12"/>
        <rFont val="Times New Roman"/>
        <charset val="134"/>
      </rPr>
      <t>P-</t>
    </r>
    <r>
      <rPr>
        <sz val="12"/>
        <rFont val="宋体"/>
        <charset val="134"/>
      </rPr>
      <t>货币经纪公司</t>
    </r>
    <r>
      <rPr>
        <sz val="12"/>
        <rFont val="Times New Roman"/>
        <charset val="134"/>
      </rPr>
      <t xml:space="preserve">
</t>
    </r>
    <r>
      <rPr>
        <sz val="12"/>
        <rFont val="宋体"/>
        <charset val="134"/>
      </rPr>
      <t>　　</t>
    </r>
    <r>
      <rPr>
        <sz val="12"/>
        <rFont val="Times New Roman"/>
        <charset val="134"/>
      </rPr>
      <t>Q-</t>
    </r>
    <r>
      <rPr>
        <sz val="12"/>
        <rFont val="宋体"/>
        <charset val="134"/>
      </rPr>
      <t>贷款公司</t>
    </r>
    <r>
      <rPr>
        <sz val="12"/>
        <rFont val="Times New Roman"/>
        <charset val="134"/>
      </rPr>
      <t xml:space="preserve">
</t>
    </r>
    <r>
      <rPr>
        <sz val="12"/>
        <rFont val="宋体"/>
        <charset val="134"/>
      </rPr>
      <t>　　</t>
    </r>
    <r>
      <rPr>
        <sz val="12"/>
        <rFont val="Times New Roman"/>
        <charset val="134"/>
      </rPr>
      <t>Z-</t>
    </r>
    <r>
      <rPr>
        <sz val="12"/>
        <rFont val="宋体"/>
        <charset val="134"/>
      </rPr>
      <t>其他类金融机构</t>
    </r>
    <r>
      <rPr>
        <sz val="12"/>
        <rFont val="Times New Roman"/>
        <charset val="134"/>
      </rPr>
      <t xml:space="preserve">
</t>
    </r>
    <r>
      <rPr>
        <sz val="12"/>
        <rFont val="宋体"/>
        <charset val="134"/>
      </rPr>
      <t>　　新增机构类型时，根据需要确定机构类型代码。</t>
    </r>
    <r>
      <rPr>
        <sz val="12"/>
        <rFont val="Times New Roman"/>
        <charset val="134"/>
      </rPr>
      <t xml:space="preserve">
</t>
    </r>
    <r>
      <rPr>
        <sz val="12"/>
        <rFont val="宋体"/>
        <charset val="134"/>
      </rPr>
      <t>　　（二）第［二］位至第［五］位是机构代码，用数字表示。</t>
    </r>
    <r>
      <rPr>
        <sz val="12"/>
        <rFont val="Times New Roman"/>
        <charset val="134"/>
      </rPr>
      <t xml:space="preserve">
</t>
    </r>
    <r>
      <rPr>
        <sz val="12"/>
        <rFont val="宋体"/>
        <charset val="134"/>
      </rPr>
      <t>　　</t>
    </r>
    <r>
      <rPr>
        <sz val="12"/>
        <rFont val="Times New Roman"/>
        <charset val="134"/>
      </rPr>
      <t>1.</t>
    </r>
    <r>
      <rPr>
        <sz val="12"/>
        <rFont val="宋体"/>
        <charset val="134"/>
      </rPr>
      <t>每个法人机构指定唯一的代码，由计算机系统按照规则自动生成。除农村信用社、资金互助社、贷款公司（</t>
    </r>
    <r>
      <rPr>
        <sz val="12"/>
        <rFont val="Times New Roman"/>
        <charset val="134"/>
      </rPr>
      <t>E</t>
    </r>
    <r>
      <rPr>
        <sz val="12"/>
        <rFont val="宋体"/>
        <charset val="134"/>
      </rPr>
      <t>、</t>
    </r>
    <r>
      <rPr>
        <sz val="12"/>
        <rFont val="Times New Roman"/>
        <charset val="134"/>
      </rPr>
      <t>F</t>
    </r>
    <r>
      <rPr>
        <sz val="12"/>
        <rFont val="宋体"/>
        <charset val="134"/>
      </rPr>
      <t>、</t>
    </r>
    <r>
      <rPr>
        <sz val="12"/>
        <rFont val="Times New Roman"/>
        <charset val="134"/>
      </rPr>
      <t>Q</t>
    </r>
    <r>
      <rPr>
        <sz val="12"/>
        <rFont val="宋体"/>
        <charset val="134"/>
      </rPr>
      <t>类机构）外，全国统一编码。</t>
    </r>
    <r>
      <rPr>
        <sz val="12"/>
        <rFont val="Times New Roman"/>
        <charset val="134"/>
      </rPr>
      <t>E</t>
    </r>
    <r>
      <rPr>
        <sz val="12"/>
        <rFont val="宋体"/>
        <charset val="134"/>
      </rPr>
      <t>、</t>
    </r>
    <r>
      <rPr>
        <sz val="12"/>
        <rFont val="Times New Roman"/>
        <charset val="134"/>
      </rPr>
      <t>F</t>
    </r>
    <r>
      <rPr>
        <sz val="12"/>
        <rFont val="宋体"/>
        <charset val="134"/>
      </rPr>
      <t>、</t>
    </r>
    <r>
      <rPr>
        <sz val="12"/>
        <rFont val="Times New Roman"/>
        <charset val="134"/>
      </rPr>
      <t>Q</t>
    </r>
    <r>
      <rPr>
        <sz val="12"/>
        <rFont val="宋体"/>
        <charset val="134"/>
      </rPr>
      <t>类机构在省（自治区、直辖市）范围内统一编码。</t>
    </r>
    <r>
      <rPr>
        <sz val="12"/>
        <rFont val="Times New Roman"/>
        <charset val="134"/>
      </rPr>
      <t xml:space="preserve">
</t>
    </r>
    <r>
      <rPr>
        <sz val="12"/>
        <rFont val="宋体"/>
        <charset val="134"/>
      </rPr>
      <t>　　</t>
    </r>
    <r>
      <rPr>
        <sz val="12"/>
        <rFont val="Times New Roman"/>
        <charset val="134"/>
      </rPr>
      <t>2.</t>
    </r>
    <r>
      <rPr>
        <sz val="12"/>
        <rFont val="宋体"/>
        <charset val="134"/>
      </rPr>
      <t>新设立的机构依照所属机构类型顺序排列。</t>
    </r>
    <r>
      <rPr>
        <sz val="12"/>
        <rFont val="Times New Roman"/>
        <charset val="134"/>
      </rPr>
      <t xml:space="preserve">
</t>
    </r>
    <r>
      <rPr>
        <sz val="12"/>
        <rFont val="宋体"/>
        <charset val="134"/>
      </rPr>
      <t>　　机构代码编码示例如下：</t>
    </r>
    <r>
      <rPr>
        <sz val="12"/>
        <rFont val="Times New Roman"/>
        <charset val="134"/>
      </rPr>
      <t xml:space="preserve">
</t>
    </r>
    <r>
      <rPr>
        <sz val="12"/>
        <rFont val="宋体"/>
        <charset val="134"/>
      </rPr>
      <t>　　</t>
    </r>
    <r>
      <rPr>
        <sz val="12"/>
        <rFont val="Times New Roman"/>
        <charset val="134"/>
      </rPr>
      <t>A-</t>
    </r>
    <r>
      <rPr>
        <sz val="12"/>
        <rFont val="宋体"/>
        <charset val="134"/>
      </rPr>
      <t>政策性银行</t>
    </r>
    <r>
      <rPr>
        <sz val="12"/>
        <rFont val="Times New Roman"/>
        <charset val="134"/>
      </rPr>
      <t xml:space="preserve">
</t>
    </r>
    <r>
      <rPr>
        <sz val="12"/>
        <rFont val="宋体"/>
        <charset val="134"/>
      </rPr>
      <t>　　</t>
    </r>
    <r>
      <rPr>
        <sz val="12"/>
        <rFont val="Times New Roman"/>
        <charset val="134"/>
      </rPr>
      <t>0001-</t>
    </r>
    <r>
      <rPr>
        <sz val="12"/>
        <rFont val="宋体"/>
        <charset val="134"/>
      </rPr>
      <t>国家开发银行</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B-</t>
    </r>
    <r>
      <rPr>
        <sz val="12"/>
        <rFont val="宋体"/>
        <charset val="134"/>
      </rPr>
      <t>商业银行</t>
    </r>
    <r>
      <rPr>
        <sz val="12"/>
        <rFont val="Times New Roman"/>
        <charset val="134"/>
      </rPr>
      <t xml:space="preserve">
</t>
    </r>
    <r>
      <rPr>
        <sz val="12"/>
        <rFont val="宋体"/>
        <charset val="134"/>
      </rPr>
      <t>　　</t>
    </r>
    <r>
      <rPr>
        <sz val="12"/>
        <rFont val="Times New Roman"/>
        <charset val="134"/>
      </rPr>
      <t>0001-</t>
    </r>
    <r>
      <rPr>
        <sz val="12"/>
        <rFont val="宋体"/>
        <charset val="134"/>
      </rPr>
      <t>中国工商银行股份有限公司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C-</t>
    </r>
    <r>
      <rPr>
        <sz val="12"/>
        <rFont val="宋体"/>
        <charset val="134"/>
      </rPr>
      <t>农村合作银行</t>
    </r>
    <r>
      <rPr>
        <sz val="12"/>
        <rFont val="Times New Roman"/>
        <charset val="134"/>
      </rPr>
      <t xml:space="preserve">
</t>
    </r>
    <r>
      <rPr>
        <sz val="12"/>
        <rFont val="宋体"/>
        <charset val="134"/>
      </rPr>
      <t>　　</t>
    </r>
    <r>
      <rPr>
        <sz val="12"/>
        <rFont val="Times New Roman"/>
        <charset val="134"/>
      </rPr>
      <t>0001-</t>
    </r>
    <r>
      <rPr>
        <sz val="12"/>
        <rFont val="宋体"/>
        <charset val="134"/>
      </rPr>
      <t>天津大港农村合作银行</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D-</t>
    </r>
    <r>
      <rPr>
        <sz val="12"/>
        <rFont val="宋体"/>
        <charset val="134"/>
      </rPr>
      <t>城市信用社</t>
    </r>
    <r>
      <rPr>
        <sz val="12"/>
        <rFont val="Times New Roman"/>
        <charset val="134"/>
      </rPr>
      <t xml:space="preserve">
</t>
    </r>
    <r>
      <rPr>
        <sz val="12"/>
        <rFont val="宋体"/>
        <charset val="134"/>
      </rPr>
      <t>　　</t>
    </r>
    <r>
      <rPr>
        <sz val="12"/>
        <rFont val="Times New Roman"/>
        <charset val="134"/>
      </rPr>
      <t>0001-</t>
    </r>
    <r>
      <rPr>
        <sz val="12"/>
        <rFont val="宋体"/>
        <charset val="134"/>
      </rPr>
      <t>邯郸市城市信用社股份有限公司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E-</t>
    </r>
    <r>
      <rPr>
        <sz val="12"/>
        <rFont val="宋体"/>
        <charset val="134"/>
      </rPr>
      <t>农村信用社天津市</t>
    </r>
    <r>
      <rPr>
        <sz val="12"/>
        <rFont val="Times New Roman"/>
        <charset val="134"/>
      </rPr>
      <t xml:space="preserve">
</t>
    </r>
    <r>
      <rPr>
        <sz val="12"/>
        <rFont val="宋体"/>
        <charset val="134"/>
      </rPr>
      <t>　　</t>
    </r>
    <r>
      <rPr>
        <sz val="12"/>
        <rFont val="Times New Roman"/>
        <charset val="134"/>
      </rPr>
      <t>0001-</t>
    </r>
    <r>
      <rPr>
        <sz val="12"/>
        <rFont val="宋体"/>
        <charset val="134"/>
      </rPr>
      <t>天津市宝坻区农村信用合作联社</t>
    </r>
    <r>
      <rPr>
        <sz val="12"/>
        <rFont val="Times New Roman"/>
        <charset val="134"/>
      </rPr>
      <t xml:space="preserve">
</t>
    </r>
    <r>
      <rPr>
        <sz val="12"/>
        <rFont val="宋体"/>
        <charset val="134"/>
      </rPr>
      <t>　　</t>
    </r>
    <r>
      <rPr>
        <sz val="12"/>
        <rFont val="Times New Roman"/>
        <charset val="134"/>
      </rPr>
      <t xml:space="preserve">……
</t>
    </r>
    <r>
      <rPr>
        <sz val="12"/>
        <rFont val="宋体"/>
        <charset val="134"/>
      </rPr>
      <t>　　新疆维吾尔自治区</t>
    </r>
    <r>
      <rPr>
        <sz val="12"/>
        <rFont val="Times New Roman"/>
        <charset val="134"/>
      </rPr>
      <t xml:space="preserve">
</t>
    </r>
    <r>
      <rPr>
        <sz val="12"/>
        <rFont val="宋体"/>
        <charset val="134"/>
      </rPr>
      <t>　　</t>
    </r>
    <r>
      <rPr>
        <sz val="12"/>
        <rFont val="Times New Roman"/>
        <charset val="134"/>
      </rPr>
      <t>0001-</t>
    </r>
    <r>
      <rPr>
        <sz val="12"/>
        <rFont val="宋体"/>
        <charset val="134"/>
      </rPr>
      <t>新疆维吾尔自治区农村信用社联合社</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F-</t>
    </r>
    <r>
      <rPr>
        <sz val="12"/>
        <rFont val="宋体"/>
        <charset val="134"/>
      </rPr>
      <t>资金互助社</t>
    </r>
    <r>
      <rPr>
        <sz val="12"/>
        <rFont val="Times New Roman"/>
        <charset val="134"/>
      </rPr>
      <t xml:space="preserve">
</t>
    </r>
    <r>
      <rPr>
        <sz val="12"/>
        <rFont val="宋体"/>
        <charset val="134"/>
      </rPr>
      <t>　　吉林省</t>
    </r>
    <r>
      <rPr>
        <sz val="12"/>
        <rFont val="Times New Roman"/>
        <charset val="134"/>
      </rPr>
      <t xml:space="preserve">
</t>
    </r>
    <r>
      <rPr>
        <sz val="12"/>
        <rFont val="宋体"/>
        <charset val="134"/>
      </rPr>
      <t>　　</t>
    </r>
    <r>
      <rPr>
        <sz val="12"/>
        <rFont val="Times New Roman"/>
        <charset val="134"/>
      </rPr>
      <t>0001-</t>
    </r>
    <r>
      <rPr>
        <sz val="12"/>
        <rFont val="宋体"/>
        <charset val="134"/>
      </rPr>
      <t>吉林省梨树县闰家村百信农村资金互助社</t>
    </r>
    <r>
      <rPr>
        <sz val="12"/>
        <rFont val="Times New Roman"/>
        <charset val="134"/>
      </rPr>
      <t xml:space="preserve">
</t>
    </r>
    <r>
      <rPr>
        <sz val="12"/>
        <rFont val="宋体"/>
        <charset val="134"/>
      </rPr>
      <t>　　</t>
    </r>
    <r>
      <rPr>
        <sz val="12"/>
        <rFont val="Times New Roman"/>
        <charset val="134"/>
      </rPr>
      <t xml:space="preserve">……
</t>
    </r>
    <r>
      <rPr>
        <sz val="12"/>
        <rFont val="宋体"/>
        <charset val="134"/>
      </rPr>
      <t>　　青海省</t>
    </r>
    <r>
      <rPr>
        <sz val="12"/>
        <rFont val="Times New Roman"/>
        <charset val="134"/>
      </rPr>
      <t xml:space="preserve">
</t>
    </r>
    <r>
      <rPr>
        <sz val="12"/>
        <rFont val="宋体"/>
        <charset val="134"/>
      </rPr>
      <t>　　</t>
    </r>
    <r>
      <rPr>
        <sz val="12"/>
        <rFont val="Times New Roman"/>
        <charset val="134"/>
      </rPr>
      <t>0001-</t>
    </r>
    <r>
      <rPr>
        <sz val="12"/>
        <rFont val="宋体"/>
        <charset val="134"/>
      </rPr>
      <t>青海省乐都县雨润镇兴乐农村资金互助社</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J-</t>
    </r>
    <r>
      <rPr>
        <sz val="12"/>
        <rFont val="宋体"/>
        <charset val="134"/>
      </rPr>
      <t>金融资产管理公司</t>
    </r>
    <r>
      <rPr>
        <sz val="12"/>
        <rFont val="Times New Roman"/>
        <charset val="134"/>
      </rPr>
      <t xml:space="preserve">
</t>
    </r>
    <r>
      <rPr>
        <sz val="12"/>
        <rFont val="宋体"/>
        <charset val="134"/>
      </rPr>
      <t>　　</t>
    </r>
    <r>
      <rPr>
        <sz val="12"/>
        <rFont val="Times New Roman"/>
        <charset val="134"/>
      </rPr>
      <t>0001-</t>
    </r>
    <r>
      <rPr>
        <sz val="12"/>
        <rFont val="宋体"/>
        <charset val="134"/>
      </rPr>
      <t>中国华融资产管理公司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K-</t>
    </r>
    <r>
      <rPr>
        <sz val="12"/>
        <rFont val="宋体"/>
        <charset val="134"/>
      </rPr>
      <t>信托投资公司</t>
    </r>
    <r>
      <rPr>
        <sz val="12"/>
        <rFont val="Times New Roman"/>
        <charset val="134"/>
      </rPr>
      <t xml:space="preserve">
</t>
    </r>
    <r>
      <rPr>
        <sz val="12"/>
        <rFont val="宋体"/>
        <charset val="134"/>
      </rPr>
      <t>　　</t>
    </r>
    <r>
      <rPr>
        <sz val="12"/>
        <rFont val="Times New Roman"/>
        <charset val="134"/>
      </rPr>
      <t>0001-</t>
    </r>
    <r>
      <rPr>
        <sz val="12"/>
        <rFont val="宋体"/>
        <charset val="134"/>
      </rPr>
      <t>中诚信托投资有限责任公司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L-</t>
    </r>
    <r>
      <rPr>
        <sz val="12"/>
        <rFont val="宋体"/>
        <charset val="134"/>
      </rPr>
      <t>财务公司</t>
    </r>
    <r>
      <rPr>
        <sz val="12"/>
        <rFont val="Times New Roman"/>
        <charset val="134"/>
      </rPr>
      <t xml:space="preserve">
</t>
    </r>
    <r>
      <rPr>
        <sz val="12"/>
        <rFont val="宋体"/>
        <charset val="134"/>
      </rPr>
      <t>　　</t>
    </r>
    <r>
      <rPr>
        <sz val="12"/>
        <rFont val="Times New Roman"/>
        <charset val="134"/>
      </rPr>
      <t>0001-</t>
    </r>
    <r>
      <rPr>
        <sz val="12"/>
        <rFont val="宋体"/>
        <charset val="134"/>
      </rPr>
      <t>中海石油财务有限责任公司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M-</t>
    </r>
    <r>
      <rPr>
        <sz val="12"/>
        <rFont val="宋体"/>
        <charset val="134"/>
      </rPr>
      <t>金融租赁公司</t>
    </r>
    <r>
      <rPr>
        <sz val="12"/>
        <rFont val="Times New Roman"/>
        <charset val="134"/>
      </rPr>
      <t xml:space="preserve">
</t>
    </r>
    <r>
      <rPr>
        <sz val="12"/>
        <rFont val="宋体"/>
        <charset val="134"/>
      </rPr>
      <t>　　</t>
    </r>
    <r>
      <rPr>
        <sz val="12"/>
        <rFont val="Times New Roman"/>
        <charset val="134"/>
      </rPr>
      <t>0001-</t>
    </r>
    <r>
      <rPr>
        <sz val="12"/>
        <rFont val="宋体"/>
        <charset val="134"/>
      </rPr>
      <t>中国外贸金融租赁公司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N-</t>
    </r>
    <r>
      <rPr>
        <sz val="12"/>
        <rFont val="宋体"/>
        <charset val="134"/>
      </rPr>
      <t>汽车金融公司</t>
    </r>
    <r>
      <rPr>
        <sz val="12"/>
        <rFont val="Times New Roman"/>
        <charset val="134"/>
      </rPr>
      <t xml:space="preserve">
</t>
    </r>
    <r>
      <rPr>
        <sz val="12"/>
        <rFont val="宋体"/>
        <charset val="134"/>
      </rPr>
      <t>　　</t>
    </r>
    <r>
      <rPr>
        <sz val="12"/>
        <rFont val="Times New Roman"/>
        <charset val="134"/>
      </rPr>
      <t>0001-</t>
    </r>
    <r>
      <rPr>
        <sz val="12"/>
        <rFont val="宋体"/>
        <charset val="134"/>
      </rPr>
      <t>大众汽车金融（中国）有限公司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P-</t>
    </r>
    <r>
      <rPr>
        <sz val="12"/>
        <rFont val="宋体"/>
        <charset val="134"/>
      </rPr>
      <t>货币经纪公司</t>
    </r>
    <r>
      <rPr>
        <sz val="12"/>
        <rFont val="Times New Roman"/>
        <charset val="134"/>
      </rPr>
      <t xml:space="preserve">
</t>
    </r>
    <r>
      <rPr>
        <sz val="12"/>
        <rFont val="宋体"/>
        <charset val="134"/>
      </rPr>
      <t>　　</t>
    </r>
    <r>
      <rPr>
        <sz val="12"/>
        <rFont val="Times New Roman"/>
        <charset val="134"/>
      </rPr>
      <t>0001-</t>
    </r>
    <r>
      <rPr>
        <sz val="12"/>
        <rFont val="宋体"/>
        <charset val="134"/>
      </rPr>
      <t>上海国利货币经纪有限公司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t>
    </r>
    <r>
      <rPr>
        <sz val="12"/>
        <rFont val="Times New Roman"/>
        <charset val="134"/>
      </rPr>
      <t>Q-</t>
    </r>
    <r>
      <rPr>
        <sz val="12"/>
        <rFont val="宋体"/>
        <charset val="134"/>
      </rPr>
      <t>贷款公司四川省</t>
    </r>
    <r>
      <rPr>
        <sz val="12"/>
        <rFont val="Times New Roman"/>
        <charset val="134"/>
      </rPr>
      <t xml:space="preserve">
</t>
    </r>
    <r>
      <rPr>
        <sz val="12"/>
        <rFont val="宋体"/>
        <charset val="134"/>
      </rPr>
      <t>　　</t>
    </r>
    <r>
      <rPr>
        <sz val="12"/>
        <rFont val="Times New Roman"/>
        <charset val="134"/>
      </rPr>
      <t>0001-</t>
    </r>
    <r>
      <rPr>
        <sz val="12"/>
        <rFont val="宋体"/>
        <charset val="134"/>
      </rPr>
      <t>四川省仪陇县惠民贷款有限责任公司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新疆维吾尔自治区</t>
    </r>
    <r>
      <rPr>
        <sz val="12"/>
        <rFont val="Times New Roman"/>
        <charset val="134"/>
      </rPr>
      <t xml:space="preserve">
</t>
    </r>
    <r>
      <rPr>
        <sz val="12"/>
        <rFont val="宋体"/>
        <charset val="134"/>
      </rPr>
      <t>　　</t>
    </r>
    <r>
      <rPr>
        <sz val="12"/>
        <rFont val="Times New Roman"/>
        <charset val="134"/>
      </rPr>
      <t xml:space="preserve">0001-
</t>
    </r>
    <r>
      <rPr>
        <sz val="12"/>
        <rFont val="宋体"/>
        <charset val="134"/>
      </rPr>
      <t>　　</t>
    </r>
    <r>
      <rPr>
        <sz val="12"/>
        <rFont val="Times New Roman"/>
        <charset val="134"/>
      </rPr>
      <t xml:space="preserve">……
</t>
    </r>
    <r>
      <rPr>
        <sz val="12"/>
        <rFont val="宋体"/>
        <charset val="134"/>
      </rPr>
      <t>　　</t>
    </r>
    <r>
      <rPr>
        <sz val="12"/>
        <rFont val="Times New Roman"/>
        <charset val="134"/>
      </rPr>
      <t>Z-</t>
    </r>
    <r>
      <rPr>
        <sz val="12"/>
        <rFont val="宋体"/>
        <charset val="134"/>
      </rPr>
      <t>其他类金融机构</t>
    </r>
    <r>
      <rPr>
        <sz val="12"/>
        <rFont val="Times New Roman"/>
        <charset val="134"/>
      </rPr>
      <t xml:space="preserve">
</t>
    </r>
    <r>
      <rPr>
        <sz val="12"/>
        <rFont val="宋体"/>
        <charset val="134"/>
      </rPr>
      <t>　　</t>
    </r>
    <r>
      <rPr>
        <sz val="12"/>
        <rFont val="Times New Roman"/>
        <charset val="134"/>
      </rPr>
      <t>0001-</t>
    </r>
    <r>
      <rPr>
        <sz val="12"/>
        <rFont val="宋体"/>
        <charset val="134"/>
      </rPr>
      <t>中央国债登记结算有限责任公司</t>
    </r>
    <r>
      <rPr>
        <sz val="12"/>
        <rFont val="Times New Roman"/>
        <charset val="134"/>
      </rPr>
      <t xml:space="preserve">
</t>
    </r>
    <r>
      <rPr>
        <sz val="12"/>
        <rFont val="宋体"/>
        <charset val="134"/>
      </rPr>
      <t>　　</t>
    </r>
    <r>
      <rPr>
        <sz val="12"/>
        <rFont val="Times New Roman"/>
        <charset val="134"/>
      </rPr>
      <t xml:space="preserve">……
</t>
    </r>
    <r>
      <rPr>
        <sz val="12"/>
        <rFont val="宋体"/>
        <charset val="134"/>
      </rPr>
      <t>　　（三）第〔六〕位是组织类别代码，用大写英文字母表示。</t>
    </r>
    <r>
      <rPr>
        <sz val="12"/>
        <rFont val="Times New Roman"/>
        <charset val="134"/>
      </rPr>
      <t xml:space="preserve">
</t>
    </r>
    <r>
      <rPr>
        <sz val="12"/>
        <rFont val="宋体"/>
        <charset val="134"/>
      </rPr>
      <t>　　机构类型不同，组织类别代码的含义不同。定义如下：</t>
    </r>
    <r>
      <rPr>
        <sz val="12"/>
        <rFont val="Times New Roman"/>
        <charset val="134"/>
      </rPr>
      <t xml:space="preserve">
</t>
    </r>
    <r>
      <rPr>
        <sz val="12"/>
        <rFont val="宋体"/>
        <charset val="134"/>
      </rPr>
      <t>　　</t>
    </r>
    <r>
      <rPr>
        <sz val="12"/>
        <rFont val="Times New Roman"/>
        <charset val="134"/>
      </rPr>
      <t>1.A-</t>
    </r>
    <r>
      <rPr>
        <sz val="12"/>
        <rFont val="宋体"/>
        <charset val="134"/>
      </rPr>
      <t>政策性银行</t>
    </r>
    <r>
      <rPr>
        <sz val="12"/>
        <rFont val="Times New Roman"/>
        <charset val="134"/>
      </rPr>
      <t xml:space="preserve">
</t>
    </r>
    <r>
      <rPr>
        <sz val="12"/>
        <rFont val="宋体"/>
        <charset val="134"/>
      </rPr>
      <t>　　</t>
    </r>
    <r>
      <rPr>
        <sz val="12"/>
        <rFont val="Times New Roman"/>
        <charset val="134"/>
      </rPr>
      <t>H-</t>
    </r>
    <r>
      <rPr>
        <sz val="12"/>
        <rFont val="宋体"/>
        <charset val="134"/>
      </rPr>
      <t>总行</t>
    </r>
    <r>
      <rPr>
        <sz val="12"/>
        <rFont val="Times New Roman"/>
        <charset val="134"/>
      </rPr>
      <t xml:space="preserve">
</t>
    </r>
    <r>
      <rPr>
        <sz val="12"/>
        <rFont val="宋体"/>
        <charset val="134"/>
      </rPr>
      <t>　　</t>
    </r>
    <r>
      <rPr>
        <sz val="12"/>
        <rFont val="Times New Roman"/>
        <charset val="134"/>
      </rPr>
      <t>G-</t>
    </r>
    <r>
      <rPr>
        <sz val="12"/>
        <rFont val="宋体"/>
        <charset val="134"/>
      </rPr>
      <t>总行营业部</t>
    </r>
    <r>
      <rPr>
        <sz val="12"/>
        <rFont val="Times New Roman"/>
        <charset val="134"/>
      </rPr>
      <t xml:space="preserve">
</t>
    </r>
    <r>
      <rPr>
        <sz val="12"/>
        <rFont val="宋体"/>
        <charset val="134"/>
      </rPr>
      <t>　　</t>
    </r>
    <r>
      <rPr>
        <sz val="12"/>
        <rFont val="Times New Roman"/>
        <charset val="134"/>
      </rPr>
      <t>H-</t>
    </r>
    <r>
      <rPr>
        <sz val="12"/>
        <rFont val="宋体"/>
        <charset val="134"/>
      </rPr>
      <t>级分行</t>
    </r>
    <r>
      <rPr>
        <sz val="12"/>
        <rFont val="Times New Roman"/>
        <charset val="134"/>
      </rPr>
      <t xml:space="preserve">
</t>
    </r>
    <r>
      <rPr>
        <sz val="12"/>
        <rFont val="宋体"/>
        <charset val="134"/>
      </rPr>
      <t>　　</t>
    </r>
    <r>
      <rPr>
        <sz val="12"/>
        <rFont val="Times New Roman"/>
        <charset val="134"/>
      </rPr>
      <t>K-</t>
    </r>
    <r>
      <rPr>
        <sz val="12"/>
        <rFont val="宋体"/>
        <charset val="134"/>
      </rPr>
      <t>一级分行营业部</t>
    </r>
    <r>
      <rPr>
        <sz val="12"/>
        <rFont val="Times New Roman"/>
        <charset val="134"/>
      </rPr>
      <t xml:space="preserve">
</t>
    </r>
    <r>
      <rPr>
        <sz val="12"/>
        <rFont val="宋体"/>
        <charset val="134"/>
      </rPr>
      <t>　　</t>
    </r>
    <r>
      <rPr>
        <sz val="12"/>
        <rFont val="Times New Roman"/>
        <charset val="134"/>
      </rPr>
      <t>M-</t>
    </r>
    <r>
      <rPr>
        <sz val="12"/>
        <rFont val="宋体"/>
        <charset val="134"/>
      </rPr>
      <t>二级分行</t>
    </r>
    <r>
      <rPr>
        <sz val="12"/>
        <rFont val="Times New Roman"/>
        <charset val="134"/>
      </rPr>
      <t xml:space="preserve">
</t>
    </r>
    <r>
      <rPr>
        <sz val="12"/>
        <rFont val="宋体"/>
        <charset val="134"/>
      </rPr>
      <t>　　</t>
    </r>
    <r>
      <rPr>
        <sz val="12"/>
        <rFont val="Times New Roman"/>
        <charset val="134"/>
      </rPr>
      <t>S-</t>
    </r>
    <r>
      <rPr>
        <sz val="12"/>
        <rFont val="宋体"/>
        <charset val="134"/>
      </rPr>
      <t>支行</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2.B-</t>
    </r>
    <r>
      <rPr>
        <sz val="12"/>
        <rFont val="宋体"/>
        <charset val="134"/>
      </rPr>
      <t>商业银行</t>
    </r>
    <r>
      <rPr>
        <sz val="12"/>
        <rFont val="Times New Roman"/>
        <charset val="134"/>
      </rPr>
      <t xml:space="preserve">
</t>
    </r>
    <r>
      <rPr>
        <sz val="12"/>
        <rFont val="宋体"/>
        <charset val="134"/>
      </rPr>
      <t>　　</t>
    </r>
    <r>
      <rPr>
        <sz val="12"/>
        <rFont val="Times New Roman"/>
        <charset val="134"/>
      </rPr>
      <t>H-</t>
    </r>
    <r>
      <rPr>
        <sz val="12"/>
        <rFont val="宋体"/>
        <charset val="134"/>
      </rPr>
      <t>总行</t>
    </r>
    <r>
      <rPr>
        <sz val="12"/>
        <rFont val="Times New Roman"/>
        <charset val="134"/>
      </rPr>
      <t xml:space="preserve">
</t>
    </r>
    <r>
      <rPr>
        <sz val="12"/>
        <rFont val="宋体"/>
        <charset val="134"/>
      </rPr>
      <t>　　</t>
    </r>
    <r>
      <rPr>
        <sz val="12"/>
        <rFont val="Times New Roman"/>
        <charset val="134"/>
      </rPr>
      <t>G-</t>
    </r>
    <r>
      <rPr>
        <sz val="12"/>
        <rFont val="宋体"/>
        <charset val="134"/>
      </rPr>
      <t>总行营业部、专营机构</t>
    </r>
    <r>
      <rPr>
        <sz val="12"/>
        <rFont val="Times New Roman"/>
        <charset val="134"/>
      </rPr>
      <t xml:space="preserve">
</t>
    </r>
    <r>
      <rPr>
        <sz val="12"/>
        <rFont val="宋体"/>
        <charset val="134"/>
      </rPr>
      <t>　　</t>
    </r>
    <r>
      <rPr>
        <sz val="12"/>
        <rFont val="Times New Roman"/>
        <charset val="134"/>
      </rPr>
      <t>B-</t>
    </r>
    <r>
      <rPr>
        <sz val="12"/>
        <rFont val="宋体"/>
        <charset val="134"/>
      </rPr>
      <t>一级分行</t>
    </r>
    <r>
      <rPr>
        <sz val="12"/>
        <rFont val="Times New Roman"/>
        <charset val="134"/>
      </rPr>
      <t xml:space="preserve">
</t>
    </r>
    <r>
      <rPr>
        <sz val="12"/>
        <rFont val="宋体"/>
        <charset val="134"/>
      </rPr>
      <t>　　</t>
    </r>
    <r>
      <rPr>
        <sz val="12"/>
        <rFont val="Times New Roman"/>
        <charset val="134"/>
      </rPr>
      <t>K-</t>
    </r>
    <r>
      <rPr>
        <sz val="12"/>
        <rFont val="宋体"/>
        <charset val="134"/>
      </rPr>
      <t>一级分行营业部</t>
    </r>
    <r>
      <rPr>
        <sz val="12"/>
        <rFont val="Times New Roman"/>
        <charset val="134"/>
      </rPr>
      <t xml:space="preserve">
</t>
    </r>
    <r>
      <rPr>
        <sz val="12"/>
        <rFont val="宋体"/>
        <charset val="134"/>
      </rPr>
      <t>　　</t>
    </r>
    <r>
      <rPr>
        <sz val="12"/>
        <rFont val="Times New Roman"/>
        <charset val="134"/>
      </rPr>
      <t>L-</t>
    </r>
    <r>
      <rPr>
        <sz val="12"/>
        <rFont val="宋体"/>
        <charset val="134"/>
      </rPr>
      <t>二级分行</t>
    </r>
    <r>
      <rPr>
        <sz val="12"/>
        <rFont val="Times New Roman"/>
        <charset val="134"/>
      </rPr>
      <t xml:space="preserve">
</t>
    </r>
    <r>
      <rPr>
        <sz val="12"/>
        <rFont val="宋体"/>
        <charset val="134"/>
      </rPr>
      <t>　　</t>
    </r>
    <r>
      <rPr>
        <sz val="12"/>
        <rFont val="Times New Roman"/>
        <charset val="134"/>
      </rPr>
      <t>M-</t>
    </r>
    <r>
      <rPr>
        <sz val="12"/>
        <rFont val="宋体"/>
        <charset val="134"/>
      </rPr>
      <t>直属支行</t>
    </r>
    <r>
      <rPr>
        <sz val="12"/>
        <rFont val="Times New Roman"/>
        <charset val="134"/>
      </rPr>
      <t xml:space="preserve">
</t>
    </r>
    <r>
      <rPr>
        <sz val="12"/>
        <rFont val="宋体"/>
        <charset val="134"/>
      </rPr>
      <t>　　</t>
    </r>
    <r>
      <rPr>
        <sz val="12"/>
        <rFont val="Times New Roman"/>
        <charset val="134"/>
      </rPr>
      <t>N-</t>
    </r>
    <r>
      <rPr>
        <sz val="12"/>
        <rFont val="宋体"/>
        <charset val="134"/>
      </rPr>
      <t>二级分行营业部</t>
    </r>
    <r>
      <rPr>
        <sz val="12"/>
        <rFont val="Times New Roman"/>
        <charset val="134"/>
      </rPr>
      <t xml:space="preserve">
</t>
    </r>
    <r>
      <rPr>
        <sz val="12"/>
        <rFont val="宋体"/>
        <charset val="134"/>
      </rPr>
      <t>　　</t>
    </r>
    <r>
      <rPr>
        <sz val="12"/>
        <rFont val="Times New Roman"/>
        <charset val="134"/>
      </rPr>
      <t>S-</t>
    </r>
    <r>
      <rPr>
        <sz val="12"/>
        <rFont val="宋体"/>
        <charset val="134"/>
      </rPr>
      <t>支行</t>
    </r>
    <r>
      <rPr>
        <sz val="12"/>
        <rFont val="Times New Roman"/>
        <charset val="134"/>
      </rPr>
      <t xml:space="preserve">
</t>
    </r>
    <r>
      <rPr>
        <sz val="12"/>
        <rFont val="宋体"/>
        <charset val="134"/>
      </rPr>
      <t>　　</t>
    </r>
    <r>
      <rPr>
        <sz val="12"/>
        <rFont val="Times New Roman"/>
        <charset val="134"/>
      </rPr>
      <t>U-</t>
    </r>
    <r>
      <rPr>
        <sz val="12"/>
        <rFont val="宋体"/>
        <charset val="134"/>
      </rPr>
      <t>分理处、办事处、营业所</t>
    </r>
    <r>
      <rPr>
        <sz val="12"/>
        <rFont val="Times New Roman"/>
        <charset val="134"/>
      </rPr>
      <t xml:space="preserve">
</t>
    </r>
    <r>
      <rPr>
        <sz val="12"/>
        <rFont val="宋体"/>
        <charset val="134"/>
      </rPr>
      <t>　　</t>
    </r>
    <r>
      <rPr>
        <sz val="12"/>
        <rFont val="Times New Roman"/>
        <charset val="134"/>
      </rPr>
      <t>V-</t>
    </r>
    <r>
      <rPr>
        <sz val="12"/>
        <rFont val="宋体"/>
        <charset val="134"/>
      </rPr>
      <t>储蓄所</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3.C-</t>
    </r>
    <r>
      <rPr>
        <sz val="12"/>
        <rFont val="宋体"/>
        <charset val="134"/>
      </rPr>
      <t>农村合作银行</t>
    </r>
    <r>
      <rPr>
        <sz val="12"/>
        <rFont val="Times New Roman"/>
        <charset val="134"/>
      </rPr>
      <t xml:space="preserve">
</t>
    </r>
    <r>
      <rPr>
        <sz val="12"/>
        <rFont val="宋体"/>
        <charset val="134"/>
      </rPr>
      <t>　　</t>
    </r>
    <r>
      <rPr>
        <sz val="12"/>
        <rFont val="Times New Roman"/>
        <charset val="134"/>
      </rPr>
      <t>H-</t>
    </r>
    <r>
      <rPr>
        <sz val="12"/>
        <rFont val="宋体"/>
        <charset val="134"/>
      </rPr>
      <t>总行</t>
    </r>
    <r>
      <rPr>
        <sz val="12"/>
        <rFont val="Times New Roman"/>
        <charset val="134"/>
      </rPr>
      <t xml:space="preserve">
</t>
    </r>
    <r>
      <rPr>
        <sz val="12"/>
        <rFont val="宋体"/>
        <charset val="134"/>
      </rPr>
      <t>　　</t>
    </r>
    <r>
      <rPr>
        <sz val="12"/>
        <rFont val="Times New Roman"/>
        <charset val="134"/>
      </rPr>
      <t>S-</t>
    </r>
    <r>
      <rPr>
        <sz val="12"/>
        <rFont val="宋体"/>
        <charset val="134"/>
      </rPr>
      <t>支行</t>
    </r>
    <r>
      <rPr>
        <sz val="12"/>
        <rFont val="Times New Roman"/>
        <charset val="134"/>
      </rPr>
      <t xml:space="preserve">
</t>
    </r>
    <r>
      <rPr>
        <sz val="12"/>
        <rFont val="宋体"/>
        <charset val="134"/>
      </rPr>
      <t>　　</t>
    </r>
    <r>
      <rPr>
        <sz val="12"/>
        <rFont val="Times New Roman"/>
        <charset val="134"/>
      </rPr>
      <t>U-</t>
    </r>
    <r>
      <rPr>
        <sz val="12"/>
        <rFont val="宋体"/>
        <charset val="134"/>
      </rPr>
      <t>分理处</t>
    </r>
    <r>
      <rPr>
        <sz val="12"/>
        <rFont val="Times New Roman"/>
        <charset val="134"/>
      </rPr>
      <t xml:space="preserve">
</t>
    </r>
    <r>
      <rPr>
        <sz val="12"/>
        <rFont val="宋体"/>
        <charset val="134"/>
      </rPr>
      <t>　　</t>
    </r>
    <r>
      <rPr>
        <sz val="12"/>
        <rFont val="Times New Roman"/>
        <charset val="134"/>
      </rPr>
      <t>V-</t>
    </r>
    <r>
      <rPr>
        <sz val="12"/>
        <rFont val="宋体"/>
        <charset val="134"/>
      </rPr>
      <t>储蓄所</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4.D-</t>
    </r>
    <r>
      <rPr>
        <sz val="12"/>
        <rFont val="宋体"/>
        <charset val="134"/>
      </rPr>
      <t>城市信用社</t>
    </r>
    <r>
      <rPr>
        <sz val="12"/>
        <rFont val="Times New Roman"/>
        <charset val="134"/>
      </rPr>
      <t xml:space="preserve">
</t>
    </r>
    <r>
      <rPr>
        <sz val="12"/>
        <rFont val="宋体"/>
        <charset val="134"/>
      </rPr>
      <t>　　</t>
    </r>
    <r>
      <rPr>
        <sz val="12"/>
        <rFont val="Times New Roman"/>
        <charset val="134"/>
      </rPr>
      <t>H-</t>
    </r>
    <r>
      <rPr>
        <sz val="12"/>
        <rFont val="宋体"/>
        <charset val="134"/>
      </rPr>
      <t>法人</t>
    </r>
    <r>
      <rPr>
        <sz val="12"/>
        <rFont val="Times New Roman"/>
        <charset val="134"/>
      </rPr>
      <t xml:space="preserve">
</t>
    </r>
    <r>
      <rPr>
        <sz val="12"/>
        <rFont val="宋体"/>
        <charset val="134"/>
      </rPr>
      <t>　　</t>
    </r>
    <r>
      <rPr>
        <sz val="12"/>
        <rFont val="Times New Roman"/>
        <charset val="134"/>
      </rPr>
      <t>S-</t>
    </r>
    <r>
      <rPr>
        <sz val="12"/>
        <rFont val="宋体"/>
        <charset val="134"/>
      </rPr>
      <t>分社、营业部</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5.E-</t>
    </r>
    <r>
      <rPr>
        <sz val="12"/>
        <rFont val="宋体"/>
        <charset val="134"/>
      </rPr>
      <t>农村信用社</t>
    </r>
    <r>
      <rPr>
        <sz val="12"/>
        <rFont val="Times New Roman"/>
        <charset val="134"/>
      </rPr>
      <t xml:space="preserve">
</t>
    </r>
    <r>
      <rPr>
        <sz val="12"/>
        <rFont val="宋体"/>
        <charset val="134"/>
      </rPr>
      <t>　　</t>
    </r>
    <r>
      <rPr>
        <sz val="12"/>
        <rFont val="Times New Roman"/>
        <charset val="134"/>
      </rPr>
      <t>H-</t>
    </r>
    <r>
      <rPr>
        <sz val="12"/>
        <rFont val="宋体"/>
        <charset val="134"/>
      </rPr>
      <t>省（自治区、直辖市）联合社</t>
    </r>
    <r>
      <rPr>
        <sz val="12"/>
        <rFont val="Times New Roman"/>
        <charset val="134"/>
      </rPr>
      <t xml:space="preserve">
</t>
    </r>
    <r>
      <rPr>
        <sz val="12"/>
        <rFont val="宋体"/>
        <charset val="134"/>
      </rPr>
      <t>　　</t>
    </r>
    <r>
      <rPr>
        <sz val="12"/>
        <rFont val="Times New Roman"/>
        <charset val="134"/>
      </rPr>
      <t>B-</t>
    </r>
    <r>
      <rPr>
        <sz val="12"/>
        <rFont val="宋体"/>
        <charset val="134"/>
      </rPr>
      <t>地（市）联合社、联社</t>
    </r>
    <r>
      <rPr>
        <sz val="12"/>
        <rFont val="Times New Roman"/>
        <charset val="134"/>
      </rPr>
      <t xml:space="preserve">
</t>
    </r>
    <r>
      <rPr>
        <sz val="12"/>
        <rFont val="宋体"/>
        <charset val="134"/>
      </rPr>
      <t>　　</t>
    </r>
    <r>
      <rPr>
        <sz val="12"/>
        <rFont val="Times New Roman"/>
        <charset val="134"/>
      </rPr>
      <t>S-</t>
    </r>
    <r>
      <rPr>
        <sz val="12"/>
        <rFont val="宋体"/>
        <charset val="134"/>
      </rPr>
      <t>县（市）联合社、联社、合作社（县级）</t>
    </r>
    <r>
      <rPr>
        <sz val="12"/>
        <rFont val="Times New Roman"/>
        <charset val="134"/>
      </rPr>
      <t xml:space="preserve">
</t>
    </r>
    <r>
      <rPr>
        <sz val="12"/>
        <rFont val="宋体"/>
        <charset val="134"/>
      </rPr>
      <t>　　</t>
    </r>
    <r>
      <rPr>
        <sz val="12"/>
        <rFont val="Times New Roman"/>
        <charset val="134"/>
      </rPr>
      <t>T-</t>
    </r>
    <r>
      <rPr>
        <sz val="12"/>
        <rFont val="宋体"/>
        <charset val="134"/>
      </rPr>
      <t>信用合作社</t>
    </r>
    <r>
      <rPr>
        <sz val="12"/>
        <rFont val="Times New Roman"/>
        <charset val="134"/>
      </rPr>
      <t xml:space="preserve">
</t>
    </r>
    <r>
      <rPr>
        <sz val="12"/>
        <rFont val="宋体"/>
        <charset val="134"/>
      </rPr>
      <t>　　</t>
    </r>
    <r>
      <rPr>
        <sz val="12"/>
        <rFont val="Times New Roman"/>
        <charset val="134"/>
      </rPr>
      <t>U-</t>
    </r>
    <r>
      <rPr>
        <sz val="12"/>
        <rFont val="宋体"/>
        <charset val="134"/>
      </rPr>
      <t>信用社、分社</t>
    </r>
    <r>
      <rPr>
        <sz val="12"/>
        <rFont val="Times New Roman"/>
        <charset val="134"/>
      </rPr>
      <t xml:space="preserve">
</t>
    </r>
    <r>
      <rPr>
        <sz val="12"/>
        <rFont val="宋体"/>
        <charset val="134"/>
      </rPr>
      <t>　　</t>
    </r>
    <r>
      <rPr>
        <sz val="12"/>
        <rFont val="Times New Roman"/>
        <charset val="134"/>
      </rPr>
      <t>V-</t>
    </r>
    <r>
      <rPr>
        <sz val="12"/>
        <rFont val="宋体"/>
        <charset val="134"/>
      </rPr>
      <t>储蓄所</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6.F-</t>
    </r>
    <r>
      <rPr>
        <sz val="12"/>
        <rFont val="宋体"/>
        <charset val="134"/>
      </rPr>
      <t>资金互助社</t>
    </r>
    <r>
      <rPr>
        <sz val="12"/>
        <rFont val="Times New Roman"/>
        <charset val="134"/>
      </rPr>
      <t xml:space="preserve">
</t>
    </r>
    <r>
      <rPr>
        <sz val="12"/>
        <rFont val="宋体"/>
        <charset val="134"/>
      </rPr>
      <t>　　</t>
    </r>
    <r>
      <rPr>
        <sz val="12"/>
        <rFont val="Times New Roman"/>
        <charset val="134"/>
      </rPr>
      <t>H-</t>
    </r>
    <r>
      <rPr>
        <sz val="12"/>
        <rFont val="宋体"/>
        <charset val="134"/>
      </rPr>
      <t>法人</t>
    </r>
    <r>
      <rPr>
        <sz val="12"/>
        <rFont val="Times New Roman"/>
        <charset val="134"/>
      </rPr>
      <t xml:space="preserve">
</t>
    </r>
    <r>
      <rPr>
        <sz val="12"/>
        <rFont val="宋体"/>
        <charset val="134"/>
      </rPr>
      <t>　　</t>
    </r>
    <r>
      <rPr>
        <sz val="12"/>
        <rFont val="Times New Roman"/>
        <charset val="134"/>
      </rPr>
      <t>7.J-</t>
    </r>
    <r>
      <rPr>
        <sz val="12"/>
        <rFont val="宋体"/>
        <charset val="134"/>
      </rPr>
      <t>金融资产管理公司</t>
    </r>
    <r>
      <rPr>
        <sz val="12"/>
        <rFont val="Times New Roman"/>
        <charset val="134"/>
      </rPr>
      <t xml:space="preserve">
</t>
    </r>
    <r>
      <rPr>
        <sz val="12"/>
        <rFont val="宋体"/>
        <charset val="134"/>
      </rPr>
      <t>　　</t>
    </r>
    <r>
      <rPr>
        <sz val="12"/>
        <rFont val="Times New Roman"/>
        <charset val="134"/>
      </rPr>
      <t>H-</t>
    </r>
    <r>
      <rPr>
        <sz val="12"/>
        <rFont val="宋体"/>
        <charset val="134"/>
      </rPr>
      <t>总公司</t>
    </r>
    <r>
      <rPr>
        <sz val="12"/>
        <rFont val="Times New Roman"/>
        <charset val="134"/>
      </rPr>
      <t xml:space="preserve">
</t>
    </r>
    <r>
      <rPr>
        <sz val="12"/>
        <rFont val="宋体"/>
        <charset val="134"/>
      </rPr>
      <t>　　</t>
    </r>
    <r>
      <rPr>
        <sz val="12"/>
        <rFont val="Times New Roman"/>
        <charset val="134"/>
      </rPr>
      <t>B-</t>
    </r>
    <r>
      <rPr>
        <sz val="12"/>
        <rFont val="宋体"/>
        <charset val="134"/>
      </rPr>
      <t>办事处</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8.K-</t>
    </r>
    <r>
      <rPr>
        <sz val="12"/>
        <rFont val="宋体"/>
        <charset val="134"/>
      </rPr>
      <t>信托公司</t>
    </r>
    <r>
      <rPr>
        <sz val="12"/>
        <rFont val="Times New Roman"/>
        <charset val="134"/>
      </rPr>
      <t xml:space="preserve">
</t>
    </r>
    <r>
      <rPr>
        <sz val="12"/>
        <rFont val="宋体"/>
        <charset val="134"/>
      </rPr>
      <t>　　</t>
    </r>
    <r>
      <rPr>
        <sz val="12"/>
        <rFont val="Times New Roman"/>
        <charset val="134"/>
      </rPr>
      <t>H-</t>
    </r>
    <r>
      <rPr>
        <sz val="12"/>
        <rFont val="宋体"/>
        <charset val="134"/>
      </rPr>
      <t>法人</t>
    </r>
    <r>
      <rPr>
        <sz val="12"/>
        <rFont val="Times New Roman"/>
        <charset val="134"/>
      </rPr>
      <t xml:space="preserve">
</t>
    </r>
    <r>
      <rPr>
        <sz val="12"/>
        <rFont val="宋体"/>
        <charset val="134"/>
      </rPr>
      <t>　　</t>
    </r>
    <r>
      <rPr>
        <sz val="12"/>
        <rFont val="Times New Roman"/>
        <charset val="134"/>
      </rPr>
      <t>9.N-</t>
    </r>
    <r>
      <rPr>
        <sz val="12"/>
        <rFont val="宋体"/>
        <charset val="134"/>
      </rPr>
      <t>汽车金融公司</t>
    </r>
    <r>
      <rPr>
        <sz val="12"/>
        <rFont val="Times New Roman"/>
        <charset val="134"/>
      </rPr>
      <t xml:space="preserve">
</t>
    </r>
    <r>
      <rPr>
        <sz val="12"/>
        <rFont val="宋体"/>
        <charset val="134"/>
      </rPr>
      <t>　　</t>
    </r>
    <r>
      <rPr>
        <sz val="12"/>
        <rFont val="Times New Roman"/>
        <charset val="134"/>
      </rPr>
      <t>H-</t>
    </r>
    <r>
      <rPr>
        <sz val="12"/>
        <rFont val="宋体"/>
        <charset val="134"/>
      </rPr>
      <t>法人</t>
    </r>
    <r>
      <rPr>
        <sz val="12"/>
        <rFont val="Times New Roman"/>
        <charset val="134"/>
      </rPr>
      <t xml:space="preserve">
</t>
    </r>
    <r>
      <rPr>
        <sz val="12"/>
        <rFont val="宋体"/>
        <charset val="134"/>
      </rPr>
      <t>　　</t>
    </r>
    <r>
      <rPr>
        <sz val="12"/>
        <rFont val="Times New Roman"/>
        <charset val="134"/>
      </rPr>
      <t>10.L-</t>
    </r>
    <r>
      <rPr>
        <sz val="12"/>
        <rFont val="宋体"/>
        <charset val="134"/>
      </rPr>
      <t>财务公司</t>
    </r>
    <r>
      <rPr>
        <sz val="12"/>
        <rFont val="Times New Roman"/>
        <charset val="134"/>
      </rPr>
      <t xml:space="preserve">
</t>
    </r>
    <r>
      <rPr>
        <sz val="12"/>
        <rFont val="宋体"/>
        <charset val="134"/>
      </rPr>
      <t>　　</t>
    </r>
    <r>
      <rPr>
        <sz val="12"/>
        <rFont val="Times New Roman"/>
        <charset val="134"/>
      </rPr>
      <t>H-</t>
    </r>
    <r>
      <rPr>
        <sz val="12"/>
        <rFont val="宋体"/>
        <charset val="134"/>
      </rPr>
      <t>总公司</t>
    </r>
    <r>
      <rPr>
        <sz val="12"/>
        <rFont val="Times New Roman"/>
        <charset val="134"/>
      </rPr>
      <t xml:space="preserve">
</t>
    </r>
    <r>
      <rPr>
        <sz val="12"/>
        <rFont val="宋体"/>
        <charset val="134"/>
      </rPr>
      <t>　　</t>
    </r>
    <r>
      <rPr>
        <sz val="12"/>
        <rFont val="Times New Roman"/>
        <charset val="134"/>
      </rPr>
      <t>B-</t>
    </r>
    <r>
      <rPr>
        <sz val="12"/>
        <rFont val="宋体"/>
        <charset val="134"/>
      </rPr>
      <t>分公司</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11.M-</t>
    </r>
    <r>
      <rPr>
        <sz val="12"/>
        <rFont val="宋体"/>
        <charset val="134"/>
      </rPr>
      <t>金融租赁公司</t>
    </r>
    <r>
      <rPr>
        <sz val="12"/>
        <rFont val="Times New Roman"/>
        <charset val="134"/>
      </rPr>
      <t xml:space="preserve">
</t>
    </r>
    <r>
      <rPr>
        <sz val="12"/>
        <rFont val="宋体"/>
        <charset val="134"/>
      </rPr>
      <t>　　</t>
    </r>
    <r>
      <rPr>
        <sz val="12"/>
        <rFont val="Times New Roman"/>
        <charset val="134"/>
      </rPr>
      <t>H-</t>
    </r>
    <r>
      <rPr>
        <sz val="12"/>
        <rFont val="宋体"/>
        <charset val="134"/>
      </rPr>
      <t>总公司</t>
    </r>
    <r>
      <rPr>
        <sz val="12"/>
        <rFont val="Times New Roman"/>
        <charset val="134"/>
      </rPr>
      <t xml:space="preserve">
</t>
    </r>
    <r>
      <rPr>
        <sz val="12"/>
        <rFont val="宋体"/>
        <charset val="134"/>
      </rPr>
      <t>　　</t>
    </r>
    <r>
      <rPr>
        <sz val="12"/>
        <rFont val="Times New Roman"/>
        <charset val="134"/>
      </rPr>
      <t>B-</t>
    </r>
    <r>
      <rPr>
        <sz val="12"/>
        <rFont val="宋体"/>
        <charset val="134"/>
      </rPr>
      <t>分公司</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12.P-</t>
    </r>
    <r>
      <rPr>
        <sz val="12"/>
        <rFont val="宋体"/>
        <charset val="134"/>
      </rPr>
      <t>货币经纪公司</t>
    </r>
    <r>
      <rPr>
        <sz val="12"/>
        <rFont val="Times New Roman"/>
        <charset val="134"/>
      </rPr>
      <t xml:space="preserve">
</t>
    </r>
    <r>
      <rPr>
        <sz val="12"/>
        <rFont val="宋体"/>
        <charset val="134"/>
      </rPr>
      <t>　　</t>
    </r>
    <r>
      <rPr>
        <sz val="12"/>
        <rFont val="Times New Roman"/>
        <charset val="134"/>
      </rPr>
      <t>H-</t>
    </r>
    <r>
      <rPr>
        <sz val="12"/>
        <rFont val="宋体"/>
        <charset val="134"/>
      </rPr>
      <t>总公司</t>
    </r>
    <r>
      <rPr>
        <sz val="12"/>
        <rFont val="Times New Roman"/>
        <charset val="134"/>
      </rPr>
      <t xml:space="preserve">
</t>
    </r>
    <r>
      <rPr>
        <sz val="12"/>
        <rFont val="宋体"/>
        <charset val="134"/>
      </rPr>
      <t>　　</t>
    </r>
    <r>
      <rPr>
        <sz val="12"/>
        <rFont val="Times New Roman"/>
        <charset val="134"/>
      </rPr>
      <t>B-</t>
    </r>
    <r>
      <rPr>
        <sz val="12"/>
        <rFont val="宋体"/>
        <charset val="134"/>
      </rPr>
      <t>分公司</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13.Q-</t>
    </r>
    <r>
      <rPr>
        <sz val="12"/>
        <rFont val="宋体"/>
        <charset val="134"/>
      </rPr>
      <t>贷款公司</t>
    </r>
    <r>
      <rPr>
        <sz val="12"/>
        <rFont val="Times New Roman"/>
        <charset val="134"/>
      </rPr>
      <t xml:space="preserve">
</t>
    </r>
    <r>
      <rPr>
        <sz val="12"/>
        <rFont val="宋体"/>
        <charset val="134"/>
      </rPr>
      <t>　　</t>
    </r>
    <r>
      <rPr>
        <sz val="12"/>
        <rFont val="Times New Roman"/>
        <charset val="134"/>
      </rPr>
      <t>H-</t>
    </r>
    <r>
      <rPr>
        <sz val="12"/>
        <rFont val="宋体"/>
        <charset val="134"/>
      </rPr>
      <t>总公司</t>
    </r>
    <r>
      <rPr>
        <sz val="12"/>
        <rFont val="Times New Roman"/>
        <charset val="134"/>
      </rPr>
      <t xml:space="preserve">
</t>
    </r>
    <r>
      <rPr>
        <sz val="12"/>
        <rFont val="宋体"/>
        <charset val="134"/>
      </rPr>
      <t>　　</t>
    </r>
    <r>
      <rPr>
        <sz val="12"/>
        <rFont val="Times New Roman"/>
        <charset val="134"/>
      </rPr>
      <t>B-</t>
    </r>
    <r>
      <rPr>
        <sz val="12"/>
        <rFont val="宋体"/>
        <charset val="134"/>
      </rPr>
      <t>分公司</t>
    </r>
    <r>
      <rPr>
        <sz val="12"/>
        <rFont val="Times New Roman"/>
        <charset val="134"/>
      </rPr>
      <t xml:space="preserve">
</t>
    </r>
    <r>
      <rPr>
        <sz val="12"/>
        <rFont val="宋体"/>
        <charset val="134"/>
      </rPr>
      <t>　　</t>
    </r>
    <r>
      <rPr>
        <sz val="12"/>
        <rFont val="Times New Roman"/>
        <charset val="134"/>
      </rPr>
      <t>X-</t>
    </r>
    <r>
      <rPr>
        <sz val="12"/>
        <rFont val="宋体"/>
        <charset val="134"/>
      </rPr>
      <t>其他分支机构</t>
    </r>
    <r>
      <rPr>
        <sz val="12"/>
        <rFont val="Times New Roman"/>
        <charset val="134"/>
      </rPr>
      <t xml:space="preserve">
</t>
    </r>
    <r>
      <rPr>
        <sz val="12"/>
        <rFont val="宋体"/>
        <charset val="134"/>
      </rPr>
      <t>　　</t>
    </r>
    <r>
      <rPr>
        <sz val="12"/>
        <rFont val="Times New Roman"/>
        <charset val="134"/>
      </rPr>
      <t>14.Z-</t>
    </r>
    <r>
      <rPr>
        <sz val="12"/>
        <rFont val="宋体"/>
        <charset val="134"/>
      </rPr>
      <t>其他类金融机构</t>
    </r>
    <r>
      <rPr>
        <sz val="12"/>
        <rFont val="Times New Roman"/>
        <charset val="134"/>
      </rPr>
      <t xml:space="preserve">
</t>
    </r>
    <r>
      <rPr>
        <sz val="12"/>
        <rFont val="宋体"/>
        <charset val="134"/>
      </rPr>
      <t>　　</t>
    </r>
    <r>
      <rPr>
        <sz val="12"/>
        <rFont val="Times New Roman"/>
        <charset val="134"/>
      </rPr>
      <t>Z</t>
    </r>
    <r>
      <rPr>
        <sz val="12"/>
        <rFont val="宋体"/>
        <charset val="134"/>
      </rPr>
      <t>类机构组织类别代码编码方法参照以上规则。</t>
    </r>
    <r>
      <rPr>
        <sz val="12"/>
        <rFont val="Times New Roman"/>
        <charset val="134"/>
      </rPr>
      <t xml:space="preserve">
</t>
    </r>
    <r>
      <rPr>
        <sz val="12"/>
        <rFont val="宋体"/>
        <charset val="134"/>
      </rPr>
      <t>　　新增机构类型时，参照以上规则，根据实际情况定义其组织类别代码。</t>
    </r>
    <r>
      <rPr>
        <sz val="12"/>
        <rFont val="Times New Roman"/>
        <charset val="134"/>
      </rPr>
      <t xml:space="preserve">
</t>
    </r>
    <r>
      <rPr>
        <sz val="12"/>
        <rFont val="宋体"/>
        <charset val="134"/>
      </rPr>
      <t>　　（四）第〔七〕位是发证机关代码，用数字表示。</t>
    </r>
    <r>
      <rPr>
        <sz val="12"/>
        <rFont val="Times New Roman"/>
        <charset val="134"/>
      </rPr>
      <t xml:space="preserve">
</t>
    </r>
    <r>
      <rPr>
        <sz val="12"/>
        <rFont val="宋体"/>
        <charset val="134"/>
      </rPr>
      <t>　　</t>
    </r>
    <r>
      <rPr>
        <sz val="12"/>
        <rFont val="Times New Roman"/>
        <charset val="134"/>
      </rPr>
      <t>1-</t>
    </r>
    <r>
      <rPr>
        <sz val="12"/>
        <rFont val="宋体"/>
        <charset val="134"/>
      </rPr>
      <t>银保监会</t>
    </r>
    <r>
      <rPr>
        <sz val="12"/>
        <rFont val="Times New Roman"/>
        <charset val="134"/>
      </rPr>
      <t xml:space="preserve">
</t>
    </r>
    <r>
      <rPr>
        <sz val="12"/>
        <rFont val="宋体"/>
        <charset val="134"/>
      </rPr>
      <t>　　</t>
    </r>
    <r>
      <rPr>
        <sz val="12"/>
        <rFont val="Times New Roman"/>
        <charset val="134"/>
      </rPr>
      <t>2-</t>
    </r>
    <r>
      <rPr>
        <sz val="12"/>
        <rFont val="宋体"/>
        <charset val="134"/>
      </rPr>
      <t>银监局</t>
    </r>
    <r>
      <rPr>
        <sz val="12"/>
        <rFont val="Times New Roman"/>
        <charset val="134"/>
      </rPr>
      <t xml:space="preserve">
</t>
    </r>
    <r>
      <rPr>
        <sz val="12"/>
        <rFont val="宋体"/>
        <charset val="134"/>
      </rPr>
      <t>　　</t>
    </r>
    <r>
      <rPr>
        <sz val="12"/>
        <rFont val="Times New Roman"/>
        <charset val="134"/>
      </rPr>
      <t>3-</t>
    </r>
    <r>
      <rPr>
        <sz val="12"/>
        <rFont val="宋体"/>
        <charset val="134"/>
      </rPr>
      <t>银监分局</t>
    </r>
    <r>
      <rPr>
        <sz val="12"/>
        <rFont val="Times New Roman"/>
        <charset val="134"/>
      </rPr>
      <t xml:space="preserve">
</t>
    </r>
    <r>
      <rPr>
        <sz val="12"/>
        <rFont val="宋体"/>
        <charset val="134"/>
      </rPr>
      <t>　　（五）第〔八〕位至第〔十一〕是地址代码，用数字表示。按照《中华人民共和国行政区划代码》</t>
    </r>
    <r>
      <rPr>
        <sz val="12"/>
        <rFont val="Times New Roman"/>
        <charset val="134"/>
      </rPr>
      <t xml:space="preserve"> </t>
    </r>
    <r>
      <rPr>
        <sz val="12"/>
        <rFont val="宋体"/>
        <charset val="134"/>
      </rPr>
      <t>（</t>
    </r>
    <r>
      <rPr>
        <sz val="12"/>
        <rFont val="Times New Roman"/>
        <charset val="134"/>
      </rPr>
      <t>GB/T2260</t>
    </r>
    <r>
      <rPr>
        <sz val="12"/>
        <rFont val="宋体"/>
        <charset val="134"/>
      </rPr>
      <t>），取市（地区、自治州、盟）、直辖市行政区划代码前四位，作为地址代码。</t>
    </r>
    <r>
      <rPr>
        <sz val="12"/>
        <rFont val="Times New Roman"/>
        <charset val="134"/>
      </rPr>
      <t xml:space="preserve">
</t>
    </r>
    <r>
      <rPr>
        <sz val="12"/>
        <rFont val="宋体"/>
        <charset val="134"/>
      </rPr>
      <t>　　地址代码示例如下：</t>
    </r>
    <r>
      <rPr>
        <sz val="12"/>
        <rFont val="Times New Roman"/>
        <charset val="134"/>
      </rPr>
      <t>1100</t>
    </r>
    <r>
      <rPr>
        <sz val="12"/>
        <rFont val="宋体"/>
        <charset val="134"/>
      </rPr>
      <t>表示北京市，</t>
    </r>
    <r>
      <rPr>
        <sz val="12"/>
        <rFont val="Times New Roman"/>
        <charset val="134"/>
      </rPr>
      <t>1200</t>
    </r>
    <r>
      <rPr>
        <sz val="12"/>
        <rFont val="宋体"/>
        <charset val="134"/>
      </rPr>
      <t>表示天津市，</t>
    </r>
    <r>
      <rPr>
        <sz val="12"/>
        <rFont val="Times New Roman"/>
        <charset val="134"/>
      </rPr>
      <t>1301</t>
    </r>
    <r>
      <rPr>
        <sz val="12"/>
        <rFont val="宋体"/>
        <charset val="134"/>
      </rPr>
      <t>表示石家庄市，</t>
    </r>
    <r>
      <rPr>
        <sz val="12"/>
        <rFont val="Times New Roman"/>
        <charset val="134"/>
      </rPr>
      <t xml:space="preserve">……
</t>
    </r>
    <r>
      <rPr>
        <sz val="12"/>
        <rFont val="宋体"/>
        <charset val="134"/>
      </rPr>
      <t>　　（六）第〔十二〕位至第〔十五〕位是顺序代码，用数字表示。机构类型代码、机构代码、组织类别代码、发证机关代码和地址代码相同的机构按照制发金融许可证的顺序编码。</t>
    </r>
    <r>
      <rPr>
        <sz val="12"/>
        <rFont val="Times New Roman"/>
        <charset val="134"/>
      </rPr>
      <t xml:space="preserve">
</t>
    </r>
    <r>
      <rPr>
        <sz val="12"/>
        <rFont val="宋体"/>
        <charset val="134"/>
      </rPr>
      <t>　　三、机构编码的编制规则</t>
    </r>
    <r>
      <rPr>
        <sz val="12"/>
        <rFont val="Times New Roman"/>
        <charset val="134"/>
      </rPr>
      <t xml:space="preserve">
</t>
    </r>
    <r>
      <rPr>
        <sz val="12"/>
        <rFont val="宋体"/>
        <charset val="134"/>
      </rPr>
      <t>　　编制机构编码时，按照从左至右的顺序依次确定机构类型代码、机构代码、组织类别代码、发证机关代码、地址代码、顺序代码，由计算机自动生成。</t>
    </r>
    <r>
      <rPr>
        <sz val="12"/>
        <rFont val="Times New Roman"/>
        <charset val="134"/>
      </rPr>
      <t xml:space="preserve">
</t>
    </r>
    <r>
      <rPr>
        <sz val="12"/>
        <rFont val="宋体"/>
        <charset val="134"/>
      </rPr>
      <t>　　为了保证机构编码的唯一性，以利于电子计算机较长时间地存储数据，因行政许可变更需换发金融许可证，涉及机构编码变更的，原机构编码不再使用</t>
    </r>
    <r>
      <rPr>
        <sz val="12"/>
        <rFont val="Times New Roman"/>
        <charset val="134"/>
      </rPr>
      <t>.</t>
    </r>
    <r>
      <rPr>
        <sz val="12"/>
        <rFont val="宋体"/>
        <charset val="134"/>
      </rPr>
      <t>金融机构终止的，机构编码不再使用。注销开业许可收回金融许可证的，机构编码不再使用。</t>
    </r>
  </si>
  <si>
    <t>001012</t>
  </si>
  <si>
    <r>
      <rPr>
        <sz val="12"/>
        <rFont val="宋体"/>
        <charset val="134"/>
      </rPr>
      <t>内部机构号</t>
    </r>
  </si>
  <si>
    <t>Inner organization number</t>
  </si>
  <si>
    <r>
      <rPr>
        <sz val="12"/>
        <rFont val="宋体"/>
        <charset val="134"/>
      </rPr>
      <t>银行内部机构号。应具有标识机构的唯一性。</t>
    </r>
  </si>
  <si>
    <t>001013</t>
  </si>
  <si>
    <r>
      <rPr>
        <sz val="12"/>
        <rFont val="宋体"/>
        <charset val="134"/>
      </rPr>
      <t>机构类别</t>
    </r>
  </si>
  <si>
    <t>Organization type</t>
  </si>
  <si>
    <r>
      <rPr>
        <sz val="12"/>
        <rFont val="宋体"/>
        <charset val="134"/>
      </rPr>
      <t>管理机构，营业机构，虚拟机构，内设机构。</t>
    </r>
  </si>
  <si>
    <t>001014</t>
  </si>
  <si>
    <r>
      <rPr>
        <sz val="12"/>
        <rFont val="宋体"/>
        <charset val="134"/>
      </rPr>
      <t>营业状态</t>
    </r>
  </si>
  <si>
    <t>Business state</t>
  </si>
  <si>
    <r>
      <rPr>
        <sz val="12"/>
        <rFont val="宋体"/>
        <charset val="134"/>
      </rPr>
      <t>营业，停业。</t>
    </r>
  </si>
  <si>
    <t>001015</t>
  </si>
  <si>
    <r>
      <rPr>
        <sz val="12"/>
        <rFont val="宋体"/>
        <charset val="134"/>
      </rPr>
      <t>工号</t>
    </r>
  </si>
  <si>
    <t>Emp ID</t>
  </si>
  <si>
    <r>
      <rPr>
        <sz val="12"/>
        <rFont val="宋体"/>
        <charset val="134"/>
      </rPr>
      <t>工号，银行自定义。</t>
    </r>
  </si>
  <si>
    <t>001016</t>
  </si>
  <si>
    <r>
      <rPr>
        <sz val="12"/>
        <rFont val="宋体"/>
        <charset val="134"/>
      </rPr>
      <t>姓名</t>
    </r>
  </si>
  <si>
    <t>Name (people)</t>
  </si>
  <si>
    <r>
      <rPr>
        <sz val="12"/>
        <rFont val="宋体"/>
        <charset val="134"/>
      </rPr>
      <t>姓名。</t>
    </r>
  </si>
  <si>
    <t>C..150</t>
  </si>
  <si>
    <t>001017</t>
  </si>
  <si>
    <r>
      <rPr>
        <sz val="12"/>
        <rFont val="宋体"/>
        <charset val="134"/>
      </rPr>
      <t>所属部门</t>
    </r>
  </si>
  <si>
    <t>Department</t>
  </si>
  <si>
    <r>
      <rPr>
        <sz val="12"/>
        <rFont val="宋体"/>
        <charset val="134"/>
      </rPr>
      <t>中文字典或中文描述，银行自定义。</t>
    </r>
  </si>
  <si>
    <t>001018</t>
  </si>
  <si>
    <r>
      <rPr>
        <sz val="12"/>
        <rFont val="宋体"/>
        <charset val="134"/>
      </rPr>
      <t>职务</t>
    </r>
  </si>
  <si>
    <t>Post.</t>
  </si>
  <si>
    <t>001019</t>
  </si>
  <si>
    <r>
      <rPr>
        <sz val="12"/>
        <rFont val="宋体"/>
        <charset val="134"/>
      </rPr>
      <t>状态</t>
    </r>
  </si>
  <si>
    <t>Status</t>
  </si>
  <si>
    <t>C..60</t>
  </si>
  <si>
    <t>001020</t>
  </si>
  <si>
    <r>
      <rPr>
        <sz val="12"/>
        <rFont val="宋体"/>
        <charset val="134"/>
      </rPr>
      <t>柜员号</t>
    </r>
  </si>
  <si>
    <t>Teller number</t>
  </si>
  <si>
    <r>
      <rPr>
        <sz val="12"/>
        <rFont val="宋体"/>
        <charset val="134"/>
      </rPr>
      <t>柜员编号，银行自定义。</t>
    </r>
  </si>
  <si>
    <t>001021</t>
  </si>
  <si>
    <r>
      <rPr>
        <sz val="12"/>
        <rFont val="宋体"/>
        <charset val="134"/>
      </rPr>
      <t>柜员类型</t>
    </r>
  </si>
  <si>
    <t>Type of teller</t>
  </si>
  <si>
    <t>001022</t>
  </si>
  <si>
    <r>
      <rPr>
        <sz val="12"/>
        <rFont val="宋体"/>
        <charset val="134"/>
      </rPr>
      <t>柜员权限级别</t>
    </r>
  </si>
  <si>
    <t>Teller authority</t>
  </si>
  <si>
    <r>
      <rPr>
        <sz val="12"/>
        <rFont val="宋体"/>
        <charset val="134"/>
      </rPr>
      <t>高柜，低柜，其他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</si>
  <si>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001023</t>
  </si>
  <si>
    <r>
      <rPr>
        <sz val="12"/>
        <rFont val="宋体"/>
        <charset val="134"/>
      </rPr>
      <t>岗位编号</t>
    </r>
  </si>
  <si>
    <t>Post number</t>
  </si>
  <si>
    <r>
      <rPr>
        <sz val="12"/>
        <rFont val="宋体"/>
        <charset val="134"/>
      </rPr>
      <t>银行自定义。</t>
    </r>
  </si>
  <si>
    <t>001024</t>
  </si>
  <si>
    <r>
      <rPr>
        <sz val="12"/>
        <rFont val="宋体"/>
        <charset val="134"/>
      </rPr>
      <t>岗位种类</t>
    </r>
  </si>
  <si>
    <t>Post type</t>
  </si>
  <si>
    <r>
      <rPr>
        <sz val="12"/>
        <rFont val="宋体"/>
        <charset val="134"/>
      </rPr>
      <t>岗位种类，中文字典或中文描述，银行自定义。</t>
    </r>
  </si>
  <si>
    <t>001025</t>
  </si>
  <si>
    <r>
      <rPr>
        <sz val="12"/>
        <rFont val="宋体"/>
        <charset val="134"/>
      </rPr>
      <t>岗位名称</t>
    </r>
  </si>
  <si>
    <t>Post name</t>
  </si>
  <si>
    <r>
      <rPr>
        <sz val="12"/>
        <rFont val="宋体"/>
        <charset val="134"/>
      </rPr>
      <t>岗位名称，中文字典或中文描述，银行自定义。</t>
    </r>
  </si>
  <si>
    <t>001026</t>
  </si>
  <si>
    <r>
      <rPr>
        <sz val="12"/>
        <rFont val="宋体"/>
        <charset val="134"/>
      </rPr>
      <t>岗位说明</t>
    </r>
  </si>
  <si>
    <t>Post description</t>
  </si>
  <si>
    <r>
      <rPr>
        <sz val="12"/>
        <rFont val="宋体"/>
        <charset val="134"/>
      </rPr>
      <t>对岗位工作的中文描述，银行自定义。</t>
    </r>
  </si>
  <si>
    <t>001027</t>
  </si>
  <si>
    <r>
      <rPr>
        <sz val="12"/>
        <rFont val="宋体"/>
        <charset val="134"/>
      </rPr>
      <t>地区名称</t>
    </r>
  </si>
  <si>
    <t>District name</t>
  </si>
  <si>
    <r>
      <rPr>
        <sz val="12"/>
        <rFont val="宋体"/>
        <charset val="134"/>
      </rPr>
      <t>境内地区参照《</t>
    </r>
    <r>
      <rPr>
        <sz val="12"/>
        <rFont val="Times New Roman"/>
        <charset val="134"/>
      </rPr>
      <t xml:space="preserve">GB/T 2260 </t>
    </r>
    <r>
      <rPr>
        <sz val="12"/>
        <rFont val="宋体"/>
        <charset val="134"/>
      </rPr>
      <t>中华人民共和国行政区划代码》按省</t>
    </r>
    <r>
      <rPr>
        <sz val="12"/>
        <rFont val="Times New Roman"/>
        <charset val="134"/>
      </rPr>
      <t>+</t>
    </r>
    <r>
      <rPr>
        <sz val="12"/>
        <rFont val="宋体"/>
        <charset val="134"/>
      </rPr>
      <t>市</t>
    </r>
    <r>
      <rPr>
        <sz val="12"/>
        <rFont val="Times New Roman"/>
        <charset val="134"/>
      </rPr>
      <t>+</t>
    </r>
    <r>
      <rPr>
        <sz val="12"/>
        <rFont val="宋体"/>
        <charset val="134"/>
      </rPr>
      <t>县</t>
    </r>
    <r>
      <rPr>
        <sz val="12"/>
        <rFont val="Times New Roman"/>
        <charset val="134"/>
      </rPr>
      <t>/</t>
    </r>
    <r>
      <rPr>
        <sz val="12"/>
        <rFont val="宋体"/>
        <charset val="134"/>
      </rPr>
      <t>区的排列填写国内行政区划名称，填写至二级分类，如北京市朝阳区、江苏省南京市秦淮区。境外地区参照《</t>
    </r>
    <r>
      <rPr>
        <sz val="12"/>
        <rFont val="Times New Roman"/>
        <charset val="134"/>
      </rPr>
      <t xml:space="preserve">GB/T 2659 </t>
    </r>
    <r>
      <rPr>
        <sz val="12"/>
        <rFont val="宋体"/>
        <charset val="134"/>
      </rPr>
      <t>世界各国和地区名称代码》定义的中文简称，如美国，英国。</t>
    </r>
  </si>
  <si>
    <t>001028</t>
  </si>
  <si>
    <r>
      <rPr>
        <sz val="12"/>
        <rFont val="宋体"/>
        <charset val="134"/>
      </rPr>
      <t>地区代码</t>
    </r>
  </si>
  <si>
    <t>Area code</t>
  </si>
  <si>
    <r>
      <rPr>
        <sz val="12"/>
        <rFont val="宋体"/>
        <charset val="134"/>
      </rPr>
      <t>境内地区参照《</t>
    </r>
    <r>
      <rPr>
        <sz val="12"/>
        <rFont val="Times New Roman"/>
        <charset val="134"/>
      </rPr>
      <t xml:space="preserve">GB/T 2260 </t>
    </r>
    <r>
      <rPr>
        <sz val="12"/>
        <rFont val="宋体"/>
        <charset val="134"/>
      </rPr>
      <t>中华人民共和国行政区划代码》填写国内行政区划代码，填写至二级分类，如</t>
    </r>
    <r>
      <rPr>
        <sz val="12"/>
        <rFont val="Times New Roman"/>
        <charset val="134"/>
      </rPr>
      <t>110100</t>
    </r>
    <r>
      <rPr>
        <sz val="12"/>
        <rFont val="宋体"/>
        <charset val="134"/>
      </rPr>
      <t>。境外地区参照《</t>
    </r>
    <r>
      <rPr>
        <sz val="12"/>
        <rFont val="Times New Roman"/>
        <charset val="134"/>
      </rPr>
      <t xml:space="preserve">GB/T 2659 </t>
    </r>
    <r>
      <rPr>
        <sz val="12"/>
        <rFont val="宋体"/>
        <charset val="134"/>
      </rPr>
      <t>世界各国和地区名称代码》定义的三字符代码，如</t>
    </r>
    <r>
      <rPr>
        <sz val="12"/>
        <rFont val="Times New Roman"/>
        <charset val="134"/>
      </rPr>
      <t>USA</t>
    </r>
    <r>
      <rPr>
        <sz val="12"/>
        <rFont val="宋体"/>
        <charset val="134"/>
      </rPr>
      <t>。</t>
    </r>
  </si>
  <si>
    <t>C..6</t>
  </si>
  <si>
    <t>001029</t>
  </si>
  <si>
    <r>
      <rPr>
        <sz val="12"/>
        <rFont val="宋体"/>
        <charset val="134"/>
      </rPr>
      <t>数量</t>
    </r>
  </si>
  <si>
    <t>Quantity</t>
  </si>
  <si>
    <r>
      <rPr>
        <sz val="12"/>
        <rFont val="宋体"/>
        <charset val="134"/>
      </rPr>
      <t>数量。</t>
    </r>
  </si>
  <si>
    <t>D20</t>
  </si>
  <si>
    <t>001030</t>
  </si>
  <si>
    <r>
      <rPr>
        <sz val="12"/>
        <rFont val="宋体"/>
        <charset val="134"/>
      </rPr>
      <t>浮点数</t>
    </r>
  </si>
  <si>
    <r>
      <rPr>
        <sz val="12"/>
        <rFont val="宋体"/>
        <charset val="134"/>
      </rPr>
      <t>浮点数。</t>
    </r>
  </si>
  <si>
    <t>D20.4</t>
  </si>
  <si>
    <t>001031</t>
  </si>
  <si>
    <r>
      <rPr>
        <sz val="12"/>
        <rFont val="宋体"/>
        <charset val="134"/>
      </rPr>
      <t>名称集合</t>
    </r>
  </si>
  <si>
    <t>Collection of names</t>
  </si>
  <si>
    <r>
      <rPr>
        <sz val="12"/>
        <rFont val="宋体"/>
        <charset val="134"/>
      </rPr>
      <t>多个名称</t>
    </r>
  </si>
  <si>
    <t>C..3000</t>
  </si>
  <si>
    <t>001032</t>
  </si>
  <si>
    <r>
      <rPr>
        <sz val="12"/>
        <rFont val="宋体"/>
        <charset val="134"/>
      </rPr>
      <t>代码集合</t>
    </r>
  </si>
  <si>
    <t>Collection of code</t>
  </si>
  <si>
    <r>
      <rPr>
        <sz val="12"/>
        <rFont val="宋体"/>
        <charset val="134"/>
      </rPr>
      <t>多个代码</t>
    </r>
  </si>
  <si>
    <t>001033</t>
  </si>
  <si>
    <r>
      <rPr>
        <sz val="12"/>
        <rFont val="宋体"/>
        <charset val="134"/>
      </rPr>
      <t>员工类型</t>
    </r>
  </si>
  <si>
    <t>Employee Type</t>
  </si>
  <si>
    <r>
      <rPr>
        <sz val="12"/>
        <rFont val="宋体"/>
        <charset val="134"/>
      </rPr>
      <t>正式员工，非员工高管，非正式员工，其他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</si>
  <si>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001034</t>
  </si>
  <si>
    <r>
      <rPr>
        <sz val="12"/>
        <rFont val="宋体"/>
        <charset val="134"/>
      </rPr>
      <t>员工状态</t>
    </r>
  </si>
  <si>
    <t>State of staff</t>
  </si>
  <si>
    <r>
      <rPr>
        <sz val="12"/>
        <rFont val="宋体"/>
        <charset val="134"/>
      </rPr>
      <t>在岗，离岗，离职，其他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</si>
  <si>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001035</t>
  </si>
  <si>
    <r>
      <rPr>
        <sz val="12"/>
        <rFont val="宋体"/>
        <charset val="134"/>
      </rPr>
      <t>柜员状态</t>
    </r>
  </si>
  <si>
    <t>State of Teller</t>
  </si>
  <si>
    <r>
      <rPr>
        <sz val="12"/>
        <rFont val="宋体"/>
        <charset val="134"/>
      </rPr>
      <t>在岗，离岗，其他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</si>
  <si>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001036</t>
  </si>
  <si>
    <r>
      <rPr>
        <sz val="12"/>
        <rFont val="Times New Roman"/>
        <charset val="134"/>
      </rPr>
      <t>IP</t>
    </r>
    <r>
      <rPr>
        <sz val="12"/>
        <rFont val="宋体"/>
        <charset val="134"/>
      </rPr>
      <t>地址</t>
    </r>
  </si>
  <si>
    <t>IP address</t>
  </si>
  <si>
    <r>
      <rPr>
        <sz val="12"/>
        <rFont val="宋体"/>
        <charset val="134"/>
      </rPr>
      <t>点分十进制格式表示的</t>
    </r>
    <r>
      <rPr>
        <sz val="12"/>
        <rFont val="Times New Roman"/>
        <charset val="134"/>
      </rPr>
      <t>IPV4</t>
    </r>
    <r>
      <rPr>
        <sz val="12"/>
        <rFont val="宋体"/>
        <charset val="134"/>
      </rPr>
      <t>地址，或者</t>
    </r>
    <r>
      <rPr>
        <sz val="12"/>
        <rFont val="Times New Roman"/>
        <charset val="134"/>
      </rPr>
      <t>IPV6</t>
    </r>
    <r>
      <rPr>
        <sz val="12"/>
        <rFont val="宋体"/>
        <charset val="134"/>
      </rPr>
      <t>地址。</t>
    </r>
  </si>
  <si>
    <t>C..40</t>
  </si>
  <si>
    <t>001037</t>
  </si>
  <si>
    <r>
      <rPr>
        <sz val="12"/>
        <rFont val="Times New Roman"/>
        <charset val="134"/>
      </rPr>
      <t>MAC</t>
    </r>
    <r>
      <rPr>
        <sz val="12"/>
        <rFont val="宋体"/>
        <charset val="134"/>
      </rPr>
      <t>地址</t>
    </r>
  </si>
  <si>
    <t>MAC address</t>
  </si>
  <si>
    <r>
      <rPr>
        <sz val="12"/>
        <rFont val="宋体"/>
        <charset val="134"/>
      </rPr>
      <t>网络设备唯一的网络标识：</t>
    </r>
    <r>
      <rPr>
        <sz val="12"/>
        <rFont val="Times New Roman"/>
        <charset val="134"/>
      </rPr>
      <t xml:space="preserve">
1.</t>
    </r>
    <r>
      <rPr>
        <sz val="12"/>
        <rFont val="宋体"/>
        <charset val="134"/>
      </rPr>
      <t>可以是</t>
    </r>
    <r>
      <rPr>
        <sz val="12"/>
        <rFont val="Times New Roman"/>
        <charset val="134"/>
      </rPr>
      <t>MAC</t>
    </r>
    <r>
      <rPr>
        <sz val="12"/>
        <rFont val="宋体"/>
        <charset val="134"/>
      </rPr>
      <t>地址，以</t>
    </r>
    <r>
      <rPr>
        <sz val="12"/>
        <rFont val="Times New Roman"/>
        <charset val="134"/>
      </rPr>
      <t>12</t>
    </r>
    <r>
      <rPr>
        <sz val="12"/>
        <rFont val="宋体"/>
        <charset val="134"/>
      </rPr>
      <t>个</t>
    </r>
    <r>
      <rPr>
        <sz val="12"/>
        <rFont val="Times New Roman"/>
        <charset val="134"/>
      </rPr>
      <t>16</t>
    </r>
    <r>
      <rPr>
        <sz val="12"/>
        <rFont val="宋体"/>
        <charset val="134"/>
      </rPr>
      <t>进制数表示（</t>
    </r>
    <r>
      <rPr>
        <sz val="12"/>
        <rFont val="Times New Roman"/>
        <charset val="134"/>
      </rPr>
      <t>6</t>
    </r>
    <r>
      <rPr>
        <sz val="12"/>
        <rFont val="宋体"/>
        <charset val="134"/>
      </rPr>
      <t>个字节），每个字节以英文半角冒号（</t>
    </r>
    <r>
      <rPr>
        <sz val="12"/>
        <rFont val="Times New Roman"/>
        <charset val="134"/>
      </rPr>
      <t>:</t>
    </r>
    <r>
      <rPr>
        <sz val="12"/>
        <rFont val="宋体"/>
        <charset val="134"/>
      </rPr>
      <t>）隔开。</t>
    </r>
    <r>
      <rPr>
        <sz val="12"/>
        <rFont val="Times New Roman"/>
        <charset val="134"/>
      </rPr>
      <t xml:space="preserve">
2.</t>
    </r>
    <r>
      <rPr>
        <sz val="12"/>
        <rFont val="宋体"/>
        <charset val="134"/>
      </rPr>
      <t>若交易渠道为网银、手机银行，</t>
    </r>
    <r>
      <rPr>
        <sz val="12"/>
        <rFont val="Times New Roman"/>
        <charset val="134"/>
      </rPr>
      <t>Android7.0</t>
    </r>
    <r>
      <rPr>
        <sz val="12"/>
        <rFont val="宋体"/>
        <charset val="134"/>
      </rPr>
      <t>以上系统可填报设备</t>
    </r>
    <r>
      <rPr>
        <sz val="12"/>
        <rFont val="Times New Roman"/>
        <charset val="134"/>
      </rPr>
      <t>IMEI</t>
    </r>
    <r>
      <rPr>
        <sz val="12"/>
        <rFont val="宋体"/>
        <charset val="134"/>
      </rPr>
      <t>码；</t>
    </r>
    <r>
      <rPr>
        <sz val="12"/>
        <rFont val="Times New Roman"/>
        <charset val="134"/>
      </rPr>
      <t>IOS7</t>
    </r>
    <r>
      <rPr>
        <sz val="12"/>
        <rFont val="宋体"/>
        <charset val="134"/>
      </rPr>
      <t>以上系统科填报</t>
    </r>
    <r>
      <rPr>
        <sz val="12"/>
        <rFont val="Times New Roman"/>
        <charset val="134"/>
      </rPr>
      <t>UUID</t>
    </r>
    <r>
      <rPr>
        <sz val="12"/>
        <rFont val="宋体"/>
        <charset val="134"/>
      </rPr>
      <t>码，唯一对应设备即可。</t>
    </r>
  </si>
  <si>
    <t>001038</t>
  </si>
  <si>
    <r>
      <rPr>
        <sz val="12"/>
        <rFont val="宋体"/>
        <charset val="134"/>
      </rPr>
      <t>备注</t>
    </r>
  </si>
  <si>
    <t>Remark</t>
  </si>
  <si>
    <r>
      <rPr>
        <sz val="12"/>
        <rFont val="宋体"/>
        <charset val="134"/>
      </rPr>
      <t>客户信息</t>
    </r>
  </si>
  <si>
    <t>002001</t>
  </si>
  <si>
    <r>
      <rPr>
        <sz val="12"/>
        <rFont val="宋体"/>
        <charset val="134"/>
      </rPr>
      <t>客户统一编号</t>
    </r>
  </si>
  <si>
    <t>Customer number</t>
  </si>
  <si>
    <r>
      <rPr>
        <sz val="12"/>
        <rFont val="宋体"/>
        <charset val="134"/>
      </rPr>
      <t>银行自定义的唯一识别客户的标识。供应链融资的填写供应链融资编码。</t>
    </r>
  </si>
  <si>
    <t>002002</t>
  </si>
  <si>
    <r>
      <rPr>
        <sz val="12"/>
        <rFont val="宋体"/>
        <charset val="134"/>
      </rPr>
      <t>证件类别</t>
    </r>
  </si>
  <si>
    <t>Document type</t>
  </si>
  <si>
    <r>
      <rPr>
        <sz val="12"/>
        <rFont val="宋体"/>
        <charset val="134"/>
      </rPr>
      <t>同业客户：银行机构代码，金融许可证号，</t>
    </r>
    <r>
      <rPr>
        <sz val="12"/>
        <rFont val="Times New Roman"/>
        <charset val="134"/>
      </rPr>
      <t>SWIFT</t>
    </r>
    <r>
      <rPr>
        <sz val="12"/>
        <rFont val="宋体"/>
        <charset val="134"/>
      </rPr>
      <t>编码，其他</t>
    </r>
    <r>
      <rPr>
        <sz val="12"/>
        <rFont val="Times New Roman"/>
        <charset val="134"/>
      </rPr>
      <t>-XX</t>
    </r>
    <r>
      <rPr>
        <sz val="12"/>
        <rFont val="宋体"/>
        <charset val="134"/>
      </rPr>
      <t>。</t>
    </r>
    <r>
      <rPr>
        <sz val="12"/>
        <rFont val="Times New Roman"/>
        <charset val="134"/>
      </rPr>
      <t xml:space="preserve">
</t>
    </r>
    <r>
      <rPr>
        <sz val="12"/>
        <rFont val="宋体"/>
        <charset val="134"/>
      </rPr>
      <t>对公客户：统一社会信用代码，组织机构代码，营业执照（工商注册号），公司注册证书，全球法人识别码，其他</t>
    </r>
    <r>
      <rPr>
        <sz val="12"/>
        <rFont val="Times New Roman"/>
        <charset val="134"/>
      </rPr>
      <t>-XX</t>
    </r>
    <r>
      <rPr>
        <sz val="12"/>
        <rFont val="宋体"/>
        <charset val="134"/>
      </rPr>
      <t>。</t>
    </r>
    <r>
      <rPr>
        <sz val="12"/>
        <rFont val="Times New Roman"/>
        <charset val="134"/>
      </rPr>
      <t xml:space="preserve">
</t>
    </r>
    <r>
      <rPr>
        <sz val="12"/>
        <rFont val="宋体"/>
        <charset val="134"/>
      </rPr>
      <t>个人客户：居民身份证，军官证，文职干部证，警官证，士兵证，户口簿，临时身份证，其他有效通行旅行证件，护照，学生证，无证件，其他</t>
    </r>
    <r>
      <rPr>
        <sz val="12"/>
        <rFont val="Times New Roman"/>
        <charset val="134"/>
      </rPr>
      <t>-XX</t>
    </r>
    <r>
      <rPr>
        <sz val="12"/>
        <rFont val="宋体"/>
        <charset val="134"/>
      </rPr>
      <t>。</t>
    </r>
    <r>
      <rPr>
        <sz val="12"/>
        <rFont val="Times New Roman"/>
        <charset val="134"/>
      </rPr>
      <t xml:space="preserve">
</t>
    </r>
    <r>
      <rPr>
        <sz val="12"/>
        <rFont val="宋体"/>
        <charset val="134"/>
      </rPr>
      <t>无法以枚举类型填报的，以</t>
    </r>
    <r>
      <rPr>
        <sz val="12"/>
        <rFont val="Times New Roman"/>
        <charset val="134"/>
      </rPr>
      <t>“</t>
    </r>
    <r>
      <rPr>
        <sz val="12"/>
        <rFont val="宋体"/>
        <charset val="134"/>
      </rPr>
      <t>其他</t>
    </r>
    <r>
      <rPr>
        <sz val="12"/>
        <rFont val="Times New Roman"/>
        <charset val="134"/>
      </rPr>
      <t>-XX”</t>
    </r>
    <r>
      <rPr>
        <sz val="12"/>
        <rFont val="宋体"/>
        <charset val="134"/>
      </rPr>
      <t>报送，其中</t>
    </r>
    <r>
      <rPr>
        <sz val="12"/>
        <rFont val="Times New Roman"/>
        <charset val="134"/>
      </rPr>
      <t>“XX”</t>
    </r>
    <r>
      <rPr>
        <sz val="12"/>
        <rFont val="宋体"/>
        <charset val="134"/>
      </rPr>
      <t>为银行自定义类型。</t>
    </r>
    <r>
      <rPr>
        <sz val="12"/>
        <rFont val="Times New Roman"/>
        <charset val="134"/>
      </rPr>
      <t xml:space="preserve">
</t>
    </r>
    <r>
      <rPr>
        <sz val="12"/>
        <rFont val="宋体"/>
        <charset val="134"/>
      </rPr>
      <t>对公客户优先填报统一社会信用代码，没有统一社会信用代码的对公客户填报组织机构代码。组织机构代码、统一社会信用代码均没有的可以填报客户提供的批文文号、开户主证件、上级机构统一社会信用代码等，以</t>
    </r>
    <r>
      <rPr>
        <sz val="12"/>
        <rFont val="Times New Roman"/>
        <charset val="134"/>
      </rPr>
      <t>“</t>
    </r>
    <r>
      <rPr>
        <sz val="12"/>
        <rFont val="宋体"/>
        <charset val="134"/>
      </rPr>
      <t>其他</t>
    </r>
    <r>
      <rPr>
        <sz val="12"/>
        <rFont val="Times New Roman"/>
        <charset val="134"/>
      </rPr>
      <t>-XX”</t>
    </r>
    <r>
      <rPr>
        <sz val="12"/>
        <rFont val="宋体"/>
        <charset val="134"/>
      </rPr>
      <t>填报。</t>
    </r>
  </si>
  <si>
    <t>002003</t>
  </si>
  <si>
    <r>
      <rPr>
        <sz val="12"/>
        <rFont val="宋体"/>
        <charset val="134"/>
      </rPr>
      <t>证件号码</t>
    </r>
  </si>
  <si>
    <t>Document number</t>
  </si>
  <si>
    <r>
      <rPr>
        <sz val="12"/>
        <rFont val="宋体"/>
        <charset val="134"/>
      </rPr>
      <t>与证件类别对应的证件号码。涉及个人身份证件时需按照本规范给定规则进行脱敏处理。</t>
    </r>
  </si>
  <si>
    <t>C..70</t>
  </si>
  <si>
    <t>002004</t>
  </si>
  <si>
    <r>
      <rPr>
        <sz val="12"/>
        <rFont val="宋体"/>
        <charset val="134"/>
      </rPr>
      <t>国籍</t>
    </r>
  </si>
  <si>
    <t>Nationality</t>
  </si>
  <si>
    <r>
      <rPr>
        <sz val="12"/>
        <rFont val="宋体"/>
        <charset val="134"/>
      </rPr>
      <t>参照《</t>
    </r>
    <r>
      <rPr>
        <sz val="12"/>
        <rFont val="Times New Roman"/>
        <charset val="134"/>
      </rPr>
      <t xml:space="preserve">GB/T 2659-2000 </t>
    </r>
    <r>
      <rPr>
        <sz val="12"/>
        <rFont val="宋体"/>
        <charset val="134"/>
      </rPr>
      <t>世界各国和地区名称》，填报中文名称。</t>
    </r>
  </si>
  <si>
    <t>002005</t>
  </si>
  <si>
    <r>
      <rPr>
        <sz val="12"/>
        <rFont val="宋体"/>
        <charset val="134"/>
      </rPr>
      <t>民族</t>
    </r>
  </si>
  <si>
    <t>Ethnicity</t>
  </si>
  <si>
    <r>
      <rPr>
        <sz val="12"/>
        <rFont val="宋体"/>
        <charset val="134"/>
      </rPr>
      <t>国家认可的在公安户籍管理部门正式登记注册的客户所属民族的名称。</t>
    </r>
  </si>
  <si>
    <t>002006</t>
  </si>
  <si>
    <r>
      <rPr>
        <sz val="12"/>
        <rFont val="宋体"/>
        <charset val="134"/>
      </rPr>
      <t>性别</t>
    </r>
  </si>
  <si>
    <t>Gender</t>
  </si>
  <si>
    <r>
      <rPr>
        <sz val="12"/>
        <rFont val="宋体"/>
        <charset val="134"/>
      </rPr>
      <t>男，女。</t>
    </r>
  </si>
  <si>
    <t>002007</t>
  </si>
  <si>
    <r>
      <rPr>
        <sz val="12"/>
        <rFont val="宋体"/>
        <charset val="134"/>
      </rPr>
      <t>学历</t>
    </r>
  </si>
  <si>
    <t>Education degree</t>
  </si>
  <si>
    <r>
      <rPr>
        <sz val="12"/>
        <rFont val="宋体"/>
        <charset val="134"/>
      </rPr>
      <t>《学历代码》（</t>
    </r>
    <r>
      <rPr>
        <sz val="12"/>
        <rFont val="Times New Roman"/>
        <charset val="134"/>
      </rPr>
      <t>GB/T 4658</t>
    </r>
    <r>
      <rPr>
        <sz val="12"/>
        <rFont val="宋体"/>
        <charset val="134"/>
      </rPr>
      <t>）规定的学历。</t>
    </r>
  </si>
  <si>
    <t>002008</t>
  </si>
  <si>
    <r>
      <rPr>
        <sz val="12"/>
        <rFont val="宋体"/>
        <charset val="134"/>
      </rPr>
      <t>职业</t>
    </r>
  </si>
  <si>
    <t>Career</t>
  </si>
  <si>
    <r>
      <rPr>
        <sz val="12"/>
        <rFont val="宋体"/>
        <charset val="134"/>
      </rPr>
      <t>中文描述或中文字典，银行自定义。</t>
    </r>
  </si>
  <si>
    <t>C..90</t>
  </si>
  <si>
    <t>002009</t>
  </si>
  <si>
    <r>
      <rPr>
        <sz val="12"/>
        <rFont val="宋体"/>
        <charset val="134"/>
      </rPr>
      <t>单位性质</t>
    </r>
  </si>
  <si>
    <t>Unit property</t>
  </si>
  <si>
    <r>
      <rPr>
        <sz val="12"/>
        <rFont val="宋体"/>
        <charset val="134"/>
      </rPr>
      <t>国有企业、民营企业、政府机关、事业单位、社会团体、境外机构、其他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</si>
  <si>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002010</t>
  </si>
  <si>
    <r>
      <rPr>
        <sz val="12"/>
        <rFont val="宋体"/>
        <charset val="134"/>
      </rPr>
      <t>社会关系</t>
    </r>
  </si>
  <si>
    <t>Social relationship</t>
  </si>
  <si>
    <r>
      <rPr>
        <sz val="12"/>
        <rFont val="宋体"/>
        <charset val="134"/>
      </rPr>
      <t>配偶，父母，子女，亲属关系，朋友，同事，合作伙伴，离异原配偶，其他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</si>
  <si>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002011</t>
  </si>
  <si>
    <r>
      <rPr>
        <sz val="12"/>
        <rFont val="宋体"/>
        <charset val="134"/>
      </rPr>
      <t>法人代表</t>
    </r>
  </si>
  <si>
    <t>Legal person</t>
  </si>
  <si>
    <r>
      <rPr>
        <sz val="12"/>
        <rFont val="宋体"/>
        <charset val="134"/>
      </rPr>
      <t>该对公客户法人代表。依照法律或者法人组织章程规定，代表法人行使职权的负责人姓名。</t>
    </r>
  </si>
  <si>
    <t>002012</t>
  </si>
  <si>
    <r>
      <rPr>
        <sz val="12"/>
        <rFont val="宋体"/>
        <charset val="134"/>
      </rPr>
      <t>营业执照号</t>
    </r>
  </si>
  <si>
    <t>Business license number</t>
  </si>
  <si>
    <r>
      <rPr>
        <sz val="12"/>
        <rFont val="宋体"/>
        <charset val="134"/>
      </rPr>
      <t>已登记统一社会信用代码的，填</t>
    </r>
    <r>
      <rPr>
        <sz val="12"/>
        <rFont val="Times New Roman"/>
        <charset val="134"/>
      </rPr>
      <t>18</t>
    </r>
    <r>
      <rPr>
        <sz val="12"/>
        <rFont val="宋体"/>
        <charset val="134"/>
      </rPr>
      <t>位统一社会信用代码；未登记统一社会信用代码的，填报营业执照注册号。</t>
    </r>
  </si>
  <si>
    <t>002013</t>
  </si>
  <si>
    <r>
      <rPr>
        <sz val="12"/>
        <rFont val="宋体"/>
        <charset val="134"/>
      </rPr>
      <t>经营范围</t>
    </r>
  </si>
  <si>
    <t>Business scope</t>
  </si>
  <si>
    <r>
      <rPr>
        <sz val="12"/>
        <rFont val="宋体"/>
        <charset val="134"/>
      </rPr>
      <t>营业执照登记的业务范围全文。</t>
    </r>
  </si>
  <si>
    <t>C..1500</t>
  </si>
  <si>
    <t>002014</t>
  </si>
  <si>
    <r>
      <rPr>
        <sz val="12"/>
        <rFont val="宋体"/>
        <charset val="134"/>
      </rPr>
      <t>所属行业</t>
    </r>
  </si>
  <si>
    <t>Industry</t>
  </si>
  <si>
    <r>
      <rPr>
        <sz val="12"/>
        <rFont val="宋体"/>
        <charset val="134"/>
      </rPr>
      <t>行业分类按《</t>
    </r>
    <r>
      <rPr>
        <sz val="12"/>
        <rFont val="Times New Roman"/>
        <charset val="134"/>
      </rPr>
      <t xml:space="preserve">GB/T 4754 </t>
    </r>
    <r>
      <rPr>
        <sz val="12"/>
        <rFont val="宋体"/>
        <charset val="134"/>
      </rPr>
      <t>国民经济行业分类》执行。填报至该客户所属行业的小类代码，如：所属行业为</t>
    </r>
    <r>
      <rPr>
        <sz val="12"/>
        <rFont val="Times New Roman"/>
        <charset val="134"/>
      </rPr>
      <t>“</t>
    </r>
    <r>
      <rPr>
        <sz val="12"/>
        <rFont val="宋体"/>
        <charset val="134"/>
      </rPr>
      <t>稻谷种植</t>
    </r>
    <r>
      <rPr>
        <sz val="12"/>
        <rFont val="Times New Roman"/>
        <charset val="134"/>
      </rPr>
      <t>”</t>
    </r>
    <r>
      <rPr>
        <sz val="12"/>
        <rFont val="宋体"/>
        <charset val="134"/>
      </rPr>
      <t>填报</t>
    </r>
    <r>
      <rPr>
        <sz val="12"/>
        <rFont val="Times New Roman"/>
        <charset val="134"/>
      </rPr>
      <t>“A0111”</t>
    </r>
    <r>
      <rPr>
        <sz val="12"/>
        <rFont val="宋体"/>
        <charset val="134"/>
      </rPr>
      <t>。境外机构按</t>
    </r>
    <r>
      <rPr>
        <sz val="12"/>
        <rFont val="Times New Roman"/>
        <charset val="134"/>
      </rPr>
      <t>“</t>
    </r>
    <r>
      <rPr>
        <sz val="12"/>
        <rFont val="宋体"/>
        <charset val="134"/>
      </rPr>
      <t>境外</t>
    </r>
    <r>
      <rPr>
        <sz val="12"/>
        <rFont val="Times New Roman"/>
        <charset val="134"/>
      </rPr>
      <t>”</t>
    </r>
    <r>
      <rPr>
        <sz val="12"/>
        <rFont val="宋体"/>
        <charset val="134"/>
      </rPr>
      <t>填报。</t>
    </r>
  </si>
  <si>
    <t>002015</t>
  </si>
  <si>
    <r>
      <rPr>
        <sz val="12"/>
        <rFont val="宋体"/>
        <charset val="134"/>
      </rPr>
      <t>人数</t>
    </r>
  </si>
  <si>
    <t>Number of people</t>
  </si>
  <si>
    <r>
      <rPr>
        <sz val="12"/>
        <rFont val="宋体"/>
        <charset val="134"/>
      </rPr>
      <t>人。</t>
    </r>
  </si>
  <si>
    <t>I</t>
  </si>
  <si>
    <t>002016</t>
  </si>
  <si>
    <r>
      <rPr>
        <sz val="12"/>
        <rFont val="宋体"/>
        <charset val="134"/>
      </rPr>
      <t>统一社会信用代码</t>
    </r>
  </si>
  <si>
    <t>Unified social credit code</t>
  </si>
  <si>
    <r>
      <rPr>
        <sz val="12"/>
        <rFont val="宋体"/>
        <charset val="134"/>
      </rPr>
      <t>已登记统一社会信用代码的，填</t>
    </r>
    <r>
      <rPr>
        <sz val="12"/>
        <rFont val="Times New Roman"/>
        <charset val="134"/>
      </rPr>
      <t>18</t>
    </r>
    <r>
      <rPr>
        <sz val="12"/>
        <rFont val="宋体"/>
        <charset val="134"/>
      </rPr>
      <t>位统一社会信用代码；未登记统一社会信用代码的，填组织机构代码。境外机构、临时验资户类客户填写默认值</t>
    </r>
    <r>
      <rPr>
        <sz val="12"/>
        <rFont val="Times New Roman"/>
        <charset val="134"/>
      </rPr>
      <t>0</t>
    </r>
  </si>
  <si>
    <t>002017</t>
  </si>
  <si>
    <r>
      <rPr>
        <sz val="12"/>
        <rFont val="宋体"/>
        <charset val="134"/>
      </rPr>
      <t>关联人类别</t>
    </r>
  </si>
  <si>
    <t>Associated person type</t>
  </si>
  <si>
    <r>
      <rPr>
        <sz val="12"/>
        <rFont val="宋体"/>
        <charset val="134"/>
      </rPr>
      <t>自然人，国有企业，民营企业，政府机关，事业单位，社会团体，境外机构，其他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</si>
  <si>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002018</t>
  </si>
  <si>
    <r>
      <rPr>
        <sz val="12"/>
        <rFont val="宋体"/>
        <charset val="134"/>
      </rPr>
      <t>关系类型</t>
    </r>
  </si>
  <si>
    <t>Relationship type</t>
  </si>
  <si>
    <r>
      <rPr>
        <sz val="12"/>
        <rFont val="宋体"/>
        <charset val="134"/>
      </rPr>
      <t>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</si>
  <si>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C..300</t>
  </si>
  <si>
    <t>002019</t>
  </si>
  <si>
    <r>
      <rPr>
        <sz val="12"/>
        <rFont val="宋体"/>
        <charset val="134"/>
      </rPr>
      <t>股东或关联方关系类型</t>
    </r>
  </si>
  <si>
    <r>
      <rPr>
        <sz val="12"/>
        <rFont val="宋体"/>
        <charset val="134"/>
      </rPr>
      <t>枚举类型（代码）：</t>
    </r>
    <r>
      <rPr>
        <sz val="12"/>
        <rFont val="Times New Roman"/>
        <charset val="134"/>
      </rPr>
      <t xml:space="preserve">
1-</t>
    </r>
    <r>
      <rPr>
        <sz val="12"/>
        <rFont val="宋体"/>
        <charset val="134"/>
      </rPr>
      <t>股东；</t>
    </r>
    <r>
      <rPr>
        <sz val="12"/>
        <rFont val="Times New Roman"/>
        <charset val="134"/>
      </rPr>
      <t xml:space="preserve">
2-</t>
    </r>
    <r>
      <rPr>
        <sz val="12"/>
        <rFont val="宋体"/>
        <charset val="134"/>
      </rPr>
      <t>银行机构的自然人控股股东、实际控制人，及其一致行动人、最终受益人；</t>
    </r>
    <r>
      <rPr>
        <sz val="12"/>
        <rFont val="Times New Roman"/>
        <charset val="134"/>
      </rPr>
      <t xml:space="preserve">
3-</t>
    </r>
    <r>
      <rPr>
        <sz val="12"/>
        <rFont val="宋体"/>
        <charset val="134"/>
      </rPr>
      <t>持有或控制银行机构</t>
    </r>
    <r>
      <rPr>
        <sz val="12"/>
        <rFont val="Times New Roman"/>
        <charset val="134"/>
      </rPr>
      <t>5%</t>
    </r>
    <r>
      <rPr>
        <sz val="12"/>
        <rFont val="宋体"/>
        <charset val="134"/>
      </rPr>
      <t>以上股权的，或持股不足</t>
    </r>
    <r>
      <rPr>
        <sz val="12"/>
        <rFont val="Times New Roman"/>
        <charset val="134"/>
      </rPr>
      <t>5%</t>
    </r>
    <r>
      <rPr>
        <sz val="12"/>
        <rFont val="宋体"/>
        <charset val="134"/>
      </rPr>
      <t>但对银行机构经营管理有重大影响的自然人；</t>
    </r>
    <r>
      <rPr>
        <sz val="12"/>
        <rFont val="Times New Roman"/>
        <charset val="134"/>
      </rPr>
      <t xml:space="preserve">
4-</t>
    </r>
    <r>
      <rPr>
        <sz val="12"/>
        <rFont val="宋体"/>
        <charset val="134"/>
      </rPr>
      <t>银行机构的董事、监事、总行和重要分行的高级管理人员，以及具有大额授信、资产转移等核心业务审批或决策权的人员；</t>
    </r>
    <r>
      <rPr>
        <sz val="12"/>
        <rFont val="Times New Roman"/>
        <charset val="134"/>
      </rPr>
      <t xml:space="preserve">
5-</t>
    </r>
    <r>
      <rPr>
        <sz val="12"/>
        <rFont val="宋体"/>
        <charset val="134"/>
      </rPr>
      <t>第</t>
    </r>
    <r>
      <rPr>
        <sz val="12"/>
        <rFont val="Times New Roman"/>
        <charset val="134"/>
      </rPr>
      <t>2</t>
    </r>
    <r>
      <rPr>
        <sz val="12"/>
        <rFont val="宋体"/>
        <charset val="134"/>
      </rPr>
      <t>至</t>
    </r>
    <r>
      <rPr>
        <sz val="12"/>
        <rFont val="Times New Roman"/>
        <charset val="134"/>
      </rPr>
      <t>4</t>
    </r>
    <r>
      <rPr>
        <sz val="12"/>
        <rFont val="宋体"/>
        <charset val="134"/>
      </rPr>
      <t>项所列关联方的配偶、父母、成年子女及兄弟姐妹；</t>
    </r>
    <r>
      <rPr>
        <sz val="12"/>
        <rFont val="Times New Roman"/>
        <charset val="134"/>
      </rPr>
      <t xml:space="preserve">
6-</t>
    </r>
    <r>
      <rPr>
        <sz val="12"/>
        <rFont val="宋体"/>
        <charset val="134"/>
      </rPr>
      <t>第</t>
    </r>
    <r>
      <rPr>
        <sz val="12"/>
        <rFont val="Times New Roman"/>
        <charset val="134"/>
      </rPr>
      <t>7</t>
    </r>
    <r>
      <rPr>
        <sz val="12"/>
        <rFont val="宋体"/>
        <charset val="134"/>
      </rPr>
      <t>、</t>
    </r>
    <r>
      <rPr>
        <sz val="12"/>
        <rFont val="Times New Roman"/>
        <charset val="134"/>
      </rPr>
      <t>8</t>
    </r>
    <r>
      <rPr>
        <sz val="12"/>
        <rFont val="宋体"/>
        <charset val="134"/>
      </rPr>
      <t>项所列关联方的董事、监事、高级管理人员；</t>
    </r>
    <r>
      <rPr>
        <sz val="12"/>
        <rFont val="Times New Roman"/>
        <charset val="134"/>
      </rPr>
      <t xml:space="preserve">
7-</t>
    </r>
    <r>
      <rPr>
        <sz val="12"/>
        <rFont val="宋体"/>
        <charset val="134"/>
      </rPr>
      <t>银行机构的法人控股股东、实际控制人，及其一致行动人、最终受益人；</t>
    </r>
    <r>
      <rPr>
        <sz val="12"/>
        <rFont val="Times New Roman"/>
        <charset val="134"/>
      </rPr>
      <t xml:space="preserve">
8-</t>
    </r>
    <r>
      <rPr>
        <sz val="12"/>
        <rFont val="宋体"/>
        <charset val="134"/>
      </rPr>
      <t>持有或控制银行机构</t>
    </r>
    <r>
      <rPr>
        <sz val="12"/>
        <rFont val="Times New Roman"/>
        <charset val="134"/>
      </rPr>
      <t>5%</t>
    </r>
    <r>
      <rPr>
        <sz val="12"/>
        <rFont val="宋体"/>
        <charset val="134"/>
      </rPr>
      <t>以上股权的，或者持股不足</t>
    </r>
    <r>
      <rPr>
        <sz val="12"/>
        <rFont val="Times New Roman"/>
        <charset val="134"/>
      </rPr>
      <t>5%</t>
    </r>
    <r>
      <rPr>
        <sz val="12"/>
        <rFont val="宋体"/>
        <charset val="134"/>
      </rPr>
      <t>但对银行机构经营管理有重大影响的法人或非法人组织，及其控股股东、实际控制人、一致行动人、最终受益人；</t>
    </r>
    <r>
      <rPr>
        <sz val="12"/>
        <rFont val="Times New Roman"/>
        <charset val="134"/>
      </rPr>
      <t xml:space="preserve">
9-</t>
    </r>
    <r>
      <rPr>
        <sz val="12"/>
        <rFont val="宋体"/>
        <charset val="134"/>
      </rPr>
      <t>第</t>
    </r>
    <r>
      <rPr>
        <sz val="12"/>
        <rFont val="Times New Roman"/>
        <charset val="134"/>
      </rPr>
      <t>7</t>
    </r>
    <r>
      <rPr>
        <sz val="12"/>
        <rFont val="宋体"/>
        <charset val="134"/>
      </rPr>
      <t>项所列关联方控制或施加重大影响的法人或非法人组织，第</t>
    </r>
    <r>
      <rPr>
        <sz val="12"/>
        <rFont val="Times New Roman"/>
        <charset val="134"/>
      </rPr>
      <t>8</t>
    </r>
    <r>
      <rPr>
        <sz val="12"/>
        <rFont val="宋体"/>
        <charset val="134"/>
      </rPr>
      <t>项所列关联方控制的法人或非法人组织；</t>
    </r>
    <r>
      <rPr>
        <sz val="12"/>
        <rFont val="Times New Roman"/>
        <charset val="134"/>
      </rPr>
      <t xml:space="preserve">
10-</t>
    </r>
    <r>
      <rPr>
        <sz val="12"/>
        <rFont val="宋体"/>
        <charset val="134"/>
      </rPr>
      <t>银行机构控制或施加重大影响的法人或非法人组织；</t>
    </r>
    <r>
      <rPr>
        <sz val="12"/>
        <rFont val="Times New Roman"/>
        <charset val="134"/>
      </rPr>
      <t xml:space="preserve">
11-</t>
    </r>
    <r>
      <rPr>
        <sz val="12"/>
        <rFont val="宋体"/>
        <charset val="134"/>
      </rPr>
      <t>第</t>
    </r>
    <r>
      <rPr>
        <sz val="12"/>
        <rFont val="Times New Roman"/>
        <charset val="134"/>
      </rPr>
      <t>2</t>
    </r>
    <r>
      <rPr>
        <sz val="12"/>
        <rFont val="宋体"/>
        <charset val="134"/>
      </rPr>
      <t>项所列关联方控制或施加重大影响的法人或非法人组织，第</t>
    </r>
    <r>
      <rPr>
        <sz val="12"/>
        <rFont val="Times New Roman"/>
        <charset val="134"/>
      </rPr>
      <t>3</t>
    </r>
    <r>
      <rPr>
        <sz val="12"/>
        <rFont val="宋体"/>
        <charset val="134"/>
      </rPr>
      <t>至第</t>
    </r>
    <r>
      <rPr>
        <sz val="12"/>
        <rFont val="Times New Roman"/>
        <charset val="134"/>
      </rPr>
      <t>5</t>
    </r>
    <r>
      <rPr>
        <sz val="12"/>
        <rFont val="宋体"/>
        <charset val="134"/>
      </rPr>
      <t>项所列关联方控制的法人或非法人组织；</t>
    </r>
    <r>
      <rPr>
        <sz val="12"/>
        <rFont val="Times New Roman"/>
        <charset val="134"/>
      </rPr>
      <t xml:space="preserve">
12-</t>
    </r>
    <r>
      <rPr>
        <sz val="12"/>
        <rFont val="宋体"/>
        <charset val="134"/>
      </rPr>
      <t>银行机构认定的其他自然人、法人或非法人组织；</t>
    </r>
    <r>
      <rPr>
        <sz val="12"/>
        <rFont val="Times New Roman"/>
        <charset val="134"/>
      </rPr>
      <t xml:space="preserve">
13-</t>
    </r>
    <r>
      <rPr>
        <sz val="12"/>
        <rFont val="宋体"/>
        <charset val="134"/>
      </rPr>
      <t>银保监会或其派出机构认定可能导致银行机构利益转移的自然人、法人或非法人组织。</t>
    </r>
    <r>
      <rPr>
        <sz val="12"/>
        <rFont val="Times New Roman"/>
        <charset val="134"/>
      </rPr>
      <t xml:space="preserve">
</t>
    </r>
    <r>
      <rPr>
        <sz val="12"/>
        <rFont val="宋体"/>
        <charset val="134"/>
      </rPr>
      <t>如关系类型为</t>
    </r>
    <r>
      <rPr>
        <sz val="12"/>
        <rFont val="Times New Roman"/>
        <charset val="134"/>
      </rPr>
      <t>“</t>
    </r>
    <r>
      <rPr>
        <sz val="12"/>
        <rFont val="宋体"/>
        <charset val="134"/>
      </rPr>
      <t>股东</t>
    </r>
    <r>
      <rPr>
        <sz val="12"/>
        <rFont val="Times New Roman"/>
        <charset val="134"/>
      </rPr>
      <t>”</t>
    </r>
    <r>
      <rPr>
        <sz val="12"/>
        <rFont val="宋体"/>
        <charset val="134"/>
      </rPr>
      <t>，则填报</t>
    </r>
    <r>
      <rPr>
        <sz val="12"/>
        <rFont val="Times New Roman"/>
        <charset val="134"/>
      </rPr>
      <t>“1”</t>
    </r>
    <r>
      <rPr>
        <sz val="12"/>
        <rFont val="宋体"/>
        <charset val="134"/>
      </rPr>
      <t>。无法以枚举类型填报的，以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</si>
  <si>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002020</t>
  </si>
  <si>
    <r>
      <rPr>
        <sz val="12"/>
        <rFont val="宋体"/>
        <charset val="134"/>
      </rPr>
      <t>不良信息</t>
    </r>
  </si>
  <si>
    <t>Malicious information</t>
  </si>
  <si>
    <r>
      <rPr>
        <sz val="12"/>
        <rFont val="宋体"/>
        <charset val="134"/>
      </rPr>
      <t>枚举类型（代码）：</t>
    </r>
    <r>
      <rPr>
        <sz val="12"/>
        <rFont val="Times New Roman"/>
        <charset val="134"/>
      </rPr>
      <t xml:space="preserve">
1-</t>
    </r>
    <r>
      <rPr>
        <sz val="12"/>
        <rFont val="宋体"/>
        <charset val="134"/>
      </rPr>
      <t>被列为相关部门失信联合惩戒对象；</t>
    </r>
    <r>
      <rPr>
        <sz val="12"/>
        <rFont val="Times New Roman"/>
        <charset val="134"/>
      </rPr>
      <t xml:space="preserve">
2-</t>
    </r>
    <r>
      <rPr>
        <sz val="12"/>
        <rFont val="宋体"/>
        <charset val="134"/>
      </rPr>
      <t>存在严重逃废银行债务行为；</t>
    </r>
    <r>
      <rPr>
        <sz val="12"/>
        <rFont val="Times New Roman"/>
        <charset val="134"/>
      </rPr>
      <t xml:space="preserve">
3-</t>
    </r>
    <r>
      <rPr>
        <sz val="12"/>
        <rFont val="宋体"/>
        <charset val="134"/>
      </rPr>
      <t>提供虚假材料或者作不实声明；</t>
    </r>
    <r>
      <rPr>
        <sz val="12"/>
        <rFont val="Times New Roman"/>
        <charset val="134"/>
      </rPr>
      <t xml:space="preserve">
4-</t>
    </r>
    <r>
      <rPr>
        <sz val="12"/>
        <rFont val="宋体"/>
        <charset val="134"/>
      </rPr>
      <t>对商业银行经营失败或重大违法违规行为负有重大责任；</t>
    </r>
    <r>
      <rPr>
        <sz val="12"/>
        <rFont val="Times New Roman"/>
        <charset val="134"/>
      </rPr>
      <t xml:space="preserve">
5-</t>
    </r>
    <r>
      <rPr>
        <sz val="12"/>
        <rFont val="宋体"/>
        <charset val="134"/>
      </rPr>
      <t>拒绝或阻碍银监会或其派出机构依法实施监管；</t>
    </r>
    <r>
      <rPr>
        <sz val="12"/>
        <rFont val="Times New Roman"/>
        <charset val="134"/>
      </rPr>
      <t xml:space="preserve">
6-</t>
    </r>
    <r>
      <rPr>
        <sz val="12"/>
        <rFont val="宋体"/>
        <charset val="134"/>
      </rPr>
      <t>因违法违规行为被金融监管部门或政府有关部门查处，造成恶劣影响；</t>
    </r>
    <r>
      <rPr>
        <sz val="12"/>
        <rFont val="Times New Roman"/>
        <charset val="134"/>
      </rPr>
      <t xml:space="preserve">
7-</t>
    </r>
    <r>
      <rPr>
        <sz val="12"/>
        <rFont val="宋体"/>
        <charset val="134"/>
      </rPr>
      <t>其他可能对商业银行经营管理产生不利影响的情形。</t>
    </r>
    <r>
      <rPr>
        <sz val="12"/>
        <rFont val="Times New Roman"/>
        <charset val="134"/>
      </rPr>
      <t xml:space="preserve">
</t>
    </r>
    <r>
      <rPr>
        <sz val="12"/>
        <rFont val="宋体"/>
        <charset val="134"/>
      </rPr>
      <t>如被列为相关部门失信联合惩戒对象，填报</t>
    </r>
    <r>
      <rPr>
        <sz val="12"/>
        <rFont val="Times New Roman"/>
        <charset val="134"/>
      </rPr>
      <t>“1”</t>
    </r>
    <r>
      <rPr>
        <sz val="12"/>
        <rFont val="宋体"/>
        <charset val="134"/>
      </rPr>
      <t>。不存在上述情况不填报。</t>
    </r>
  </si>
  <si>
    <t>002021</t>
  </si>
  <si>
    <r>
      <rPr>
        <sz val="12"/>
        <rFont val="宋体"/>
        <charset val="134"/>
      </rPr>
      <t>入股资金来源</t>
    </r>
  </si>
  <si>
    <t>The source of the contributed capital</t>
  </si>
  <si>
    <r>
      <rPr>
        <sz val="12"/>
        <rFont val="宋体"/>
        <charset val="134"/>
      </rPr>
      <t>自有资金、委托资金、债务资金、其他</t>
    </r>
    <r>
      <rPr>
        <sz val="12"/>
        <rFont val="Times New Roman"/>
        <charset val="134"/>
      </rPr>
      <t>-</t>
    </r>
    <r>
      <rPr>
        <sz val="12"/>
        <rFont val="宋体"/>
        <charset val="134"/>
      </rPr>
      <t>银行自定义</t>
    </r>
  </si>
  <si>
    <t>002022</t>
  </si>
  <si>
    <r>
      <rPr>
        <sz val="12"/>
        <rFont val="宋体"/>
        <charset val="134"/>
      </rPr>
      <t>企业分类</t>
    </r>
  </si>
  <si>
    <t>Enterprise type</t>
  </si>
  <si>
    <r>
      <rPr>
        <sz val="12"/>
        <rFont val="宋体"/>
        <charset val="134"/>
      </rPr>
      <t>分为以下枚举类型：大型企业，中型企业，小型企业，微型企业，政府机关，事业单位，社会团体，境外机构，其他组织机构。大型企业、中型企业、小型企业、微型企业参照《中小企业划型标准规定》（工信部联企业〔</t>
    </r>
    <r>
      <rPr>
        <sz val="12"/>
        <rFont val="Times New Roman"/>
        <charset val="134"/>
      </rPr>
      <t>2011</t>
    </r>
    <r>
      <rPr>
        <sz val="12"/>
        <rFont val="宋体"/>
        <charset val="134"/>
      </rPr>
      <t>〕</t>
    </r>
    <r>
      <rPr>
        <sz val="12"/>
        <rFont val="Times New Roman"/>
        <charset val="134"/>
      </rPr>
      <t>300</t>
    </r>
    <r>
      <rPr>
        <sz val="12"/>
        <rFont val="宋体"/>
        <charset val="134"/>
      </rPr>
      <t>号）、《统计上大中小微型企业划分办法（</t>
    </r>
    <r>
      <rPr>
        <sz val="12"/>
        <rFont val="Times New Roman"/>
        <charset val="134"/>
      </rPr>
      <t>2017</t>
    </r>
    <r>
      <rPr>
        <sz val="12"/>
        <rFont val="宋体"/>
        <charset val="134"/>
      </rPr>
      <t>）》（国统字〔</t>
    </r>
    <r>
      <rPr>
        <sz val="12"/>
        <rFont val="Times New Roman"/>
        <charset val="134"/>
      </rPr>
      <t>2017</t>
    </r>
    <r>
      <rPr>
        <sz val="12"/>
        <rFont val="宋体"/>
        <charset val="134"/>
      </rPr>
      <t>〕</t>
    </r>
    <r>
      <rPr>
        <sz val="12"/>
        <rFont val="Times New Roman"/>
        <charset val="134"/>
      </rPr>
      <t>213</t>
    </r>
    <r>
      <rPr>
        <sz val="12"/>
        <rFont val="宋体"/>
        <charset val="134"/>
      </rPr>
      <t>号）和《金融业企业划型标准规定》（银发〔</t>
    </r>
    <r>
      <rPr>
        <sz val="12"/>
        <rFont val="Times New Roman"/>
        <charset val="134"/>
      </rPr>
      <t>2015</t>
    </r>
    <r>
      <rPr>
        <sz val="12"/>
        <rFont val="宋体"/>
        <charset val="134"/>
      </rPr>
      <t>〕</t>
    </r>
    <r>
      <rPr>
        <sz val="12"/>
        <rFont val="Times New Roman"/>
        <charset val="134"/>
      </rPr>
      <t>309</t>
    </r>
    <r>
      <rPr>
        <sz val="12"/>
        <rFont val="宋体"/>
        <charset val="134"/>
      </rPr>
      <t>号）划分。</t>
    </r>
  </si>
  <si>
    <t>002023</t>
  </si>
  <si>
    <r>
      <rPr>
        <sz val="12"/>
        <rFont val="宋体"/>
        <charset val="134"/>
      </rPr>
      <t>个人客户类型</t>
    </r>
  </si>
  <si>
    <t>Customer type of customer</t>
  </si>
  <si>
    <r>
      <rPr>
        <sz val="12"/>
        <rFont val="宋体"/>
        <charset val="134"/>
      </rPr>
      <t>普通个人客户，个体工商户，小微企业主，境外客户，其他</t>
    </r>
    <r>
      <rPr>
        <sz val="12"/>
        <rFont val="Times New Roman"/>
        <charset val="134"/>
      </rPr>
      <t>-</t>
    </r>
    <r>
      <rPr>
        <sz val="12"/>
        <rFont val="宋体"/>
        <charset val="134"/>
      </rPr>
      <t>银行自定义类型。无法以枚举类型填报的，以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</si>
  <si>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002024</t>
  </si>
  <si>
    <r>
      <rPr>
        <sz val="12"/>
        <rFont val="宋体"/>
        <charset val="134"/>
      </rPr>
      <t>对公客户类型</t>
    </r>
  </si>
  <si>
    <t>Customer type</t>
  </si>
  <si>
    <r>
      <rPr>
        <sz val="12"/>
        <rFont val="宋体"/>
        <charset val="134"/>
      </rPr>
      <t>集团客户，单一法人客户，同业客户，政府机关，事业单位，社会团体，境外机构，其他</t>
    </r>
    <r>
      <rPr>
        <sz val="12"/>
        <rFont val="Times New Roman"/>
        <charset val="134"/>
      </rPr>
      <t>-</t>
    </r>
    <r>
      <rPr>
        <sz val="12"/>
        <rFont val="宋体"/>
        <charset val="134"/>
      </rPr>
      <t>银行自定义类型。无法以枚举类型填报的，以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</si>
  <si>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002025</t>
  </si>
  <si>
    <r>
      <rPr>
        <sz val="12"/>
        <rFont val="宋体"/>
        <charset val="134"/>
      </rPr>
      <t>报表口径</t>
    </r>
  </si>
  <si>
    <t>Report type</t>
  </si>
  <si>
    <r>
      <rPr>
        <sz val="12"/>
        <rFont val="宋体"/>
        <charset val="134"/>
      </rPr>
      <t>本部报表，合并报表，其他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</si>
  <si>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002026</t>
  </si>
  <si>
    <r>
      <rPr>
        <sz val="12"/>
        <rFont val="宋体"/>
        <charset val="134"/>
      </rPr>
      <t>集团编号</t>
    </r>
  </si>
  <si>
    <t>Group number</t>
  </si>
  <si>
    <r>
      <rPr>
        <sz val="12"/>
        <rFont val="宋体"/>
        <charset val="134"/>
      </rPr>
      <t>银行为统一管理，根据既定规则生成并分配给集团客户作为唯一识别的编号。</t>
    </r>
  </si>
  <si>
    <t>002027</t>
  </si>
  <si>
    <r>
      <rPr>
        <sz val="12"/>
        <rFont val="宋体"/>
        <charset val="134"/>
      </rPr>
      <t>股东或关联方类别</t>
    </r>
  </si>
  <si>
    <t>Shareholder type</t>
  </si>
  <si>
    <r>
      <rPr>
        <sz val="12"/>
        <rFont val="宋体"/>
        <charset val="134"/>
      </rPr>
      <t>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</si>
  <si>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002028</t>
  </si>
  <si>
    <r>
      <rPr>
        <sz val="12"/>
        <rFont val="宋体"/>
        <charset val="134"/>
      </rPr>
      <t>财务报表编号</t>
    </r>
  </si>
  <si>
    <t>Financial statement number</t>
  </si>
  <si>
    <r>
      <rPr>
        <sz val="12"/>
        <rFont val="宋体"/>
        <charset val="134"/>
      </rPr>
      <t>唯一标识财务报表的编号，银行自定义。</t>
    </r>
  </si>
  <si>
    <r>
      <rPr>
        <sz val="12"/>
        <rFont val="宋体"/>
        <charset val="134"/>
      </rPr>
      <t>账户</t>
    </r>
  </si>
  <si>
    <t>003001</t>
  </si>
  <si>
    <r>
      <rPr>
        <sz val="12"/>
        <rFont val="宋体"/>
        <charset val="134"/>
      </rPr>
      <t>账号</t>
    </r>
  </si>
  <si>
    <t>Account number</t>
  </si>
  <si>
    <r>
      <rPr>
        <sz val="12"/>
        <rFont val="宋体"/>
        <charset val="134"/>
      </rPr>
      <t>系统内最细一级的账号，无唯一性约束，不需要和序号、子序号等做拼接。</t>
    </r>
  </si>
  <si>
    <t>003002</t>
  </si>
  <si>
    <r>
      <rPr>
        <sz val="12"/>
        <rFont val="宋体"/>
        <charset val="134"/>
      </rPr>
      <t>会计科目编号</t>
    </r>
  </si>
  <si>
    <t>Subject number of general ledger accounting</t>
  </si>
  <si>
    <r>
      <rPr>
        <sz val="12"/>
        <rFont val="宋体"/>
        <charset val="134"/>
      </rPr>
      <t>机构实际使用的总账会计科目编码。</t>
    </r>
  </si>
  <si>
    <t>003003</t>
  </si>
  <si>
    <r>
      <rPr>
        <sz val="12"/>
        <rFont val="宋体"/>
        <charset val="134"/>
      </rPr>
      <t>会计科目名称</t>
    </r>
  </si>
  <si>
    <t>Subject name of general ledger accounting</t>
  </si>
  <si>
    <r>
      <rPr>
        <sz val="12"/>
        <rFont val="宋体"/>
        <charset val="134"/>
      </rPr>
      <t>机构实际使用的总账会计科目编码对应的名称。</t>
    </r>
  </si>
  <si>
    <t>003004</t>
  </si>
  <si>
    <r>
      <rPr>
        <sz val="12"/>
        <rFont val="宋体"/>
        <charset val="134"/>
      </rPr>
      <t>会计科目级次</t>
    </r>
  </si>
  <si>
    <t>Subject grade of general ledger accounting</t>
  </si>
  <si>
    <r>
      <rPr>
        <sz val="12"/>
        <rFont val="宋体"/>
        <charset val="134"/>
      </rPr>
      <t>总账会计科目编号在科目结构中所对应的级次。</t>
    </r>
  </si>
  <si>
    <t>003005</t>
  </si>
  <si>
    <r>
      <rPr>
        <sz val="12"/>
        <rFont val="宋体"/>
        <charset val="134"/>
      </rPr>
      <t>会计科目大类</t>
    </r>
  </si>
  <si>
    <t>Account  category</t>
  </si>
  <si>
    <r>
      <rPr>
        <sz val="12"/>
        <rFont val="宋体"/>
        <charset val="134"/>
      </rPr>
      <t>资产、负债、所有者权益、损益、资产负债共同类、表外、其他。</t>
    </r>
  </si>
  <si>
    <t>003006</t>
  </si>
  <si>
    <r>
      <rPr>
        <sz val="12"/>
        <rFont val="宋体"/>
        <charset val="134"/>
      </rPr>
      <t>会计科目子类</t>
    </r>
  </si>
  <si>
    <t>Account sub category</t>
  </si>
  <si>
    <r>
      <rPr>
        <sz val="12"/>
        <rFont val="宋体"/>
        <charset val="134"/>
      </rPr>
      <t>资产类业务子类：</t>
    </r>
    <r>
      <rPr>
        <sz val="12"/>
        <rFont val="Times New Roman"/>
        <charset val="134"/>
      </rPr>
      <t>1</t>
    </r>
    <r>
      <rPr>
        <sz val="12"/>
        <rFont val="宋体"/>
        <charset val="134"/>
      </rPr>
      <t>现金，</t>
    </r>
    <r>
      <rPr>
        <sz val="12"/>
        <rFont val="Times New Roman"/>
        <charset val="134"/>
      </rPr>
      <t>2</t>
    </r>
    <r>
      <rPr>
        <sz val="12"/>
        <rFont val="宋体"/>
        <charset val="134"/>
      </rPr>
      <t>贵金属，</t>
    </r>
    <r>
      <rPr>
        <sz val="12"/>
        <rFont val="Times New Roman"/>
        <charset val="134"/>
      </rPr>
      <t>3</t>
    </r>
    <r>
      <rPr>
        <sz val="12"/>
        <rFont val="宋体"/>
        <charset val="134"/>
      </rPr>
      <t>存放中央银行款项，</t>
    </r>
    <r>
      <rPr>
        <sz val="12"/>
        <rFont val="Times New Roman"/>
        <charset val="134"/>
      </rPr>
      <t>4</t>
    </r>
    <r>
      <rPr>
        <sz val="12"/>
        <rFont val="宋体"/>
        <charset val="134"/>
      </rPr>
      <t>存放同业款项，</t>
    </r>
    <r>
      <rPr>
        <sz val="12"/>
        <rFont val="Times New Roman"/>
        <charset val="134"/>
      </rPr>
      <t>5</t>
    </r>
    <r>
      <rPr>
        <sz val="12"/>
        <rFont val="宋体"/>
        <charset val="134"/>
      </rPr>
      <t>应收利息，</t>
    </r>
    <r>
      <rPr>
        <sz val="12"/>
        <rFont val="Times New Roman"/>
        <charset val="134"/>
      </rPr>
      <t>6</t>
    </r>
    <r>
      <rPr>
        <sz val="12"/>
        <rFont val="宋体"/>
        <charset val="134"/>
      </rPr>
      <t>贷款，</t>
    </r>
    <r>
      <rPr>
        <sz val="12"/>
        <rFont val="Times New Roman"/>
        <charset val="134"/>
      </rPr>
      <t>7</t>
    </r>
    <r>
      <rPr>
        <sz val="12"/>
        <rFont val="宋体"/>
        <charset val="134"/>
      </rPr>
      <t>贸易融资，</t>
    </r>
    <r>
      <rPr>
        <sz val="12"/>
        <rFont val="Times New Roman"/>
        <charset val="134"/>
      </rPr>
      <t>8</t>
    </r>
    <r>
      <rPr>
        <sz val="12"/>
        <rFont val="宋体"/>
        <charset val="134"/>
      </rPr>
      <t>贴现及买断式转贴现，</t>
    </r>
    <r>
      <rPr>
        <sz val="12"/>
        <rFont val="Times New Roman"/>
        <charset val="134"/>
      </rPr>
      <t>9</t>
    </r>
    <r>
      <rPr>
        <sz val="12"/>
        <rFont val="宋体"/>
        <charset val="134"/>
      </rPr>
      <t>其他贷款，</t>
    </r>
    <r>
      <rPr>
        <sz val="12"/>
        <rFont val="Times New Roman"/>
        <charset val="134"/>
      </rPr>
      <t>10</t>
    </r>
    <r>
      <rPr>
        <sz val="12"/>
        <rFont val="宋体"/>
        <charset val="134"/>
      </rPr>
      <t>拆放同业，</t>
    </r>
    <r>
      <rPr>
        <sz val="12"/>
        <rFont val="Times New Roman"/>
        <charset val="134"/>
      </rPr>
      <t>11</t>
    </r>
    <r>
      <rPr>
        <sz val="12"/>
        <rFont val="宋体"/>
        <charset val="134"/>
      </rPr>
      <t>其他应收款，</t>
    </r>
    <r>
      <rPr>
        <sz val="12"/>
        <rFont val="Times New Roman"/>
        <charset val="134"/>
      </rPr>
      <t>12</t>
    </r>
    <r>
      <rPr>
        <sz val="12"/>
        <rFont val="宋体"/>
        <charset val="134"/>
      </rPr>
      <t>投资，</t>
    </r>
    <r>
      <rPr>
        <sz val="12"/>
        <rFont val="Times New Roman"/>
        <charset val="134"/>
      </rPr>
      <t>13</t>
    </r>
    <r>
      <rPr>
        <sz val="12"/>
        <rFont val="宋体"/>
        <charset val="134"/>
      </rPr>
      <t>买入返售资产，</t>
    </r>
    <r>
      <rPr>
        <sz val="12"/>
        <rFont val="Times New Roman"/>
        <charset val="134"/>
      </rPr>
      <t>14</t>
    </r>
    <r>
      <rPr>
        <sz val="12"/>
        <rFont val="宋体"/>
        <charset val="134"/>
      </rPr>
      <t>长期待摊费用，</t>
    </r>
    <r>
      <rPr>
        <sz val="12"/>
        <rFont val="Times New Roman"/>
        <charset val="134"/>
      </rPr>
      <t>15</t>
    </r>
    <r>
      <rPr>
        <sz val="12"/>
        <rFont val="宋体"/>
        <charset val="134"/>
      </rPr>
      <t>固定资产原价，</t>
    </r>
    <r>
      <rPr>
        <sz val="12"/>
        <rFont val="Times New Roman"/>
        <charset val="134"/>
      </rPr>
      <t>16</t>
    </r>
    <r>
      <rPr>
        <sz val="12"/>
        <rFont val="宋体"/>
        <charset val="134"/>
      </rPr>
      <t>减：累计折旧，</t>
    </r>
    <r>
      <rPr>
        <sz val="12"/>
        <rFont val="Times New Roman"/>
        <charset val="134"/>
      </rPr>
      <t>17</t>
    </r>
    <r>
      <rPr>
        <sz val="12"/>
        <rFont val="宋体"/>
        <charset val="134"/>
      </rPr>
      <t>固定资产净值，</t>
    </r>
    <r>
      <rPr>
        <sz val="12"/>
        <rFont val="Times New Roman"/>
        <charset val="134"/>
      </rPr>
      <t>18</t>
    </r>
    <r>
      <rPr>
        <sz val="12"/>
        <rFont val="宋体"/>
        <charset val="134"/>
      </rPr>
      <t>固定资产清理，</t>
    </r>
    <r>
      <rPr>
        <sz val="12"/>
        <rFont val="Times New Roman"/>
        <charset val="134"/>
      </rPr>
      <t>19</t>
    </r>
    <r>
      <rPr>
        <sz val="12"/>
        <rFont val="宋体"/>
        <charset val="134"/>
      </rPr>
      <t>在建工程，</t>
    </r>
    <r>
      <rPr>
        <sz val="12"/>
        <rFont val="Times New Roman"/>
        <charset val="134"/>
      </rPr>
      <t>20</t>
    </r>
    <r>
      <rPr>
        <sz val="12"/>
        <rFont val="宋体"/>
        <charset val="134"/>
      </rPr>
      <t>无形资产，</t>
    </r>
    <r>
      <rPr>
        <sz val="12"/>
        <rFont val="Times New Roman"/>
        <charset val="134"/>
      </rPr>
      <t>21</t>
    </r>
    <r>
      <rPr>
        <sz val="12"/>
        <rFont val="宋体"/>
        <charset val="134"/>
      </rPr>
      <t>抵债资产，</t>
    </r>
    <r>
      <rPr>
        <sz val="12"/>
        <rFont val="Times New Roman"/>
        <charset val="134"/>
      </rPr>
      <t>22</t>
    </r>
    <r>
      <rPr>
        <sz val="12"/>
        <rFont val="宋体"/>
        <charset val="134"/>
      </rPr>
      <t>递延所得税资产，</t>
    </r>
    <r>
      <rPr>
        <sz val="12"/>
        <rFont val="Times New Roman"/>
        <charset val="134"/>
      </rPr>
      <t>23</t>
    </r>
    <r>
      <rPr>
        <sz val="12"/>
        <rFont val="宋体"/>
        <charset val="134"/>
      </rPr>
      <t>其他资产，</t>
    </r>
    <r>
      <rPr>
        <sz val="12"/>
        <rFont val="Times New Roman"/>
        <charset val="134"/>
      </rPr>
      <t>24</t>
    </r>
    <r>
      <rPr>
        <sz val="12"/>
        <rFont val="宋体"/>
        <charset val="134"/>
      </rPr>
      <t>各项资产减值损失准备。</t>
    </r>
    <r>
      <rPr>
        <sz val="12"/>
        <rFont val="Times New Roman"/>
        <charset val="134"/>
      </rPr>
      <t xml:space="preserve">
</t>
    </r>
    <r>
      <rPr>
        <sz val="12"/>
        <rFont val="宋体"/>
        <charset val="134"/>
      </rPr>
      <t>负债类业务子类：</t>
    </r>
    <r>
      <rPr>
        <sz val="12"/>
        <rFont val="Times New Roman"/>
        <charset val="134"/>
      </rPr>
      <t>25</t>
    </r>
    <r>
      <rPr>
        <sz val="12"/>
        <rFont val="宋体"/>
        <charset val="134"/>
      </rPr>
      <t>单位存款，</t>
    </r>
    <r>
      <rPr>
        <sz val="12"/>
        <rFont val="Times New Roman"/>
        <charset val="134"/>
      </rPr>
      <t>26</t>
    </r>
    <r>
      <rPr>
        <sz val="12"/>
        <rFont val="宋体"/>
        <charset val="134"/>
      </rPr>
      <t>储蓄存款，</t>
    </r>
    <r>
      <rPr>
        <sz val="12"/>
        <rFont val="Times New Roman"/>
        <charset val="134"/>
      </rPr>
      <t>27</t>
    </r>
    <r>
      <rPr>
        <sz val="12"/>
        <rFont val="宋体"/>
        <charset val="134"/>
      </rPr>
      <t>向中央银行借款，</t>
    </r>
    <r>
      <rPr>
        <sz val="12"/>
        <rFont val="Times New Roman"/>
        <charset val="134"/>
      </rPr>
      <t>28</t>
    </r>
    <r>
      <rPr>
        <sz val="12"/>
        <rFont val="宋体"/>
        <charset val="134"/>
      </rPr>
      <t>同业存放款项，</t>
    </r>
    <r>
      <rPr>
        <sz val="12"/>
        <rFont val="Times New Roman"/>
        <charset val="134"/>
      </rPr>
      <t>29</t>
    </r>
    <r>
      <rPr>
        <sz val="12"/>
        <rFont val="宋体"/>
        <charset val="134"/>
      </rPr>
      <t>同业拆入，</t>
    </r>
    <r>
      <rPr>
        <sz val="12"/>
        <rFont val="Times New Roman"/>
        <charset val="134"/>
      </rPr>
      <t>30</t>
    </r>
    <r>
      <rPr>
        <sz val="12"/>
        <rFont val="宋体"/>
        <charset val="134"/>
      </rPr>
      <t>卖出回购款项，</t>
    </r>
    <r>
      <rPr>
        <sz val="12"/>
        <rFont val="Times New Roman"/>
        <charset val="134"/>
      </rPr>
      <t>31</t>
    </r>
    <r>
      <rPr>
        <sz val="12"/>
        <rFont val="宋体"/>
        <charset val="134"/>
      </rPr>
      <t>汇出汇款，</t>
    </r>
    <r>
      <rPr>
        <sz val="12"/>
        <rFont val="Times New Roman"/>
        <charset val="134"/>
      </rPr>
      <t>32</t>
    </r>
    <r>
      <rPr>
        <sz val="12"/>
        <rFont val="宋体"/>
        <charset val="134"/>
      </rPr>
      <t>应解汇款，</t>
    </r>
    <r>
      <rPr>
        <sz val="12"/>
        <rFont val="Times New Roman"/>
        <charset val="134"/>
      </rPr>
      <t>33</t>
    </r>
    <r>
      <rPr>
        <sz val="12"/>
        <rFont val="宋体"/>
        <charset val="134"/>
      </rPr>
      <t>存入保证金，</t>
    </r>
    <r>
      <rPr>
        <sz val="12"/>
        <rFont val="Times New Roman"/>
        <charset val="134"/>
      </rPr>
      <t>34</t>
    </r>
    <r>
      <rPr>
        <sz val="12"/>
        <rFont val="宋体"/>
        <charset val="134"/>
      </rPr>
      <t>应付利息，</t>
    </r>
    <r>
      <rPr>
        <sz val="12"/>
        <rFont val="Times New Roman"/>
        <charset val="134"/>
      </rPr>
      <t>35</t>
    </r>
    <r>
      <rPr>
        <sz val="12"/>
        <rFont val="宋体"/>
        <charset val="134"/>
      </rPr>
      <t>应交税费，</t>
    </r>
    <r>
      <rPr>
        <sz val="12"/>
        <rFont val="Times New Roman"/>
        <charset val="134"/>
      </rPr>
      <t>36</t>
    </r>
    <r>
      <rPr>
        <sz val="12"/>
        <rFont val="宋体"/>
        <charset val="134"/>
      </rPr>
      <t>应付职工薪酬，</t>
    </r>
    <r>
      <rPr>
        <sz val="12"/>
        <rFont val="Times New Roman"/>
        <charset val="134"/>
      </rPr>
      <t>37</t>
    </r>
    <r>
      <rPr>
        <sz val="12"/>
        <rFont val="宋体"/>
        <charset val="134"/>
      </rPr>
      <t>应付福利费，</t>
    </r>
    <r>
      <rPr>
        <sz val="12"/>
        <rFont val="Times New Roman"/>
        <charset val="134"/>
      </rPr>
      <t>38</t>
    </r>
    <r>
      <rPr>
        <sz val="12"/>
        <rFont val="宋体"/>
        <charset val="134"/>
      </rPr>
      <t>应付股利，</t>
    </r>
    <r>
      <rPr>
        <sz val="12"/>
        <rFont val="Times New Roman"/>
        <charset val="134"/>
      </rPr>
      <t>39</t>
    </r>
    <r>
      <rPr>
        <sz val="12"/>
        <rFont val="宋体"/>
        <charset val="134"/>
      </rPr>
      <t>其他应付款，</t>
    </r>
    <r>
      <rPr>
        <sz val="12"/>
        <rFont val="Times New Roman"/>
        <charset val="134"/>
      </rPr>
      <t>40</t>
    </r>
    <r>
      <rPr>
        <sz val="12"/>
        <rFont val="宋体"/>
        <charset val="134"/>
      </rPr>
      <t>预提费用，</t>
    </r>
    <r>
      <rPr>
        <sz val="12"/>
        <rFont val="Times New Roman"/>
        <charset val="134"/>
      </rPr>
      <t>41</t>
    </r>
    <r>
      <rPr>
        <sz val="12"/>
        <rFont val="宋体"/>
        <charset val="134"/>
      </rPr>
      <t>递延收益，</t>
    </r>
    <r>
      <rPr>
        <sz val="12"/>
        <rFont val="Times New Roman"/>
        <charset val="134"/>
      </rPr>
      <t>42</t>
    </r>
    <r>
      <rPr>
        <sz val="12"/>
        <rFont val="宋体"/>
        <charset val="134"/>
      </rPr>
      <t>预计负债，</t>
    </r>
    <r>
      <rPr>
        <sz val="12"/>
        <rFont val="Times New Roman"/>
        <charset val="134"/>
      </rPr>
      <t>43</t>
    </r>
    <r>
      <rPr>
        <sz val="12"/>
        <rFont val="宋体"/>
        <charset val="134"/>
      </rPr>
      <t>转贷款资金，</t>
    </r>
    <r>
      <rPr>
        <sz val="12"/>
        <rFont val="Times New Roman"/>
        <charset val="134"/>
      </rPr>
      <t>44</t>
    </r>
    <r>
      <rPr>
        <sz val="12"/>
        <rFont val="宋体"/>
        <charset val="134"/>
      </rPr>
      <t>应付债券，</t>
    </r>
    <r>
      <rPr>
        <sz val="12"/>
        <rFont val="Times New Roman"/>
        <charset val="134"/>
      </rPr>
      <t>45</t>
    </r>
    <r>
      <rPr>
        <sz val="12"/>
        <rFont val="宋体"/>
        <charset val="134"/>
      </rPr>
      <t>其他负债，</t>
    </r>
    <r>
      <rPr>
        <sz val="12"/>
        <rFont val="Times New Roman"/>
        <charset val="134"/>
      </rPr>
      <t>46</t>
    </r>
    <r>
      <rPr>
        <sz val="12"/>
        <rFont val="宋体"/>
        <charset val="134"/>
      </rPr>
      <t>递延所得税负债。</t>
    </r>
    <r>
      <rPr>
        <sz val="12"/>
        <rFont val="Times New Roman"/>
        <charset val="134"/>
      </rPr>
      <t xml:space="preserve">
</t>
    </r>
    <r>
      <rPr>
        <sz val="12"/>
        <rFont val="宋体"/>
        <charset val="134"/>
      </rPr>
      <t>所有者权益类业务子类：</t>
    </r>
    <r>
      <rPr>
        <sz val="12"/>
        <rFont val="Times New Roman"/>
        <charset val="134"/>
      </rPr>
      <t>47</t>
    </r>
    <r>
      <rPr>
        <sz val="12"/>
        <rFont val="宋体"/>
        <charset val="134"/>
      </rPr>
      <t>实收资本，</t>
    </r>
    <r>
      <rPr>
        <sz val="12"/>
        <rFont val="Times New Roman"/>
        <charset val="134"/>
      </rPr>
      <t>48</t>
    </r>
    <r>
      <rPr>
        <sz val="12"/>
        <rFont val="宋体"/>
        <charset val="134"/>
      </rPr>
      <t>资本公积，</t>
    </r>
    <r>
      <rPr>
        <sz val="12"/>
        <rFont val="Times New Roman"/>
        <charset val="134"/>
      </rPr>
      <t>49</t>
    </r>
    <r>
      <rPr>
        <sz val="12"/>
        <rFont val="宋体"/>
        <charset val="134"/>
      </rPr>
      <t>盈余公积，</t>
    </r>
    <r>
      <rPr>
        <sz val="12"/>
        <rFont val="Times New Roman"/>
        <charset val="134"/>
      </rPr>
      <t>50</t>
    </r>
    <r>
      <rPr>
        <sz val="12"/>
        <rFont val="宋体"/>
        <charset val="134"/>
      </rPr>
      <t>一般风险准备，</t>
    </r>
    <r>
      <rPr>
        <sz val="12"/>
        <rFont val="Times New Roman"/>
        <charset val="134"/>
      </rPr>
      <t>51</t>
    </r>
    <r>
      <rPr>
        <sz val="12"/>
        <rFont val="宋体"/>
        <charset val="134"/>
      </rPr>
      <t>信托赔偿准备，</t>
    </r>
    <r>
      <rPr>
        <sz val="12"/>
        <rFont val="Times New Roman"/>
        <charset val="134"/>
      </rPr>
      <t>52</t>
    </r>
    <r>
      <rPr>
        <sz val="12"/>
        <rFont val="宋体"/>
        <charset val="134"/>
      </rPr>
      <t>未分配利润，</t>
    </r>
    <r>
      <rPr>
        <sz val="12"/>
        <rFont val="Times New Roman"/>
        <charset val="134"/>
      </rPr>
      <t>53</t>
    </r>
    <r>
      <rPr>
        <sz val="12"/>
        <rFont val="宋体"/>
        <charset val="134"/>
      </rPr>
      <t>其他综合收益，</t>
    </r>
    <r>
      <rPr>
        <sz val="12"/>
        <rFont val="Times New Roman"/>
        <charset val="134"/>
      </rPr>
      <t>54</t>
    </r>
    <r>
      <rPr>
        <sz val="12"/>
        <rFont val="宋体"/>
        <charset val="134"/>
      </rPr>
      <t>其他权益工具。</t>
    </r>
    <r>
      <rPr>
        <sz val="12"/>
        <rFont val="Times New Roman"/>
        <charset val="134"/>
      </rPr>
      <t xml:space="preserve">
</t>
    </r>
    <r>
      <rPr>
        <sz val="12"/>
        <rFont val="宋体"/>
        <charset val="134"/>
      </rPr>
      <t>损益类业务子类：</t>
    </r>
    <r>
      <rPr>
        <sz val="12"/>
        <rFont val="Times New Roman"/>
        <charset val="134"/>
      </rPr>
      <t>55</t>
    </r>
    <r>
      <rPr>
        <sz val="12"/>
        <rFont val="宋体"/>
        <charset val="134"/>
      </rPr>
      <t>利息收入，</t>
    </r>
    <r>
      <rPr>
        <sz val="12"/>
        <rFont val="Times New Roman"/>
        <charset val="134"/>
      </rPr>
      <t>56</t>
    </r>
    <r>
      <rPr>
        <sz val="12"/>
        <rFont val="宋体"/>
        <charset val="134"/>
      </rPr>
      <t>利息支出，</t>
    </r>
    <r>
      <rPr>
        <sz val="12"/>
        <rFont val="Times New Roman"/>
        <charset val="134"/>
      </rPr>
      <t>57</t>
    </r>
    <r>
      <rPr>
        <sz val="12"/>
        <rFont val="宋体"/>
        <charset val="134"/>
      </rPr>
      <t>手续费及佣金收入，</t>
    </r>
    <r>
      <rPr>
        <sz val="12"/>
        <rFont val="Times New Roman"/>
        <charset val="134"/>
      </rPr>
      <t>58</t>
    </r>
    <r>
      <rPr>
        <sz val="12"/>
        <rFont val="宋体"/>
        <charset val="134"/>
      </rPr>
      <t>手续费及佣金支出，</t>
    </r>
    <r>
      <rPr>
        <sz val="12"/>
        <rFont val="Times New Roman"/>
        <charset val="134"/>
      </rPr>
      <t>59</t>
    </r>
    <r>
      <rPr>
        <sz val="12"/>
        <rFont val="宋体"/>
        <charset val="134"/>
      </rPr>
      <t>投资损益，</t>
    </r>
    <r>
      <rPr>
        <sz val="12"/>
        <rFont val="Times New Roman"/>
        <charset val="134"/>
      </rPr>
      <t>60</t>
    </r>
    <r>
      <rPr>
        <sz val="12"/>
        <rFont val="宋体"/>
        <charset val="134"/>
      </rPr>
      <t>公允价值变动损益，</t>
    </r>
    <r>
      <rPr>
        <sz val="12"/>
        <rFont val="Times New Roman"/>
        <charset val="134"/>
      </rPr>
      <t>61</t>
    </r>
    <r>
      <rPr>
        <sz val="12"/>
        <rFont val="宋体"/>
        <charset val="134"/>
      </rPr>
      <t>汇兑损益，</t>
    </r>
    <r>
      <rPr>
        <sz val="12"/>
        <rFont val="Times New Roman"/>
        <charset val="134"/>
      </rPr>
      <t>62</t>
    </r>
    <r>
      <rPr>
        <sz val="12"/>
        <rFont val="宋体"/>
        <charset val="134"/>
      </rPr>
      <t>资产处置损益，</t>
    </r>
    <r>
      <rPr>
        <sz val="12"/>
        <rFont val="Times New Roman"/>
        <charset val="134"/>
      </rPr>
      <t>63</t>
    </r>
    <r>
      <rPr>
        <sz val="12"/>
        <rFont val="宋体"/>
        <charset val="134"/>
      </rPr>
      <t>其他业务收入，</t>
    </r>
    <r>
      <rPr>
        <sz val="12"/>
        <rFont val="Times New Roman"/>
        <charset val="134"/>
      </rPr>
      <t>64</t>
    </r>
    <r>
      <rPr>
        <sz val="12"/>
        <rFont val="宋体"/>
        <charset val="134"/>
      </rPr>
      <t>营业支出，</t>
    </r>
    <r>
      <rPr>
        <sz val="12"/>
        <rFont val="Times New Roman"/>
        <charset val="134"/>
      </rPr>
      <t>65</t>
    </r>
    <r>
      <rPr>
        <sz val="12"/>
        <rFont val="宋体"/>
        <charset val="134"/>
      </rPr>
      <t>营业外收入，</t>
    </r>
    <r>
      <rPr>
        <sz val="12"/>
        <rFont val="Times New Roman"/>
        <charset val="134"/>
      </rPr>
      <t>66</t>
    </r>
    <r>
      <rPr>
        <sz val="12"/>
        <rFont val="宋体"/>
        <charset val="134"/>
      </rPr>
      <t>营业外支出，</t>
    </r>
    <r>
      <rPr>
        <sz val="12"/>
        <rFont val="Times New Roman"/>
        <charset val="134"/>
      </rPr>
      <t>67</t>
    </r>
    <r>
      <rPr>
        <sz val="12"/>
        <rFont val="宋体"/>
        <charset val="134"/>
      </rPr>
      <t>资产减值损失，</t>
    </r>
    <r>
      <rPr>
        <sz val="12"/>
        <rFont val="Times New Roman"/>
        <charset val="134"/>
      </rPr>
      <t>68</t>
    </r>
    <r>
      <rPr>
        <sz val="12"/>
        <rFont val="宋体"/>
        <charset val="134"/>
      </rPr>
      <t>所得税，</t>
    </r>
    <r>
      <rPr>
        <sz val="12"/>
        <rFont val="Times New Roman"/>
        <charset val="134"/>
      </rPr>
      <t>69</t>
    </r>
    <r>
      <rPr>
        <sz val="12"/>
        <rFont val="宋体"/>
        <charset val="134"/>
      </rPr>
      <t>少数股东损益。</t>
    </r>
    <r>
      <rPr>
        <sz val="12"/>
        <rFont val="Times New Roman"/>
        <charset val="134"/>
      </rPr>
      <t xml:space="preserve">
</t>
    </r>
    <r>
      <rPr>
        <sz val="12"/>
        <rFont val="宋体"/>
        <charset val="134"/>
      </rPr>
      <t>表外业务类别：</t>
    </r>
    <r>
      <rPr>
        <sz val="12"/>
        <rFont val="Times New Roman"/>
        <charset val="134"/>
      </rPr>
      <t>70</t>
    </r>
    <r>
      <rPr>
        <sz val="12"/>
        <rFont val="宋体"/>
        <charset val="134"/>
      </rPr>
      <t>承兑汇票，</t>
    </r>
    <r>
      <rPr>
        <sz val="12"/>
        <rFont val="Times New Roman"/>
        <charset val="134"/>
      </rPr>
      <t>71</t>
    </r>
    <r>
      <rPr>
        <sz val="12"/>
        <rFont val="宋体"/>
        <charset val="134"/>
      </rPr>
      <t>跟单信用证，</t>
    </r>
    <r>
      <rPr>
        <sz val="12"/>
        <rFont val="Times New Roman"/>
        <charset val="134"/>
      </rPr>
      <t>72</t>
    </r>
    <r>
      <rPr>
        <sz val="12"/>
        <rFont val="宋体"/>
        <charset val="134"/>
      </rPr>
      <t>保函，</t>
    </r>
    <r>
      <rPr>
        <sz val="12"/>
        <rFont val="Times New Roman"/>
        <charset val="134"/>
      </rPr>
      <t>73</t>
    </r>
    <r>
      <rPr>
        <sz val="12"/>
        <rFont val="宋体"/>
        <charset val="134"/>
      </rPr>
      <t>信用风险仍在银行的销售与购买协议，</t>
    </r>
    <r>
      <rPr>
        <sz val="12"/>
        <rFont val="Times New Roman"/>
        <charset val="134"/>
      </rPr>
      <t>74</t>
    </r>
    <r>
      <rPr>
        <sz val="12"/>
        <rFont val="宋体"/>
        <charset val="134"/>
      </rPr>
      <t>其他担保类业务，</t>
    </r>
    <r>
      <rPr>
        <sz val="12"/>
        <rFont val="Times New Roman"/>
        <charset val="134"/>
      </rPr>
      <t>75</t>
    </r>
    <r>
      <rPr>
        <sz val="12"/>
        <rFont val="宋体"/>
        <charset val="134"/>
      </rPr>
      <t>可随时无条件撤销的贷款承诺，</t>
    </r>
    <r>
      <rPr>
        <sz val="12"/>
        <rFont val="Times New Roman"/>
        <charset val="134"/>
      </rPr>
      <t>76</t>
    </r>
    <r>
      <rPr>
        <sz val="12"/>
        <rFont val="宋体"/>
        <charset val="134"/>
      </rPr>
      <t>不可无条件撤销的贷款承诺，</t>
    </r>
    <r>
      <rPr>
        <sz val="12"/>
        <rFont val="Times New Roman"/>
        <charset val="134"/>
      </rPr>
      <t>77</t>
    </r>
    <r>
      <rPr>
        <sz val="12"/>
        <rFont val="宋体"/>
        <charset val="134"/>
      </rPr>
      <t>未使用的信用卡授信额度，</t>
    </r>
    <r>
      <rPr>
        <sz val="12"/>
        <rFont val="Times New Roman"/>
        <charset val="134"/>
      </rPr>
      <t>78</t>
    </r>
    <r>
      <rPr>
        <sz val="12"/>
        <rFont val="宋体"/>
        <charset val="134"/>
      </rPr>
      <t>其他承诺，</t>
    </r>
    <r>
      <rPr>
        <sz val="12"/>
        <rFont val="Times New Roman"/>
        <charset val="134"/>
      </rPr>
      <t>79</t>
    </r>
    <r>
      <rPr>
        <sz val="12"/>
        <rFont val="宋体"/>
        <charset val="134"/>
      </rPr>
      <t>发行非保本理财产品，</t>
    </r>
    <r>
      <rPr>
        <sz val="12"/>
        <rFont val="Times New Roman"/>
        <charset val="134"/>
      </rPr>
      <t>80</t>
    </r>
    <r>
      <rPr>
        <sz val="12"/>
        <rFont val="宋体"/>
        <charset val="134"/>
      </rPr>
      <t>委托贷款，</t>
    </r>
    <r>
      <rPr>
        <sz val="12"/>
        <rFont val="Times New Roman"/>
        <charset val="134"/>
      </rPr>
      <t>81</t>
    </r>
    <r>
      <rPr>
        <sz val="12"/>
        <rFont val="宋体"/>
        <charset val="134"/>
      </rPr>
      <t>委托投资，</t>
    </r>
    <r>
      <rPr>
        <sz val="12"/>
        <rFont val="Times New Roman"/>
        <charset val="134"/>
      </rPr>
      <t>82</t>
    </r>
    <r>
      <rPr>
        <sz val="12"/>
        <rFont val="宋体"/>
        <charset val="134"/>
      </rPr>
      <t>代理代销业务，</t>
    </r>
    <r>
      <rPr>
        <sz val="12"/>
        <rFont val="Times New Roman"/>
        <charset val="134"/>
      </rPr>
      <t>83</t>
    </r>
    <r>
      <rPr>
        <sz val="12"/>
        <rFont val="宋体"/>
        <charset val="134"/>
      </rPr>
      <t>资产托管，</t>
    </r>
    <r>
      <rPr>
        <sz val="12"/>
        <rFont val="Times New Roman"/>
        <charset val="134"/>
      </rPr>
      <t>84</t>
    </r>
    <r>
      <rPr>
        <sz val="12"/>
        <rFont val="宋体"/>
        <charset val="134"/>
      </rPr>
      <t>其他金融资产服务业务，</t>
    </r>
    <r>
      <rPr>
        <sz val="12"/>
        <rFont val="Times New Roman"/>
        <charset val="134"/>
      </rPr>
      <t>85</t>
    </r>
    <r>
      <rPr>
        <sz val="12"/>
        <rFont val="宋体"/>
        <charset val="134"/>
      </rPr>
      <t>金融衍生品类。</t>
    </r>
  </si>
  <si>
    <t>003007</t>
  </si>
  <si>
    <r>
      <rPr>
        <sz val="12"/>
        <rFont val="宋体"/>
        <charset val="134"/>
      </rPr>
      <t>借贷标志</t>
    </r>
  </si>
  <si>
    <t>D.C. flag</t>
  </si>
  <si>
    <r>
      <rPr>
        <sz val="12"/>
        <rFont val="宋体"/>
        <charset val="134"/>
      </rPr>
      <t>借，贷，借贷并列。</t>
    </r>
  </si>
  <si>
    <t>C..12</t>
  </si>
  <si>
    <t>003008</t>
  </si>
  <si>
    <r>
      <rPr>
        <sz val="12"/>
        <rFont val="宋体"/>
        <charset val="134"/>
      </rPr>
      <t>金额</t>
    </r>
  </si>
  <si>
    <t>Amount</t>
  </si>
  <si>
    <r>
      <rPr>
        <sz val="12"/>
        <rFont val="宋体"/>
        <charset val="134"/>
      </rPr>
      <t>与币种相对应金额。</t>
    </r>
  </si>
  <si>
    <t>003009</t>
  </si>
  <si>
    <r>
      <rPr>
        <sz val="12"/>
        <rFont val="宋体"/>
        <charset val="134"/>
      </rPr>
      <t>余额</t>
    </r>
  </si>
  <si>
    <t>Balance</t>
  </si>
  <si>
    <r>
      <rPr>
        <sz val="12"/>
        <rFont val="宋体"/>
        <charset val="134"/>
      </rPr>
      <t>与币种相对应金额。</t>
    </r>
    <r>
      <rPr>
        <sz val="12"/>
        <rFont val="Times New Roman"/>
        <charset val="134"/>
      </rPr>
      <t>(</t>
    </r>
    <r>
      <rPr>
        <sz val="12"/>
        <rFont val="宋体"/>
        <charset val="134"/>
      </rPr>
      <t>以正数填列。如信贷分户账，某客户初次获得贷款</t>
    </r>
    <r>
      <rPr>
        <sz val="12"/>
        <rFont val="Times New Roman"/>
        <charset val="134"/>
      </rPr>
      <t>1</t>
    </r>
    <r>
      <rPr>
        <sz val="12"/>
        <rFont val="宋体"/>
        <charset val="134"/>
      </rPr>
      <t>万元，此时余额为</t>
    </r>
    <r>
      <rPr>
        <sz val="12"/>
        <rFont val="Times New Roman"/>
        <charset val="134"/>
      </rPr>
      <t>10000</t>
    </r>
    <r>
      <rPr>
        <sz val="12"/>
        <rFont val="宋体"/>
        <charset val="134"/>
      </rPr>
      <t>；如活期存款明细，某客户初次开户存入</t>
    </r>
    <r>
      <rPr>
        <sz val="12"/>
        <rFont val="Times New Roman"/>
        <charset val="134"/>
      </rPr>
      <t>10000</t>
    </r>
    <r>
      <rPr>
        <sz val="12"/>
        <rFont val="宋体"/>
        <charset val="134"/>
      </rPr>
      <t>元，此时余额为</t>
    </r>
    <r>
      <rPr>
        <sz val="12"/>
        <rFont val="Times New Roman"/>
        <charset val="134"/>
      </rPr>
      <t>10000</t>
    </r>
    <r>
      <rPr>
        <sz val="12"/>
        <rFont val="宋体"/>
        <charset val="134"/>
      </rPr>
      <t>）</t>
    </r>
  </si>
  <si>
    <t>003010</t>
  </si>
  <si>
    <r>
      <rPr>
        <sz val="12"/>
        <rFont val="宋体"/>
        <charset val="134"/>
      </rPr>
      <t>币种</t>
    </r>
  </si>
  <si>
    <t>Currency</t>
  </si>
  <si>
    <r>
      <rPr>
        <sz val="12"/>
        <rFont val="宋体"/>
        <charset val="134"/>
      </rPr>
      <t>遵循《</t>
    </r>
    <r>
      <rPr>
        <sz val="12"/>
        <rFont val="Times New Roman"/>
        <charset val="134"/>
      </rPr>
      <t xml:space="preserve">GB/T 12406 </t>
    </r>
    <r>
      <rPr>
        <sz val="12"/>
        <rFont val="宋体"/>
        <charset val="134"/>
      </rPr>
      <t>表示货币和资金的代码》的字母代码，如</t>
    </r>
    <r>
      <rPr>
        <sz val="12"/>
        <rFont val="Times New Roman"/>
        <charset val="134"/>
      </rPr>
      <t>CNY</t>
    </r>
    <r>
      <rPr>
        <sz val="12"/>
        <rFont val="宋体"/>
        <charset val="134"/>
      </rPr>
      <t>。上述文件所列币种无法涵盖的，允许银行自定义填报。多个币种合计折算为人民币（本外币合计）的，填报为</t>
    </r>
    <r>
      <rPr>
        <sz val="12"/>
        <rFont val="Times New Roman"/>
        <charset val="134"/>
      </rPr>
      <t>BWB</t>
    </r>
    <r>
      <rPr>
        <sz val="12"/>
        <rFont val="宋体"/>
        <charset val="134"/>
      </rPr>
      <t>。</t>
    </r>
  </si>
  <si>
    <t>003011</t>
  </si>
  <si>
    <r>
      <rPr>
        <sz val="12"/>
        <rFont val="宋体"/>
        <charset val="134"/>
      </rPr>
      <t>账户名称</t>
    </r>
  </si>
  <si>
    <t>Account name</t>
  </si>
  <si>
    <r>
      <rPr>
        <sz val="12"/>
        <rFont val="宋体"/>
        <charset val="134"/>
      </rPr>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t>
    </r>
    <r>
      <rPr>
        <sz val="12"/>
        <rFont val="Times New Roman"/>
        <charset val="134"/>
      </rPr>
      <t>“*********”</t>
    </r>
    <r>
      <rPr>
        <sz val="12"/>
        <rFont val="宋体"/>
        <charset val="134"/>
      </rPr>
      <t>。其他情况，则为非隐私，不做变形。</t>
    </r>
  </si>
  <si>
    <t>003012</t>
  </si>
  <si>
    <r>
      <rPr>
        <sz val="12"/>
        <rFont val="宋体"/>
        <charset val="134"/>
      </rPr>
      <t>个人存款账户类型</t>
    </r>
  </si>
  <si>
    <t>Type of individual  deposit account</t>
  </si>
  <si>
    <r>
      <rPr>
        <sz val="12"/>
        <rFont val="宋体"/>
        <charset val="134"/>
      </rPr>
      <t>个人活期存款，个人定期存款，定活两便存款，个人通知存款，个人协议存款，个人协定存款，个人保证金存款，个人结构性存款（不含保本理财），个人其他存款。</t>
    </r>
  </si>
  <si>
    <t>003013</t>
  </si>
  <si>
    <r>
      <rPr>
        <sz val="12"/>
        <rFont val="宋体"/>
        <charset val="134"/>
      </rPr>
      <t>账户状态</t>
    </r>
  </si>
  <si>
    <t>Account state</t>
  </si>
  <si>
    <r>
      <rPr>
        <sz val="12"/>
        <rFont val="宋体"/>
        <charset val="134"/>
      </rPr>
      <t>正常，预销户，销户，冻结，止付，其他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</si>
  <si>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003014</t>
  </si>
  <si>
    <r>
      <rPr>
        <sz val="12"/>
        <rFont val="宋体"/>
        <charset val="134"/>
      </rPr>
      <t>钞汇类别</t>
    </r>
  </si>
  <si>
    <t>Cash or remittance</t>
  </si>
  <si>
    <r>
      <rPr>
        <sz val="12"/>
        <rFont val="宋体"/>
        <charset val="134"/>
      </rPr>
      <t>人民币，钞，汇，可钞可汇等。其中，人民币账户填写</t>
    </r>
    <r>
      <rPr>
        <sz val="12"/>
        <rFont val="Times New Roman"/>
        <charset val="134"/>
      </rPr>
      <t>“</t>
    </r>
    <r>
      <rPr>
        <sz val="12"/>
        <rFont val="宋体"/>
        <charset val="134"/>
      </rPr>
      <t>人民币</t>
    </r>
    <r>
      <rPr>
        <sz val="12"/>
        <rFont val="Times New Roman"/>
        <charset val="134"/>
      </rPr>
      <t>”</t>
    </r>
    <r>
      <rPr>
        <sz val="12"/>
        <rFont val="宋体"/>
        <charset val="134"/>
      </rPr>
      <t>，外币账户填写枚举值范围为</t>
    </r>
    <r>
      <rPr>
        <sz val="12"/>
        <rFont val="Times New Roman"/>
        <charset val="134"/>
      </rPr>
      <t>“</t>
    </r>
    <r>
      <rPr>
        <sz val="12"/>
        <rFont val="宋体"/>
        <charset val="134"/>
      </rPr>
      <t>钞，汇，可钞可汇，其他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r>
      <rPr>
        <sz val="12"/>
        <rFont val="Times New Roman"/>
        <charset val="134"/>
      </rPr>
      <t>”</t>
    </r>
  </si>
  <si>
    <t>003015</t>
  </si>
  <si>
    <r>
      <rPr>
        <sz val="12"/>
        <rFont val="宋体"/>
        <charset val="134"/>
      </rPr>
      <t>对公存款账户类型</t>
    </r>
  </si>
  <si>
    <t>Type of corporation deposit</t>
  </si>
  <si>
    <r>
      <rPr>
        <sz val="12"/>
        <rFont val="宋体"/>
        <charset val="134"/>
      </rPr>
      <t>单位活期存款，单位定期存款，单位通知存款，单位协议存款，单位协定存款，单位保证金存款，单位结构性存款（不含保本理财），单位其他存款，同业存放款、保险公司存放款、社会保障基金，其他</t>
    </r>
    <r>
      <rPr>
        <sz val="12"/>
        <rFont val="Times New Roman"/>
        <charset val="134"/>
      </rPr>
      <t>-</t>
    </r>
    <r>
      <rPr>
        <sz val="12"/>
        <rFont val="宋体"/>
        <charset val="134"/>
      </rPr>
      <t>银行自定义。如无法以枚举类型填报，则以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</si>
  <si>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003016</t>
  </si>
  <si>
    <r>
      <rPr>
        <sz val="12"/>
        <rFont val="宋体"/>
        <charset val="134"/>
      </rPr>
      <t>利息</t>
    </r>
  </si>
  <si>
    <t>Interest</t>
  </si>
  <si>
    <r>
      <rPr>
        <sz val="12"/>
        <rFont val="宋体"/>
        <charset val="134"/>
      </rPr>
      <t>元。</t>
    </r>
  </si>
  <si>
    <t>003017</t>
  </si>
  <si>
    <r>
      <rPr>
        <sz val="12"/>
        <rFont val="宋体"/>
        <charset val="134"/>
      </rPr>
      <t>利率</t>
    </r>
  </si>
  <si>
    <t>Interest rate</t>
  </si>
  <si>
    <r>
      <rPr>
        <sz val="12"/>
        <rFont val="宋体"/>
        <charset val="134"/>
      </rPr>
      <t>百分比为单位，即</t>
    </r>
    <r>
      <rPr>
        <sz val="12"/>
        <rFont val="Times New Roman"/>
        <charset val="134"/>
      </rPr>
      <t>%</t>
    </r>
    <r>
      <rPr>
        <sz val="12"/>
        <rFont val="宋体"/>
        <charset val="134"/>
      </rPr>
      <t>，如</t>
    </r>
    <r>
      <rPr>
        <sz val="12"/>
        <rFont val="Times New Roman"/>
        <charset val="134"/>
      </rPr>
      <t>4.5%</t>
    </r>
    <r>
      <rPr>
        <sz val="12"/>
        <rFont val="宋体"/>
        <charset val="134"/>
      </rPr>
      <t>填报为</t>
    </r>
    <r>
      <rPr>
        <sz val="12"/>
        <rFont val="Times New Roman"/>
        <charset val="134"/>
      </rPr>
      <t>4.5</t>
    </r>
    <r>
      <rPr>
        <sz val="12"/>
        <rFont val="宋体"/>
        <charset val="134"/>
      </rPr>
      <t>。</t>
    </r>
  </si>
  <si>
    <t>003018</t>
  </si>
  <si>
    <r>
      <rPr>
        <sz val="12"/>
        <rFont val="宋体"/>
        <charset val="134"/>
      </rPr>
      <t>计息方式</t>
    </r>
  </si>
  <si>
    <t>Interest method</t>
  </si>
  <si>
    <r>
      <rPr>
        <sz val="12"/>
        <rFont val="宋体"/>
        <charset val="134"/>
      </rPr>
      <t>利息的计算方法，按月结息，按季结息，按半年结息，按年结息，不定期结息，不记利息，利随本清，其他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</si>
  <si>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003019</t>
  </si>
  <si>
    <r>
      <rPr>
        <sz val="12"/>
        <rFont val="宋体"/>
        <charset val="134"/>
      </rPr>
      <t>借据号</t>
    </r>
  </si>
  <si>
    <t>Duebill number</t>
  </si>
  <si>
    <r>
      <rPr>
        <sz val="12"/>
        <rFont val="宋体"/>
        <charset val="134"/>
      </rPr>
      <t>借据统一编号。</t>
    </r>
  </si>
  <si>
    <t>C..100</t>
  </si>
  <si>
    <t>003020</t>
  </si>
  <si>
    <r>
      <rPr>
        <sz val="12"/>
        <rFont val="宋体"/>
        <charset val="134"/>
      </rPr>
      <t>合同号</t>
    </r>
  </si>
  <si>
    <t>Contract number</t>
  </si>
  <si>
    <r>
      <rPr>
        <sz val="12"/>
        <rFont val="宋体"/>
        <charset val="134"/>
      </rPr>
      <t>合同号。</t>
    </r>
  </si>
  <si>
    <t>003021</t>
  </si>
  <si>
    <r>
      <rPr>
        <sz val="12"/>
        <rFont val="宋体"/>
        <charset val="134"/>
      </rPr>
      <t>业务编号</t>
    </r>
  </si>
  <si>
    <t>Business number</t>
  </si>
  <si>
    <r>
      <rPr>
        <sz val="12"/>
        <rFont val="宋体"/>
        <charset val="134"/>
      </rPr>
      <t>能唯一识别同一笔交易的标识，银行自定义。</t>
    </r>
  </si>
  <si>
    <t>003022</t>
  </si>
  <si>
    <r>
      <rPr>
        <sz val="12"/>
        <rFont val="宋体"/>
        <charset val="134"/>
      </rPr>
      <t>贷款五级分类</t>
    </r>
  </si>
  <si>
    <t>The five category assets classification for bank loans</t>
  </si>
  <si>
    <r>
      <rPr>
        <sz val="12"/>
        <rFont val="宋体"/>
        <charset val="134"/>
      </rPr>
      <t>正常，关注，次级，可疑，损失。</t>
    </r>
  </si>
  <si>
    <t>003023</t>
  </si>
  <si>
    <r>
      <rPr>
        <sz val="12"/>
        <rFont val="宋体"/>
        <charset val="134"/>
      </rPr>
      <t>会计周期</t>
    </r>
  </si>
  <si>
    <t>Accounting cycle</t>
  </si>
  <si>
    <r>
      <rPr>
        <sz val="12"/>
        <rFont val="宋体"/>
        <charset val="134"/>
      </rPr>
      <t>日报，月报，季报，半年报，年报，其他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</si>
  <si>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C..20</t>
  </si>
  <si>
    <t>003024</t>
  </si>
  <si>
    <r>
      <rPr>
        <sz val="12"/>
        <rFont val="宋体"/>
        <charset val="134"/>
      </rPr>
      <t>交易借贷标志</t>
    </r>
  </si>
  <si>
    <t>Debit record or Credit   record flag</t>
  </si>
  <si>
    <r>
      <rPr>
        <sz val="12"/>
        <rFont val="宋体"/>
        <charset val="134"/>
      </rPr>
      <t>借，贷。</t>
    </r>
  </si>
  <si>
    <t>003025</t>
  </si>
  <si>
    <r>
      <rPr>
        <sz val="12"/>
        <rFont val="宋体"/>
        <charset val="134"/>
      </rPr>
      <t>外部账号</t>
    </r>
  </si>
  <si>
    <t>Outer account number</t>
  </si>
  <si>
    <r>
      <rPr>
        <sz val="12"/>
        <rFont val="宋体"/>
        <charset val="134"/>
      </rPr>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r>
  </si>
  <si>
    <r>
      <rPr>
        <sz val="12"/>
        <rFont val="宋体"/>
        <charset val="134"/>
      </rPr>
      <t>交易流水信息</t>
    </r>
  </si>
  <si>
    <t>004001</t>
  </si>
  <si>
    <r>
      <rPr>
        <sz val="12"/>
        <rFont val="宋体"/>
        <charset val="134"/>
      </rPr>
      <t>交易序列号</t>
    </r>
  </si>
  <si>
    <t>Trading time stamp</t>
  </si>
  <si>
    <r>
      <rPr>
        <sz val="12"/>
        <rFont val="宋体"/>
        <charset val="134"/>
      </rPr>
      <t>唯一标识该笔交易的编号，银行自定义。可以是业务编号，也可以是交易系统中使用的时间戳，需能够体现交易次序，如：时间戳</t>
    </r>
    <r>
      <rPr>
        <sz val="12"/>
        <rFont val="Times New Roman"/>
        <charset val="134"/>
      </rPr>
      <t>(</t>
    </r>
    <r>
      <rPr>
        <sz val="12"/>
        <rFont val="宋体"/>
        <charset val="134"/>
      </rPr>
      <t>纳秒</t>
    </r>
    <r>
      <rPr>
        <sz val="12"/>
        <rFont val="Times New Roman"/>
        <charset val="134"/>
      </rPr>
      <t>)</t>
    </r>
    <r>
      <rPr>
        <sz val="12"/>
        <rFont val="宋体"/>
        <charset val="134"/>
      </rPr>
      <t>：</t>
    </r>
    <r>
      <rPr>
        <sz val="12"/>
        <rFont val="Times New Roman"/>
        <charset val="134"/>
      </rPr>
      <t>1530027865231834600</t>
    </r>
    <r>
      <rPr>
        <sz val="12"/>
        <rFont val="宋体"/>
        <charset val="134"/>
      </rPr>
      <t>。</t>
    </r>
  </si>
  <si>
    <t>004002</t>
  </si>
  <si>
    <r>
      <rPr>
        <sz val="12"/>
        <rFont val="宋体"/>
        <charset val="134"/>
      </rPr>
      <t>交易类型</t>
    </r>
  </si>
  <si>
    <t>Trading type</t>
  </si>
  <si>
    <r>
      <rPr>
        <sz val="12"/>
        <rFont val="宋体"/>
        <charset val="134"/>
      </rPr>
      <t>转账，取现，存现，消费，代发，代扣，代缴，结息，批量交易，贷款发放，贷款还本，贷款还息，银证业务，投资理财，其他</t>
    </r>
    <r>
      <rPr>
        <sz val="12"/>
        <rFont val="Times New Roman"/>
        <charset val="134"/>
      </rPr>
      <t>-</t>
    </r>
    <r>
      <rPr>
        <sz val="12"/>
        <rFont val="宋体"/>
        <charset val="134"/>
      </rPr>
      <t>银行自定义类型。无法以枚举类型填报的，以</t>
    </r>
    <r>
      <rPr>
        <sz val="12"/>
        <rFont val="Times New Roman"/>
        <charset val="134"/>
      </rPr>
      <t>“</t>
    </r>
    <r>
      <rPr>
        <sz val="12"/>
        <rFont val="宋体"/>
        <charset val="134"/>
      </rPr>
      <t>其他</t>
    </r>
    <r>
      <rPr>
        <sz val="12"/>
        <rFont val="Times New Roman"/>
        <charset val="134"/>
      </rPr>
      <t>-XX”</t>
    </r>
    <r>
      <rPr>
        <sz val="12"/>
        <rFont val="宋体"/>
        <charset val="134"/>
      </rPr>
      <t>报送，其中</t>
    </r>
    <r>
      <rPr>
        <sz val="12"/>
        <rFont val="Times New Roman"/>
        <charset val="134"/>
      </rPr>
      <t>“XX”</t>
    </r>
    <r>
      <rPr>
        <sz val="12"/>
        <rFont val="宋体"/>
        <charset val="134"/>
      </rPr>
      <t>为银行自定义类型。</t>
    </r>
  </si>
  <si>
    <t>004003</t>
  </si>
  <si>
    <r>
      <rPr>
        <sz val="12"/>
        <rFont val="宋体"/>
        <charset val="134"/>
      </rPr>
      <t>交易渠道</t>
    </r>
  </si>
  <si>
    <t>Trading channel</t>
  </si>
  <si>
    <r>
      <rPr>
        <sz val="12"/>
        <rFont val="宋体"/>
        <charset val="134"/>
      </rPr>
      <t>柜面，</t>
    </r>
    <r>
      <rPr>
        <sz val="12"/>
        <rFont val="Times New Roman"/>
        <charset val="134"/>
      </rPr>
      <t>ATM</t>
    </r>
    <r>
      <rPr>
        <sz val="12"/>
        <rFont val="宋体"/>
        <charset val="134"/>
      </rPr>
      <t>，</t>
    </r>
    <r>
      <rPr>
        <sz val="12"/>
        <rFont val="Times New Roman"/>
        <charset val="134"/>
      </rPr>
      <t>VTM</t>
    </r>
    <r>
      <rPr>
        <sz val="12"/>
        <rFont val="宋体"/>
        <charset val="134"/>
      </rPr>
      <t>，</t>
    </r>
    <r>
      <rPr>
        <sz val="12"/>
        <rFont val="Times New Roman"/>
        <charset val="134"/>
      </rPr>
      <t>POS</t>
    </r>
    <r>
      <rPr>
        <sz val="12"/>
        <rFont val="宋体"/>
        <charset val="134"/>
      </rPr>
      <t>，网银，手机银行，银联交易，第三方支付</t>
    </r>
    <r>
      <rPr>
        <sz val="12"/>
        <rFont val="Times New Roman"/>
        <charset val="134"/>
      </rPr>
      <t>-</t>
    </r>
    <r>
      <rPr>
        <sz val="12"/>
        <rFont val="宋体"/>
        <charset val="134"/>
      </rPr>
      <t>银行自定义，其他</t>
    </r>
    <r>
      <rPr>
        <sz val="12"/>
        <rFont val="Times New Roman"/>
        <charset val="134"/>
      </rPr>
      <t>-</t>
    </r>
    <r>
      <rPr>
        <sz val="12"/>
        <rFont val="宋体"/>
        <charset val="134"/>
      </rPr>
      <t>银行自定义。交易类型为第三方支付的，以</t>
    </r>
    <r>
      <rPr>
        <sz val="12"/>
        <rFont val="Times New Roman"/>
        <charset val="134"/>
      </rPr>
      <t>“</t>
    </r>
    <r>
      <rPr>
        <sz val="12"/>
        <rFont val="宋体"/>
        <charset val="134"/>
      </rPr>
      <t>第三方支付</t>
    </r>
    <r>
      <rPr>
        <sz val="12"/>
        <rFont val="Times New Roman"/>
        <charset val="134"/>
      </rPr>
      <t>-XX”</t>
    </r>
    <r>
      <rPr>
        <sz val="12"/>
        <rFont val="宋体"/>
        <charset val="134"/>
      </rPr>
      <t>填报，其中</t>
    </r>
    <r>
      <rPr>
        <sz val="12"/>
        <rFont val="Times New Roman"/>
        <charset val="134"/>
      </rPr>
      <t>“XX”</t>
    </r>
    <r>
      <rPr>
        <sz val="12"/>
        <rFont val="宋体"/>
        <charset val="134"/>
      </rPr>
      <t>为第三方支付平台名称。如无法以枚举类型填报，则以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</si>
  <si>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004004</t>
  </si>
  <si>
    <r>
      <rPr>
        <sz val="12"/>
        <rFont val="宋体"/>
        <charset val="134"/>
      </rPr>
      <t>现转标志</t>
    </r>
  </si>
  <si>
    <t>Cash or transfer</t>
  </si>
  <si>
    <r>
      <rPr>
        <sz val="12"/>
        <rFont val="宋体"/>
        <charset val="134"/>
      </rPr>
      <t>现，转。</t>
    </r>
  </si>
  <si>
    <t>004005</t>
  </si>
  <si>
    <r>
      <rPr>
        <sz val="12"/>
        <rFont val="宋体"/>
        <charset val="134"/>
      </rPr>
      <t>摘要</t>
    </r>
  </si>
  <si>
    <t>Memo</t>
  </si>
  <si>
    <r>
      <rPr>
        <sz val="12"/>
        <rFont val="宋体"/>
        <charset val="134"/>
      </rPr>
      <t>银行自定义交易内容的简要描述。</t>
    </r>
  </si>
  <si>
    <t>004006</t>
  </si>
  <si>
    <r>
      <rPr>
        <sz val="12"/>
        <rFont val="宋体"/>
        <charset val="134"/>
      </rPr>
      <t>附言</t>
    </r>
  </si>
  <si>
    <t>Postscript</t>
  </si>
  <si>
    <r>
      <rPr>
        <sz val="12"/>
        <rFont val="宋体"/>
        <charset val="134"/>
      </rPr>
      <t>客户在交易凭证上的真实备注、附言。</t>
    </r>
  </si>
  <si>
    <t>004007</t>
  </si>
  <si>
    <r>
      <rPr>
        <sz val="12"/>
        <rFont val="宋体"/>
        <charset val="134"/>
      </rPr>
      <t>冲补抹标志</t>
    </r>
  </si>
  <si>
    <r>
      <rPr>
        <sz val="12"/>
        <rFont val="Times New Roman"/>
        <charset val="134"/>
      </rPr>
      <t>Regular</t>
    </r>
    <r>
      <rPr>
        <sz val="12"/>
        <rFont val="宋体"/>
        <charset val="134"/>
      </rPr>
      <t>，</t>
    </r>
    <r>
      <rPr>
        <sz val="12"/>
        <rFont val="Times New Roman"/>
        <charset val="134"/>
      </rPr>
      <t xml:space="preserve"> strike</t>
    </r>
    <r>
      <rPr>
        <sz val="12"/>
        <rFont val="宋体"/>
        <charset val="134"/>
      </rPr>
      <t>，</t>
    </r>
    <r>
      <rPr>
        <sz val="12"/>
        <rFont val="Times New Roman"/>
        <charset val="134"/>
      </rPr>
      <t xml:space="preserve"> mend</t>
    </r>
  </si>
  <si>
    <r>
      <rPr>
        <sz val="12"/>
        <rFont val="宋体"/>
        <charset val="134"/>
      </rPr>
      <t>正常，冲补抹。</t>
    </r>
  </si>
  <si>
    <t>C..9</t>
  </si>
  <si>
    <t>004008</t>
  </si>
  <si>
    <r>
      <rPr>
        <sz val="12"/>
        <rFont val="宋体"/>
        <charset val="134"/>
      </rPr>
      <t>卡片交易类型</t>
    </r>
  </si>
  <si>
    <t>Card trading type</t>
  </si>
  <si>
    <r>
      <rPr>
        <sz val="12"/>
        <rFont val="宋体"/>
        <charset val="134"/>
      </rPr>
      <t>现金交易，还款交易，消费交易，转账交易，其他</t>
    </r>
    <r>
      <rPr>
        <sz val="12"/>
        <rFont val="Times New Roman"/>
        <charset val="134"/>
      </rPr>
      <t>-</t>
    </r>
    <r>
      <rPr>
        <sz val="12"/>
        <rFont val="宋体"/>
        <charset val="134"/>
      </rPr>
      <t>银行自定义。以枚举类型填报，如无法以枚举类型填报，则以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</si>
  <si>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004009</t>
  </si>
  <si>
    <r>
      <rPr>
        <sz val="12"/>
        <rFont val="宋体"/>
        <charset val="134"/>
      </rPr>
      <t>担保说明</t>
    </r>
  </si>
  <si>
    <t>Guarantee illustration</t>
  </si>
  <si>
    <r>
      <rPr>
        <sz val="12"/>
        <rFont val="宋体"/>
        <charset val="134"/>
      </rPr>
      <t>授信交易信息</t>
    </r>
  </si>
  <si>
    <t>005001</t>
  </si>
  <si>
    <r>
      <rPr>
        <sz val="12"/>
        <rFont val="宋体"/>
        <charset val="134"/>
      </rPr>
      <t>产品名称</t>
    </r>
  </si>
  <si>
    <t>Product name</t>
  </si>
  <si>
    <r>
      <rPr>
        <sz val="12"/>
        <rFont val="宋体"/>
        <charset val="134"/>
      </rPr>
      <t>银行内部产品中文名称，银行自定义。</t>
    </r>
  </si>
  <si>
    <t>005002</t>
  </si>
  <si>
    <r>
      <rPr>
        <sz val="12"/>
        <rFont val="宋体"/>
        <charset val="134"/>
      </rPr>
      <t>合同名称</t>
    </r>
  </si>
  <si>
    <t>Contract name</t>
  </si>
  <si>
    <r>
      <rPr>
        <sz val="12"/>
        <rFont val="宋体"/>
        <charset val="134"/>
      </rPr>
      <t>信贷合同的中文名称，银行自定义。</t>
    </r>
  </si>
  <si>
    <t>005003</t>
  </si>
  <si>
    <r>
      <rPr>
        <sz val="12"/>
        <rFont val="宋体"/>
        <charset val="134"/>
      </rPr>
      <t>信贷业务种类</t>
    </r>
  </si>
  <si>
    <t>Loan business type</t>
  </si>
  <si>
    <r>
      <rPr>
        <sz val="12"/>
        <rFont val="宋体"/>
        <charset val="134"/>
      </rPr>
      <t>流动资金贷款，法人账户透支，项目贷款，项目贷款（银团），一般固定资产贷款，住房按揭贷款，商用房贷款，汽车贷款，助学贷款，消费贷款，个人经营性贷款，票据贴现，买断式转贴现，贸易融资业务，融资租赁业务，垫款，委托贷款，其他</t>
    </r>
    <r>
      <rPr>
        <sz val="12"/>
        <rFont val="Times New Roman"/>
        <charset val="134"/>
      </rPr>
      <t>-</t>
    </r>
    <r>
      <rPr>
        <sz val="12"/>
        <rFont val="宋体"/>
        <charset val="134"/>
      </rPr>
      <t>银行自定义类型。以枚举类型填报，如无法以枚举类型填报，则以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</si>
  <si>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005004</t>
  </si>
  <si>
    <r>
      <rPr>
        <sz val="12"/>
        <rFont val="宋体"/>
        <charset val="134"/>
      </rPr>
      <t>利率浮动</t>
    </r>
  </si>
  <si>
    <t>Rate float</t>
  </si>
  <si>
    <r>
      <rPr>
        <sz val="12"/>
        <rFont val="宋体"/>
        <charset val="134"/>
      </rPr>
      <t>基准点为单位。浮动比例与上浮比例均折算点数填报。如上浮</t>
    </r>
    <r>
      <rPr>
        <sz val="12"/>
        <rFont val="Times New Roman"/>
        <charset val="134"/>
      </rPr>
      <t>1%</t>
    </r>
    <r>
      <rPr>
        <sz val="12"/>
        <rFont val="宋体"/>
        <charset val="134"/>
      </rPr>
      <t>是填</t>
    </r>
    <r>
      <rPr>
        <sz val="12"/>
        <rFont val="Times New Roman"/>
        <charset val="134"/>
      </rPr>
      <t>100.00</t>
    </r>
    <r>
      <rPr>
        <sz val="12"/>
        <rFont val="宋体"/>
        <charset val="134"/>
      </rPr>
      <t>，下浮</t>
    </r>
    <r>
      <rPr>
        <sz val="12"/>
        <rFont val="Times New Roman"/>
        <charset val="134"/>
      </rPr>
      <t>1%</t>
    </r>
    <r>
      <rPr>
        <sz val="12"/>
        <rFont val="宋体"/>
        <charset val="134"/>
      </rPr>
      <t>是填</t>
    </r>
    <r>
      <rPr>
        <sz val="12"/>
        <rFont val="Times New Roman"/>
        <charset val="134"/>
      </rPr>
      <t>-100.00</t>
    </r>
    <r>
      <rPr>
        <sz val="12"/>
        <rFont val="宋体"/>
        <charset val="134"/>
      </rPr>
      <t>，精确到小数点后</t>
    </r>
    <r>
      <rPr>
        <sz val="12"/>
        <rFont val="Times New Roman"/>
        <charset val="134"/>
      </rPr>
      <t>2</t>
    </r>
    <r>
      <rPr>
        <sz val="12"/>
        <rFont val="宋体"/>
        <charset val="134"/>
      </rPr>
      <t>位。如果利率类型是固定利率，则利率浮动填写</t>
    </r>
    <r>
      <rPr>
        <sz val="12"/>
        <rFont val="Times New Roman"/>
        <charset val="134"/>
      </rPr>
      <t>0.00</t>
    </r>
    <r>
      <rPr>
        <sz val="12"/>
        <rFont val="宋体"/>
        <charset val="134"/>
      </rPr>
      <t>。如利率类型是浮动利率，则与利率基准结合进行计算。</t>
    </r>
  </si>
  <si>
    <t>005005</t>
  </si>
  <si>
    <r>
      <rPr>
        <sz val="12"/>
        <rFont val="宋体"/>
        <charset val="134"/>
      </rPr>
      <t>放款方式</t>
    </r>
  </si>
  <si>
    <t>Distribute way</t>
  </si>
  <si>
    <r>
      <rPr>
        <sz val="12"/>
        <rFont val="宋体"/>
        <charset val="134"/>
      </rPr>
      <t>自主支付，受托支付，混合支付，其他</t>
    </r>
    <r>
      <rPr>
        <sz val="12"/>
        <rFont val="Times New Roman"/>
        <charset val="134"/>
      </rPr>
      <t>-</t>
    </r>
    <r>
      <rPr>
        <sz val="12"/>
        <rFont val="宋体"/>
        <charset val="134"/>
      </rPr>
      <t>银行自定义。以枚举类型填报，如无法以枚举类型填报，则以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为银行自定义方式。</t>
    </r>
  </si>
  <si>
    <t>005006</t>
  </si>
  <si>
    <r>
      <rPr>
        <sz val="12"/>
        <rFont val="宋体"/>
        <charset val="134"/>
      </rPr>
      <t>贷款用途</t>
    </r>
  </si>
  <si>
    <t>Loan purpose</t>
  </si>
  <si>
    <r>
      <rPr>
        <sz val="12"/>
        <rFont val="宋体"/>
        <charset val="134"/>
      </rPr>
      <t>贷款使用的具体内容。</t>
    </r>
  </si>
  <si>
    <t>005007</t>
  </si>
  <si>
    <r>
      <rPr>
        <sz val="12"/>
        <rFont val="宋体"/>
        <charset val="134"/>
      </rPr>
      <t>贷款投向行业</t>
    </r>
  </si>
  <si>
    <t>Invest industry</t>
  </si>
  <si>
    <r>
      <rPr>
        <sz val="12"/>
        <rFont val="宋体"/>
        <charset val="134"/>
      </rPr>
      <t>与</t>
    </r>
    <r>
      <rPr>
        <sz val="12"/>
        <rFont val="Times New Roman"/>
        <charset val="134"/>
      </rPr>
      <t>1104</t>
    </r>
    <r>
      <rPr>
        <sz val="12"/>
        <rFont val="宋体"/>
        <charset val="134"/>
      </rPr>
      <t>报表</t>
    </r>
    <r>
      <rPr>
        <sz val="12"/>
        <rFont val="Times New Roman"/>
        <charset val="134"/>
      </rPr>
      <t>G01_VII</t>
    </r>
    <r>
      <rPr>
        <sz val="12"/>
        <rFont val="宋体"/>
        <charset val="134"/>
      </rPr>
      <t>《贷款分行业情况表》口径一致，使用以下枚举值填报（序号</t>
    </r>
    <r>
      <rPr>
        <sz val="12"/>
        <rFont val="Times New Roman"/>
        <charset val="134"/>
      </rPr>
      <t>+</t>
    </r>
    <r>
      <rPr>
        <sz val="12"/>
        <rFont val="宋体"/>
        <charset val="134"/>
      </rPr>
      <t>名称）：</t>
    </r>
    <r>
      <rPr>
        <sz val="12"/>
        <rFont val="Times New Roman"/>
        <charset val="134"/>
      </rPr>
      <t>2.1</t>
    </r>
    <r>
      <rPr>
        <sz val="12"/>
        <rFont val="宋体"/>
        <charset val="134"/>
      </rPr>
      <t>农、林、牧、渔业；</t>
    </r>
    <r>
      <rPr>
        <sz val="12"/>
        <rFont val="Times New Roman"/>
        <charset val="134"/>
      </rPr>
      <t>2.2</t>
    </r>
    <r>
      <rPr>
        <sz val="12"/>
        <rFont val="宋体"/>
        <charset val="134"/>
      </rPr>
      <t>采矿业；</t>
    </r>
    <r>
      <rPr>
        <sz val="12"/>
        <rFont val="Times New Roman"/>
        <charset val="134"/>
      </rPr>
      <t>2.3</t>
    </r>
    <r>
      <rPr>
        <sz val="12"/>
        <rFont val="宋体"/>
        <charset val="134"/>
      </rPr>
      <t>制造业；</t>
    </r>
    <r>
      <rPr>
        <sz val="12"/>
        <rFont val="Times New Roman"/>
        <charset val="134"/>
      </rPr>
      <t>2.4</t>
    </r>
    <r>
      <rPr>
        <sz val="12"/>
        <rFont val="宋体"/>
        <charset val="134"/>
      </rPr>
      <t>电力、热力、燃气及水的生产和供应业；</t>
    </r>
    <r>
      <rPr>
        <sz val="12"/>
        <rFont val="Times New Roman"/>
        <charset val="134"/>
      </rPr>
      <t>2.5</t>
    </r>
    <r>
      <rPr>
        <sz val="12"/>
        <rFont val="宋体"/>
        <charset val="134"/>
      </rPr>
      <t>建筑业；</t>
    </r>
    <r>
      <rPr>
        <sz val="12"/>
        <rFont val="Times New Roman"/>
        <charset val="134"/>
      </rPr>
      <t>2.6</t>
    </r>
    <r>
      <rPr>
        <sz val="12"/>
        <rFont val="宋体"/>
        <charset val="134"/>
      </rPr>
      <t>批发和零售业；</t>
    </r>
    <r>
      <rPr>
        <sz val="12"/>
        <rFont val="Times New Roman"/>
        <charset val="134"/>
      </rPr>
      <t>2.7</t>
    </r>
    <r>
      <rPr>
        <sz val="12"/>
        <rFont val="宋体"/>
        <charset val="134"/>
      </rPr>
      <t>交通运输、仓储和邮政业；</t>
    </r>
    <r>
      <rPr>
        <sz val="12"/>
        <rFont val="Times New Roman"/>
        <charset val="134"/>
      </rPr>
      <t>2.8</t>
    </r>
    <r>
      <rPr>
        <sz val="12"/>
        <rFont val="宋体"/>
        <charset val="134"/>
      </rPr>
      <t>住宿和餐饮业；</t>
    </r>
    <r>
      <rPr>
        <sz val="12"/>
        <rFont val="Times New Roman"/>
        <charset val="134"/>
      </rPr>
      <t>2.9</t>
    </r>
    <r>
      <rPr>
        <sz val="12"/>
        <rFont val="宋体"/>
        <charset val="134"/>
      </rPr>
      <t>信息传输、软件和信息技术服务业；</t>
    </r>
    <r>
      <rPr>
        <sz val="12"/>
        <rFont val="Times New Roman"/>
        <charset val="134"/>
      </rPr>
      <t>2.10</t>
    </r>
    <r>
      <rPr>
        <sz val="12"/>
        <rFont val="宋体"/>
        <charset val="134"/>
      </rPr>
      <t>金融业；</t>
    </r>
    <r>
      <rPr>
        <sz val="12"/>
        <rFont val="Times New Roman"/>
        <charset val="134"/>
      </rPr>
      <t>2.11</t>
    </r>
    <r>
      <rPr>
        <sz val="12"/>
        <rFont val="宋体"/>
        <charset val="134"/>
      </rPr>
      <t>房地产业；</t>
    </r>
    <r>
      <rPr>
        <sz val="12"/>
        <rFont val="Times New Roman"/>
        <charset val="134"/>
      </rPr>
      <t>2.12</t>
    </r>
    <r>
      <rPr>
        <sz val="12"/>
        <rFont val="宋体"/>
        <charset val="134"/>
      </rPr>
      <t>租赁和商务服务业；</t>
    </r>
    <r>
      <rPr>
        <sz val="12"/>
        <rFont val="Times New Roman"/>
        <charset val="134"/>
      </rPr>
      <t>2.13</t>
    </r>
    <r>
      <rPr>
        <sz val="12"/>
        <rFont val="宋体"/>
        <charset val="134"/>
      </rPr>
      <t>科学研究和技术服务业；</t>
    </r>
    <r>
      <rPr>
        <sz val="12"/>
        <rFont val="Times New Roman"/>
        <charset val="134"/>
      </rPr>
      <t>2.14</t>
    </r>
    <r>
      <rPr>
        <sz val="12"/>
        <rFont val="宋体"/>
        <charset val="134"/>
      </rPr>
      <t>水利、环境和公共设施管理业；</t>
    </r>
    <r>
      <rPr>
        <sz val="12"/>
        <rFont val="Times New Roman"/>
        <charset val="134"/>
      </rPr>
      <t>2.15</t>
    </r>
    <r>
      <rPr>
        <sz val="12"/>
        <rFont val="宋体"/>
        <charset val="134"/>
      </rPr>
      <t>居民服务、修理和其他服务业；</t>
    </r>
    <r>
      <rPr>
        <sz val="12"/>
        <rFont val="Times New Roman"/>
        <charset val="134"/>
      </rPr>
      <t>2.16</t>
    </r>
    <r>
      <rPr>
        <sz val="12"/>
        <rFont val="宋体"/>
        <charset val="134"/>
      </rPr>
      <t>教育；</t>
    </r>
    <r>
      <rPr>
        <sz val="12"/>
        <rFont val="Times New Roman"/>
        <charset val="134"/>
      </rPr>
      <t>2.17</t>
    </r>
    <r>
      <rPr>
        <sz val="12"/>
        <rFont val="宋体"/>
        <charset val="134"/>
      </rPr>
      <t>卫生和社会工作；</t>
    </r>
    <r>
      <rPr>
        <sz val="12"/>
        <rFont val="Times New Roman"/>
        <charset val="134"/>
      </rPr>
      <t>2.18</t>
    </r>
    <r>
      <rPr>
        <sz val="12"/>
        <rFont val="宋体"/>
        <charset val="134"/>
      </rPr>
      <t>文化、体育和娱乐业；</t>
    </r>
    <r>
      <rPr>
        <sz val="12"/>
        <rFont val="Times New Roman"/>
        <charset val="134"/>
      </rPr>
      <t>2.19</t>
    </r>
    <r>
      <rPr>
        <sz val="12"/>
        <rFont val="宋体"/>
        <charset val="134"/>
      </rPr>
      <t>公共管理、社会保障和社会组织；</t>
    </r>
    <r>
      <rPr>
        <sz val="12"/>
        <rFont val="Times New Roman"/>
        <charset val="134"/>
      </rPr>
      <t>2.20</t>
    </r>
    <r>
      <rPr>
        <sz val="12"/>
        <rFont val="宋体"/>
        <charset val="134"/>
      </rPr>
      <t>国际组织；</t>
    </r>
    <r>
      <rPr>
        <sz val="12"/>
        <rFont val="Times New Roman"/>
        <charset val="134"/>
      </rPr>
      <t>2.21.1</t>
    </r>
    <r>
      <rPr>
        <sz val="12"/>
        <rFont val="宋体"/>
        <charset val="134"/>
      </rPr>
      <t>个人贷款</t>
    </r>
    <r>
      <rPr>
        <sz val="12"/>
        <rFont val="Times New Roman"/>
        <charset val="134"/>
      </rPr>
      <t>-</t>
    </r>
    <r>
      <rPr>
        <sz val="12"/>
        <rFont val="宋体"/>
        <charset val="134"/>
      </rPr>
      <t>信用卡；</t>
    </r>
    <r>
      <rPr>
        <sz val="12"/>
        <rFont val="Times New Roman"/>
        <charset val="134"/>
      </rPr>
      <t>2.21.2</t>
    </r>
    <r>
      <rPr>
        <sz val="12"/>
        <rFont val="宋体"/>
        <charset val="134"/>
      </rPr>
      <t>个人贷款</t>
    </r>
    <r>
      <rPr>
        <sz val="12"/>
        <rFont val="Times New Roman"/>
        <charset val="134"/>
      </rPr>
      <t>-</t>
    </r>
    <r>
      <rPr>
        <sz val="12"/>
        <rFont val="宋体"/>
        <charset val="134"/>
      </rPr>
      <t>汽车；</t>
    </r>
    <r>
      <rPr>
        <sz val="12"/>
        <rFont val="Times New Roman"/>
        <charset val="134"/>
      </rPr>
      <t>2.21.3</t>
    </r>
    <r>
      <rPr>
        <sz val="12"/>
        <rFont val="宋体"/>
        <charset val="134"/>
      </rPr>
      <t>个人贷款</t>
    </r>
    <r>
      <rPr>
        <sz val="12"/>
        <rFont val="Times New Roman"/>
        <charset val="134"/>
      </rPr>
      <t>-</t>
    </r>
    <r>
      <rPr>
        <sz val="12"/>
        <rFont val="宋体"/>
        <charset val="134"/>
      </rPr>
      <t>住房按揭贷款；</t>
    </r>
    <r>
      <rPr>
        <sz val="12"/>
        <rFont val="Times New Roman"/>
        <charset val="134"/>
      </rPr>
      <t>2.21.4</t>
    </r>
    <r>
      <rPr>
        <sz val="12"/>
        <rFont val="宋体"/>
        <charset val="134"/>
      </rPr>
      <t>个人贷款</t>
    </r>
    <r>
      <rPr>
        <sz val="12"/>
        <rFont val="Times New Roman"/>
        <charset val="134"/>
      </rPr>
      <t>-</t>
    </r>
    <r>
      <rPr>
        <sz val="12"/>
        <rFont val="宋体"/>
        <charset val="134"/>
      </rPr>
      <t>其他；</t>
    </r>
    <r>
      <rPr>
        <sz val="12"/>
        <rFont val="Times New Roman"/>
        <charset val="134"/>
      </rPr>
      <t>2.22</t>
    </r>
    <r>
      <rPr>
        <sz val="12"/>
        <rFont val="宋体"/>
        <charset val="134"/>
      </rPr>
      <t>买断式转贴现；</t>
    </r>
    <r>
      <rPr>
        <sz val="12"/>
        <rFont val="Times New Roman"/>
        <charset val="134"/>
      </rPr>
      <t>2.23</t>
    </r>
    <r>
      <rPr>
        <sz val="12"/>
        <rFont val="宋体"/>
        <charset val="134"/>
      </rPr>
      <t>买断其他票据类资产；</t>
    </r>
    <r>
      <rPr>
        <sz val="12"/>
        <rFont val="Times New Roman"/>
        <charset val="134"/>
      </rPr>
      <t>3.</t>
    </r>
    <r>
      <rPr>
        <sz val="12"/>
        <rFont val="宋体"/>
        <charset val="134"/>
      </rPr>
      <t>对境外贷款。</t>
    </r>
  </si>
  <si>
    <t>005008</t>
  </si>
  <si>
    <r>
      <rPr>
        <sz val="12"/>
        <rFont val="宋体"/>
        <charset val="134"/>
      </rPr>
      <t>项目名称</t>
    </r>
  </si>
  <si>
    <t>Project name</t>
  </si>
  <si>
    <r>
      <rPr>
        <sz val="12"/>
        <rFont val="宋体"/>
        <charset val="134"/>
      </rPr>
      <t>项目贷款对应的项目名称。</t>
    </r>
  </si>
  <si>
    <t>005009</t>
  </si>
  <si>
    <r>
      <rPr>
        <sz val="12"/>
        <rFont val="宋体"/>
        <charset val="134"/>
      </rPr>
      <t>项目类型</t>
    </r>
  </si>
  <si>
    <t>Project type</t>
  </si>
  <si>
    <r>
      <rPr>
        <sz val="12"/>
        <rFont val="宋体"/>
        <charset val="134"/>
      </rPr>
      <t>基础设施建设项目，房地产项目，技术改造项目，科技开发项目，并购贷款，其他</t>
    </r>
    <r>
      <rPr>
        <sz val="12"/>
        <rFont val="Times New Roman"/>
        <charset val="134"/>
      </rPr>
      <t>-</t>
    </r>
    <r>
      <rPr>
        <sz val="12"/>
        <rFont val="宋体"/>
        <charset val="134"/>
      </rPr>
      <t>银行自定义类型。如无法以枚举类型填报，则以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</si>
  <si>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005010</t>
  </si>
  <si>
    <r>
      <rPr>
        <sz val="12"/>
        <rFont val="宋体"/>
        <charset val="134"/>
      </rPr>
      <t>批文文号</t>
    </r>
  </si>
  <si>
    <t>Approval number</t>
  </si>
  <si>
    <t xml:space="preserve">C..60 </t>
  </si>
  <si>
    <t>005011</t>
  </si>
  <si>
    <r>
      <rPr>
        <sz val="12"/>
        <rFont val="宋体"/>
        <charset val="134"/>
      </rPr>
      <t>立项批文</t>
    </r>
  </si>
  <si>
    <t>Project approval</t>
  </si>
  <si>
    <r>
      <rPr>
        <sz val="12"/>
        <rFont val="宋体"/>
        <charset val="134"/>
      </rPr>
      <t>批文名称，可银行自定义。</t>
    </r>
  </si>
  <si>
    <t>005012</t>
  </si>
  <si>
    <r>
      <rPr>
        <sz val="12"/>
        <rFont val="宋体"/>
        <charset val="134"/>
      </rPr>
      <t>许可证编号</t>
    </r>
  </si>
  <si>
    <t>Permition number</t>
  </si>
  <si>
    <t>005013</t>
  </si>
  <si>
    <r>
      <rPr>
        <sz val="12"/>
        <rFont val="宋体"/>
        <charset val="134"/>
      </rPr>
      <t>许可证名称</t>
    </r>
  </si>
  <si>
    <t>Permition Name</t>
  </si>
  <si>
    <t>005014</t>
  </si>
  <si>
    <r>
      <rPr>
        <sz val="12"/>
        <rFont val="宋体"/>
        <charset val="134"/>
      </rPr>
      <t>票据号码</t>
    </r>
  </si>
  <si>
    <t>Bill number</t>
  </si>
  <si>
    <r>
      <rPr>
        <sz val="12"/>
        <rFont val="宋体"/>
        <charset val="134"/>
      </rPr>
      <t>票据号码。</t>
    </r>
  </si>
  <si>
    <t>005015</t>
  </si>
  <si>
    <r>
      <rPr>
        <sz val="12"/>
        <rFont val="宋体"/>
        <charset val="134"/>
      </rPr>
      <t>出票人编号</t>
    </r>
  </si>
  <si>
    <t>Drawer number</t>
  </si>
  <si>
    <r>
      <rPr>
        <sz val="12"/>
        <rFont val="宋体"/>
        <charset val="134"/>
      </rPr>
      <t>出票人客户统一编号。</t>
    </r>
  </si>
  <si>
    <t>005016</t>
  </si>
  <si>
    <r>
      <rPr>
        <sz val="12"/>
        <rFont val="宋体"/>
        <charset val="134"/>
      </rPr>
      <t>票据类型</t>
    </r>
  </si>
  <si>
    <t>Bill type</t>
  </si>
  <si>
    <r>
      <rPr>
        <sz val="12"/>
        <rFont val="宋体"/>
        <charset val="134"/>
      </rPr>
      <t>银行承兑汇票，商业承兑汇票。</t>
    </r>
  </si>
  <si>
    <t>005017</t>
  </si>
  <si>
    <r>
      <rPr>
        <sz val="12"/>
        <rFont val="宋体"/>
        <charset val="134"/>
      </rPr>
      <t>贸易融资品种</t>
    </r>
  </si>
  <si>
    <t>Trade financing (TF) type</t>
  </si>
  <si>
    <r>
      <rPr>
        <sz val="12"/>
        <rFont val="宋体"/>
        <charset val="134"/>
      </rPr>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t>
    </r>
    <r>
      <rPr>
        <sz val="12"/>
        <rFont val="Times New Roman"/>
        <charset val="134"/>
      </rPr>
      <t>-</t>
    </r>
    <r>
      <rPr>
        <sz val="12"/>
        <rFont val="宋体"/>
        <charset val="134"/>
      </rPr>
      <t>银行自定义。以枚举类型填报，如无法以枚举类型填报，则以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为银行自定义种类。</t>
    </r>
  </si>
  <si>
    <t>005018</t>
  </si>
  <si>
    <r>
      <rPr>
        <sz val="12"/>
        <rFont val="宋体"/>
        <charset val="134"/>
      </rPr>
      <t>单据编号</t>
    </r>
  </si>
  <si>
    <t>Invoice number</t>
  </si>
  <si>
    <r>
      <rPr>
        <sz val="12"/>
        <rFont val="宋体"/>
        <charset val="134"/>
      </rPr>
      <t>贸易背景真实性审查收集的单据编号，没有编号的单据由银行自定义一个唯一识别单据的编号。</t>
    </r>
  </si>
  <si>
    <t>005019</t>
  </si>
  <si>
    <r>
      <rPr>
        <sz val="12"/>
        <rFont val="宋体"/>
        <charset val="134"/>
      </rPr>
      <t>单据种类</t>
    </r>
  </si>
  <si>
    <t>Invoice type</t>
  </si>
  <si>
    <r>
      <rPr>
        <sz val="12"/>
        <rFont val="宋体"/>
        <charset val="134"/>
      </rPr>
      <t>银行自定义。例如：商业发票、增值税发票、提单、报关单、货物清单等。</t>
    </r>
  </si>
  <si>
    <t>005020</t>
  </si>
  <si>
    <r>
      <rPr>
        <sz val="12"/>
        <rFont val="宋体"/>
        <charset val="134"/>
      </rPr>
      <t>银团成员类型</t>
    </r>
  </si>
  <si>
    <t>Agent loan sign</t>
  </si>
  <si>
    <r>
      <rPr>
        <sz val="12"/>
        <rFont val="宋体"/>
        <charset val="134"/>
      </rPr>
      <t>牵头行，代理行，参加行，其他</t>
    </r>
    <r>
      <rPr>
        <sz val="12"/>
        <rFont val="Times New Roman"/>
        <charset val="134"/>
      </rPr>
      <t>-</t>
    </r>
    <r>
      <rPr>
        <sz val="12"/>
        <rFont val="宋体"/>
        <charset val="134"/>
      </rPr>
      <t>银行自定义。如无法以枚举类型填报，则以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</si>
  <si>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005021</t>
  </si>
  <si>
    <r>
      <rPr>
        <sz val="12"/>
        <rFont val="宋体"/>
        <charset val="134"/>
      </rPr>
      <t>展期次数</t>
    </r>
  </si>
  <si>
    <t>Times of loan extension</t>
  </si>
  <si>
    <r>
      <rPr>
        <sz val="12"/>
        <rFont val="宋体"/>
        <charset val="134"/>
      </rPr>
      <t>贷款展期次数，未展期为</t>
    </r>
    <r>
      <rPr>
        <sz val="12"/>
        <rFont val="Times New Roman"/>
        <charset val="134"/>
      </rPr>
      <t>0</t>
    </r>
    <r>
      <rPr>
        <sz val="12"/>
        <rFont val="宋体"/>
        <charset val="134"/>
      </rPr>
      <t>。</t>
    </r>
  </si>
  <si>
    <t>005022</t>
  </si>
  <si>
    <r>
      <rPr>
        <sz val="12"/>
        <rFont val="宋体"/>
        <charset val="134"/>
      </rPr>
      <t>期数</t>
    </r>
  </si>
  <si>
    <t>Number of terms</t>
  </si>
  <si>
    <r>
      <rPr>
        <sz val="12"/>
        <rFont val="宋体"/>
        <charset val="134"/>
      </rPr>
      <t>期数，默认值</t>
    </r>
    <r>
      <rPr>
        <sz val="12"/>
        <rFont val="Times New Roman"/>
        <charset val="134"/>
      </rPr>
      <t>0</t>
    </r>
    <r>
      <rPr>
        <sz val="12"/>
        <rFont val="宋体"/>
        <charset val="134"/>
      </rPr>
      <t>。</t>
    </r>
  </si>
  <si>
    <t>005023</t>
  </si>
  <si>
    <r>
      <rPr>
        <sz val="12"/>
        <rFont val="宋体"/>
        <charset val="134"/>
      </rPr>
      <t>贷款状态</t>
    </r>
  </si>
  <si>
    <t>Loan state</t>
  </si>
  <si>
    <r>
      <rPr>
        <sz val="12"/>
        <rFont val="宋体"/>
        <charset val="134"/>
      </rPr>
      <t>正常、结清、逾期、核销、转让，其他</t>
    </r>
    <r>
      <rPr>
        <sz val="12"/>
        <rFont val="Times New Roman"/>
        <charset val="134"/>
      </rPr>
      <t>-</t>
    </r>
    <r>
      <rPr>
        <sz val="12"/>
        <rFont val="宋体"/>
        <charset val="134"/>
      </rPr>
      <t>银行自定义。以枚举类型填报，如无法以枚举类型填报，则以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为银行自定义状态。</t>
    </r>
  </si>
  <si>
    <t>005024</t>
  </si>
  <si>
    <r>
      <rPr>
        <sz val="12"/>
        <rFont val="宋体"/>
        <charset val="134"/>
      </rPr>
      <t>还款方式</t>
    </r>
  </si>
  <si>
    <t>Repayment way</t>
  </si>
  <si>
    <r>
      <rPr>
        <sz val="12"/>
        <rFont val="宋体"/>
        <charset val="134"/>
      </rPr>
      <t>按月，按季，按半年，按年，利随本清，分期付息一次还本，其他</t>
    </r>
    <r>
      <rPr>
        <sz val="12"/>
        <rFont val="Times New Roman"/>
        <charset val="134"/>
      </rPr>
      <t>-</t>
    </r>
    <r>
      <rPr>
        <sz val="12"/>
        <rFont val="宋体"/>
        <charset val="134"/>
      </rPr>
      <t>银行自定义。若无法以枚举类型填写，则以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</si>
  <si>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005025</t>
  </si>
  <si>
    <r>
      <rPr>
        <sz val="12"/>
        <rFont val="宋体"/>
        <charset val="134"/>
      </rPr>
      <t>被担保业务类型</t>
    </r>
  </si>
  <si>
    <t>Guaranteed Contact type</t>
  </si>
  <si>
    <r>
      <rPr>
        <sz val="12"/>
        <rFont val="宋体"/>
        <charset val="134"/>
      </rPr>
      <t>表内信贷，承兑汇票，保函，信用证，贷款承诺，委托贷款，自营投资，其他</t>
    </r>
    <r>
      <rPr>
        <sz val="12"/>
        <rFont val="Times New Roman"/>
        <charset val="134"/>
      </rPr>
      <t>-</t>
    </r>
    <r>
      <rPr>
        <sz val="12"/>
        <rFont val="宋体"/>
        <charset val="134"/>
      </rPr>
      <t>银行自定义。若无法以枚举类型填写，则以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</si>
  <si>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005026</t>
  </si>
  <si>
    <r>
      <rPr>
        <sz val="12"/>
        <rFont val="宋体"/>
        <charset val="134"/>
      </rPr>
      <t>担保类型</t>
    </r>
  </si>
  <si>
    <t>Guarantee type</t>
  </si>
  <si>
    <r>
      <rPr>
        <sz val="12"/>
        <rFont val="宋体"/>
        <charset val="134"/>
      </rPr>
      <t>抵押，质押，保证，信用，混合，其他</t>
    </r>
    <r>
      <rPr>
        <sz val="12"/>
        <rFont val="Times New Roman"/>
        <charset val="134"/>
      </rPr>
      <t>-</t>
    </r>
    <r>
      <rPr>
        <sz val="12"/>
        <rFont val="宋体"/>
        <charset val="134"/>
      </rPr>
      <t>银行自定义。若无法以枚举类型填写，则以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</si>
  <si>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005027</t>
  </si>
  <si>
    <r>
      <rPr>
        <sz val="12"/>
        <rFont val="宋体"/>
        <charset val="134"/>
      </rPr>
      <t>担保合同类型</t>
    </r>
  </si>
  <si>
    <t>Guarantee contract type</t>
  </si>
  <si>
    <r>
      <rPr>
        <sz val="12"/>
        <rFont val="宋体"/>
        <charset val="134"/>
      </rPr>
      <t>一般担保合同，最高额担保合同。</t>
    </r>
  </si>
  <si>
    <t>005028</t>
  </si>
  <si>
    <r>
      <rPr>
        <sz val="12"/>
        <rFont val="宋体"/>
        <charset val="134"/>
      </rPr>
      <t>担保人类别</t>
    </r>
  </si>
  <si>
    <t>Guarantor type</t>
  </si>
  <si>
    <r>
      <rPr>
        <sz val="12"/>
        <rFont val="宋体"/>
        <charset val="134"/>
      </rPr>
      <t>对公，个人。</t>
    </r>
  </si>
  <si>
    <t>005029</t>
  </si>
  <si>
    <r>
      <rPr>
        <sz val="12"/>
        <rFont val="宋体"/>
        <charset val="134"/>
      </rPr>
      <t>担保合同状态</t>
    </r>
  </si>
  <si>
    <t>Guarantee contract state</t>
  </si>
  <si>
    <r>
      <rPr>
        <sz val="12"/>
        <rFont val="宋体"/>
        <charset val="134"/>
      </rPr>
      <t>有效，失效。</t>
    </r>
  </si>
  <si>
    <t>005030</t>
  </si>
  <si>
    <r>
      <rPr>
        <sz val="12"/>
        <rFont val="宋体"/>
        <charset val="134"/>
      </rPr>
      <t>抵质押物编号</t>
    </r>
  </si>
  <si>
    <t>Pledge or collateral number</t>
  </si>
  <si>
    <r>
      <rPr>
        <sz val="12"/>
        <rFont val="宋体"/>
        <charset val="134"/>
      </rPr>
      <t>能唯一识别该押品的编号，银行自定义。</t>
    </r>
  </si>
  <si>
    <t>005031</t>
  </si>
  <si>
    <r>
      <rPr>
        <sz val="12"/>
        <rFont val="宋体"/>
        <charset val="134"/>
      </rPr>
      <t>抵质押物名称</t>
    </r>
  </si>
  <si>
    <t>Pledge or collateral name</t>
  </si>
  <si>
    <r>
      <rPr>
        <sz val="12"/>
        <rFont val="宋体"/>
        <charset val="134"/>
      </rPr>
      <t>因信贷业务而成为抵质押物的名称，银行自定义。</t>
    </r>
  </si>
  <si>
    <t>005032</t>
  </si>
  <si>
    <r>
      <rPr>
        <sz val="12"/>
        <rFont val="宋体"/>
        <charset val="134"/>
      </rPr>
      <t>抵质押物类型</t>
    </r>
  </si>
  <si>
    <t>Pledge or collateral type</t>
  </si>
  <si>
    <r>
      <rPr>
        <sz val="12"/>
        <rFont val="宋体"/>
        <charset val="134"/>
      </rPr>
      <t>按照以下押品项目填报（序号</t>
    </r>
    <r>
      <rPr>
        <sz val="12"/>
        <rFont val="Times New Roman"/>
        <charset val="134"/>
      </rPr>
      <t>+</t>
    </r>
    <r>
      <rPr>
        <sz val="12"/>
        <rFont val="宋体"/>
        <charset val="134"/>
      </rPr>
      <t>名称）：</t>
    </r>
    <r>
      <rPr>
        <sz val="12"/>
        <rFont val="Times New Roman"/>
        <charset val="134"/>
      </rPr>
      <t>1.1</t>
    </r>
    <r>
      <rPr>
        <sz val="12"/>
        <rFont val="宋体"/>
        <charset val="134"/>
      </rPr>
      <t>现金及其等价物；</t>
    </r>
    <r>
      <rPr>
        <sz val="12"/>
        <rFont val="Times New Roman"/>
        <charset val="134"/>
      </rPr>
      <t>1.2</t>
    </r>
    <r>
      <rPr>
        <sz val="12"/>
        <rFont val="宋体"/>
        <charset val="134"/>
      </rPr>
      <t>贵金属；</t>
    </r>
    <r>
      <rPr>
        <sz val="12"/>
        <rFont val="Times New Roman"/>
        <charset val="134"/>
      </rPr>
      <t>1.3.1</t>
    </r>
    <r>
      <rPr>
        <sz val="12"/>
        <rFont val="宋体"/>
        <charset val="134"/>
      </rPr>
      <t>国债；</t>
    </r>
    <r>
      <rPr>
        <sz val="12"/>
        <rFont val="Times New Roman"/>
        <charset val="134"/>
      </rPr>
      <t>1.3.2</t>
    </r>
    <r>
      <rPr>
        <sz val="12"/>
        <rFont val="宋体"/>
        <charset val="134"/>
      </rPr>
      <t>地方政府债；</t>
    </r>
    <r>
      <rPr>
        <sz val="12"/>
        <rFont val="Times New Roman"/>
        <charset val="134"/>
      </rPr>
      <t>1.3.3</t>
    </r>
    <r>
      <rPr>
        <sz val="12"/>
        <rFont val="宋体"/>
        <charset val="134"/>
      </rPr>
      <t>央票；</t>
    </r>
    <r>
      <rPr>
        <sz val="12"/>
        <rFont val="Times New Roman"/>
        <charset val="134"/>
      </rPr>
      <t>1.3.4</t>
    </r>
    <r>
      <rPr>
        <sz val="12"/>
        <rFont val="宋体"/>
        <charset val="134"/>
      </rPr>
      <t>政府机构债券；</t>
    </r>
    <r>
      <rPr>
        <sz val="12"/>
        <rFont val="Times New Roman"/>
        <charset val="134"/>
      </rPr>
      <t>1.3.5</t>
    </r>
    <r>
      <rPr>
        <sz val="12"/>
        <rFont val="宋体"/>
        <charset val="134"/>
      </rPr>
      <t>政策性金融债；</t>
    </r>
    <r>
      <rPr>
        <sz val="12"/>
        <rFont val="Times New Roman"/>
        <charset val="134"/>
      </rPr>
      <t>1.3.6</t>
    </r>
    <r>
      <rPr>
        <sz val="12"/>
        <rFont val="宋体"/>
        <charset val="134"/>
      </rPr>
      <t>商业性金融债；</t>
    </r>
    <r>
      <rPr>
        <sz val="12"/>
        <rFont val="Times New Roman"/>
        <charset val="134"/>
      </rPr>
      <t>1.3.7</t>
    </r>
    <r>
      <rPr>
        <sz val="12"/>
        <rFont val="宋体"/>
        <charset val="134"/>
      </rPr>
      <t>非金融企业债；</t>
    </r>
    <r>
      <rPr>
        <sz val="12"/>
        <rFont val="Times New Roman"/>
        <charset val="134"/>
      </rPr>
      <t>1.4</t>
    </r>
    <r>
      <rPr>
        <sz val="12"/>
        <rFont val="宋体"/>
        <charset val="134"/>
      </rPr>
      <t>票据；</t>
    </r>
    <r>
      <rPr>
        <sz val="12"/>
        <rFont val="Times New Roman"/>
        <charset val="134"/>
      </rPr>
      <t>1.5</t>
    </r>
    <r>
      <rPr>
        <sz val="12"/>
        <rFont val="宋体"/>
        <charset val="134"/>
      </rPr>
      <t>股票（权）</t>
    </r>
    <r>
      <rPr>
        <sz val="12"/>
        <rFont val="Times New Roman"/>
        <charset val="134"/>
      </rPr>
      <t>/</t>
    </r>
    <r>
      <rPr>
        <sz val="12"/>
        <rFont val="宋体"/>
        <charset val="134"/>
      </rPr>
      <t>基金；</t>
    </r>
    <r>
      <rPr>
        <sz val="12"/>
        <rFont val="Times New Roman"/>
        <charset val="134"/>
      </rPr>
      <t>1.6</t>
    </r>
    <r>
      <rPr>
        <sz val="12"/>
        <rFont val="宋体"/>
        <charset val="134"/>
      </rPr>
      <t>保单；</t>
    </r>
    <r>
      <rPr>
        <sz val="12"/>
        <rFont val="Times New Roman"/>
        <charset val="134"/>
      </rPr>
      <t>1.7</t>
    </r>
    <r>
      <rPr>
        <sz val="12"/>
        <rFont val="宋体"/>
        <charset val="134"/>
      </rPr>
      <t>资产管理产品；</t>
    </r>
    <r>
      <rPr>
        <sz val="12"/>
        <rFont val="Times New Roman"/>
        <charset val="134"/>
      </rPr>
      <t>1.8</t>
    </r>
    <r>
      <rPr>
        <sz val="12"/>
        <rFont val="宋体"/>
        <charset val="134"/>
      </rPr>
      <t>其他金融质押品；</t>
    </r>
    <r>
      <rPr>
        <sz val="12"/>
        <rFont val="Times New Roman"/>
        <charset val="134"/>
      </rPr>
      <t>2.</t>
    </r>
    <r>
      <rPr>
        <sz val="12"/>
        <rFont val="宋体"/>
        <charset val="134"/>
      </rPr>
      <t>应收账款类；</t>
    </r>
    <r>
      <rPr>
        <sz val="12"/>
        <rFont val="Times New Roman"/>
        <charset val="134"/>
      </rPr>
      <t>3.1</t>
    </r>
    <r>
      <rPr>
        <sz val="12"/>
        <rFont val="宋体"/>
        <charset val="134"/>
      </rPr>
      <t>居住用房地产；</t>
    </r>
    <r>
      <rPr>
        <sz val="12"/>
        <rFont val="Times New Roman"/>
        <charset val="134"/>
      </rPr>
      <t>3.2</t>
    </r>
    <r>
      <rPr>
        <sz val="12"/>
        <rFont val="宋体"/>
        <charset val="134"/>
      </rPr>
      <t>经营性房地产；</t>
    </r>
    <r>
      <rPr>
        <sz val="12"/>
        <rFont val="Times New Roman"/>
        <charset val="134"/>
      </rPr>
      <t>3.3</t>
    </r>
    <r>
      <rPr>
        <sz val="12"/>
        <rFont val="宋体"/>
        <charset val="134"/>
      </rPr>
      <t>居住用房地产建设用地使用权；</t>
    </r>
    <r>
      <rPr>
        <sz val="12"/>
        <rFont val="Times New Roman"/>
        <charset val="134"/>
      </rPr>
      <t>3.4</t>
    </r>
    <r>
      <rPr>
        <sz val="12"/>
        <rFont val="宋体"/>
        <charset val="134"/>
      </rPr>
      <t>经营性房地产建设用地使用权；</t>
    </r>
    <r>
      <rPr>
        <sz val="12"/>
        <rFont val="Times New Roman"/>
        <charset val="134"/>
      </rPr>
      <t>3.5</t>
    </r>
    <r>
      <rPr>
        <sz val="12"/>
        <rFont val="宋体"/>
        <charset val="134"/>
      </rPr>
      <t>房产类在建工程；</t>
    </r>
    <r>
      <rPr>
        <sz val="12"/>
        <rFont val="Times New Roman"/>
        <charset val="134"/>
      </rPr>
      <t>3.6</t>
    </r>
    <r>
      <rPr>
        <sz val="12"/>
        <rFont val="宋体"/>
        <charset val="134"/>
      </rPr>
      <t>其他房地产类押品；</t>
    </r>
    <r>
      <rPr>
        <sz val="12"/>
        <rFont val="Times New Roman"/>
        <charset val="134"/>
      </rPr>
      <t>4.1</t>
    </r>
    <r>
      <rPr>
        <sz val="12"/>
        <rFont val="宋体"/>
        <charset val="134"/>
      </rPr>
      <t>存货、仓单和提单；</t>
    </r>
    <r>
      <rPr>
        <sz val="12"/>
        <rFont val="Times New Roman"/>
        <charset val="134"/>
      </rPr>
      <t>4.2</t>
    </r>
    <r>
      <rPr>
        <sz val="12"/>
        <rFont val="宋体"/>
        <charset val="134"/>
      </rPr>
      <t>机器设备；</t>
    </r>
    <r>
      <rPr>
        <sz val="12"/>
        <rFont val="Times New Roman"/>
        <charset val="134"/>
      </rPr>
      <t>4.3</t>
    </r>
    <r>
      <rPr>
        <sz val="12"/>
        <rFont val="宋体"/>
        <charset val="134"/>
      </rPr>
      <t>交通运输设备；</t>
    </r>
    <r>
      <rPr>
        <sz val="12"/>
        <rFont val="Times New Roman"/>
        <charset val="134"/>
      </rPr>
      <t>4.4</t>
    </r>
    <r>
      <rPr>
        <sz val="12"/>
        <rFont val="宋体"/>
        <charset val="134"/>
      </rPr>
      <t>资源资产；</t>
    </r>
    <r>
      <rPr>
        <sz val="12"/>
        <rFont val="Times New Roman"/>
        <charset val="134"/>
      </rPr>
      <t>4.5</t>
    </r>
    <r>
      <rPr>
        <sz val="12"/>
        <rFont val="宋体"/>
        <charset val="134"/>
      </rPr>
      <t>知识产权；</t>
    </r>
    <r>
      <rPr>
        <sz val="12"/>
        <rFont val="Times New Roman"/>
        <charset val="134"/>
      </rPr>
      <t>4.6</t>
    </r>
    <r>
      <rPr>
        <sz val="12"/>
        <rFont val="宋体"/>
        <charset val="134"/>
      </rPr>
      <t>其他</t>
    </r>
    <r>
      <rPr>
        <sz val="12"/>
        <rFont val="Times New Roman"/>
        <charset val="134"/>
      </rPr>
      <t>-</t>
    </r>
    <r>
      <rPr>
        <sz val="12"/>
        <rFont val="宋体"/>
        <charset val="134"/>
      </rPr>
      <t>银行自定义。无法以枚举类型填写的，填报为</t>
    </r>
    <r>
      <rPr>
        <sz val="12"/>
        <rFont val="Times New Roman"/>
        <charset val="134"/>
      </rPr>
      <t>“4.6</t>
    </r>
    <r>
      <rPr>
        <sz val="12"/>
        <rFont val="宋体"/>
        <charset val="134"/>
      </rPr>
      <t>其他</t>
    </r>
    <r>
      <rPr>
        <sz val="12"/>
        <rFont val="Times New Roman"/>
        <charset val="134"/>
      </rPr>
      <t>-XX”</t>
    </r>
    <r>
      <rPr>
        <sz val="12"/>
        <rFont val="宋体"/>
        <charset val="134"/>
      </rPr>
      <t>，其中</t>
    </r>
    <r>
      <rPr>
        <sz val="12"/>
        <rFont val="Times New Roman"/>
        <charset val="134"/>
      </rPr>
      <t>“XX”</t>
    </r>
    <r>
      <rPr>
        <sz val="12"/>
        <rFont val="宋体"/>
        <charset val="134"/>
      </rPr>
      <t>为银行自定义类型。</t>
    </r>
  </si>
  <si>
    <t>005033</t>
  </si>
  <si>
    <r>
      <rPr>
        <sz val="12"/>
        <rFont val="宋体"/>
        <charset val="134"/>
      </rPr>
      <t>质押票证号码</t>
    </r>
  </si>
  <si>
    <t>Impawn bill number</t>
  </si>
  <si>
    <r>
      <rPr>
        <sz val="12"/>
        <rFont val="宋体"/>
        <charset val="134"/>
      </rPr>
      <t>当抵质押物类型为票据、存单等有编号的押品需要填写。</t>
    </r>
  </si>
  <si>
    <t>005034</t>
  </si>
  <si>
    <r>
      <rPr>
        <sz val="12"/>
        <rFont val="宋体"/>
        <charset val="134"/>
      </rPr>
      <t>权证登记号码</t>
    </r>
  </si>
  <si>
    <t>Prop certification register number</t>
  </si>
  <si>
    <r>
      <rPr>
        <sz val="12"/>
        <rFont val="宋体"/>
        <charset val="134"/>
      </rPr>
      <t>当抵质押物类型为商业房地产和居住用房地产时，填写不动产登记部门给银行的抵押登记证明编号。对于抵质押物类型不为房地产或无抵押登记证明编号的业务，可以填写所有权证编号、合同编号或他项权证编号。</t>
    </r>
  </si>
  <si>
    <t>005035</t>
  </si>
  <si>
    <r>
      <rPr>
        <sz val="12"/>
        <rFont val="宋体"/>
        <charset val="134"/>
      </rPr>
      <t>权证登记面积</t>
    </r>
  </si>
  <si>
    <t>Prop certification register acreage</t>
  </si>
  <si>
    <r>
      <rPr>
        <sz val="12"/>
        <rFont val="宋体"/>
        <charset val="134"/>
      </rPr>
      <t>当抵质押物类型为商业房地产和居住用房地产时，相关权证上登记的房产面积。单位：㎡，如</t>
    </r>
    <r>
      <rPr>
        <sz val="12"/>
        <rFont val="Times New Roman"/>
        <charset val="134"/>
      </rPr>
      <t>1000</t>
    </r>
    <r>
      <rPr>
        <sz val="12"/>
        <rFont val="宋体"/>
        <charset val="134"/>
      </rPr>
      <t>平方米填报为</t>
    </r>
    <r>
      <rPr>
        <sz val="12"/>
        <rFont val="Times New Roman"/>
        <charset val="134"/>
      </rPr>
      <t>1000.</t>
    </r>
  </si>
  <si>
    <t>005036</t>
  </si>
  <si>
    <r>
      <rPr>
        <sz val="12"/>
        <rFont val="宋体"/>
        <charset val="134"/>
      </rPr>
      <t>委托贷款类型</t>
    </r>
  </si>
  <si>
    <t>Type of entrust loan</t>
  </si>
  <si>
    <r>
      <rPr>
        <sz val="12"/>
        <rFont val="宋体"/>
        <charset val="134"/>
      </rPr>
      <t>现金管理项下委托贷款，非现金管理项下委托贷款，公积金贷款。</t>
    </r>
  </si>
  <si>
    <t>005037</t>
  </si>
  <si>
    <r>
      <rPr>
        <sz val="12"/>
        <rFont val="宋体"/>
        <charset val="134"/>
      </rPr>
      <t>担保类业务种类</t>
    </r>
  </si>
  <si>
    <t>LG/LC  type</t>
  </si>
  <si>
    <r>
      <rPr>
        <sz val="12"/>
        <rFont val="宋体"/>
        <charset val="134"/>
      </rPr>
      <t>融资性保函，非融资性保函，国内信用证、国际信用证，备用信用证，销售协议，购买协议，提货担保，其他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为银行自定义的担保类业务种类。</t>
    </r>
  </si>
  <si>
    <t>005038</t>
  </si>
  <si>
    <r>
      <rPr>
        <sz val="12"/>
        <rFont val="宋体"/>
        <charset val="134"/>
      </rPr>
      <t>抵质押物状态</t>
    </r>
  </si>
  <si>
    <t>Pledge or collateral state</t>
  </si>
  <si>
    <r>
      <rPr>
        <sz val="12"/>
        <rFont val="宋体"/>
        <charset val="134"/>
      </rPr>
      <t>正常，冻结，查封，扣押，其他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为银行自定义抵质押物状态。</t>
    </r>
  </si>
  <si>
    <t>005039</t>
  </si>
  <si>
    <r>
      <rPr>
        <sz val="12"/>
        <rFont val="宋体"/>
        <charset val="134"/>
      </rPr>
      <t>处置权顺位</t>
    </r>
  </si>
  <si>
    <t>Collateral ranking</t>
  </si>
  <si>
    <r>
      <rPr>
        <sz val="12"/>
        <rFont val="宋体"/>
        <charset val="134"/>
      </rPr>
      <t>第一顺位，第二顺位，第三顺位</t>
    </r>
    <r>
      <rPr>
        <sz val="12"/>
        <rFont val="Times New Roman"/>
        <charset val="134"/>
      </rPr>
      <t>...</t>
    </r>
    <r>
      <rPr>
        <sz val="12"/>
        <rFont val="宋体"/>
        <charset val="134"/>
      </rPr>
      <t>以此类推。</t>
    </r>
  </si>
  <si>
    <t>005040</t>
  </si>
  <si>
    <r>
      <rPr>
        <sz val="12"/>
        <rFont val="宋体"/>
        <charset val="134"/>
      </rPr>
      <t>贷款发放类型</t>
    </r>
  </si>
  <si>
    <t>Loan form</t>
  </si>
  <si>
    <r>
      <rPr>
        <sz val="12"/>
        <rFont val="宋体"/>
        <charset val="134"/>
      </rPr>
      <t>新增，无还本续贷，借新还旧，重组贷款，其他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</si>
  <si>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005041</t>
  </si>
  <si>
    <r>
      <rPr>
        <sz val="12"/>
        <rFont val="宋体"/>
        <charset val="134"/>
      </rPr>
      <t>收回标志</t>
    </r>
  </si>
  <si>
    <t>Retrieve flag</t>
  </si>
  <si>
    <r>
      <rPr>
        <sz val="12"/>
        <rFont val="宋体"/>
        <charset val="134"/>
      </rPr>
      <t>未收回，部分收回，完全收回。</t>
    </r>
  </si>
  <si>
    <t>005042</t>
  </si>
  <si>
    <r>
      <rPr>
        <sz val="12"/>
        <rFont val="宋体"/>
        <charset val="134"/>
      </rPr>
      <t>合同状态</t>
    </r>
  </si>
  <si>
    <t>Contract state</t>
  </si>
  <si>
    <r>
      <rPr>
        <sz val="12"/>
        <rFont val="宋体"/>
        <charset val="134"/>
      </rPr>
      <t>未生效，有效，撤销，终结，其他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为银行自定义状态。</t>
    </r>
  </si>
  <si>
    <t>005043</t>
  </si>
  <si>
    <r>
      <rPr>
        <sz val="12"/>
        <rFont val="宋体"/>
        <charset val="134"/>
      </rPr>
      <t>票据状态</t>
    </r>
  </si>
  <si>
    <t>Bill state</t>
  </si>
  <si>
    <r>
      <rPr>
        <sz val="12"/>
        <rFont val="宋体"/>
        <charset val="134"/>
      </rPr>
      <t>正常，卖断，解付，垫款，核销，其他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为银行自定义状态。</t>
    </r>
  </si>
  <si>
    <t>005044</t>
  </si>
  <si>
    <r>
      <rPr>
        <sz val="12"/>
        <rFont val="宋体"/>
        <charset val="134"/>
      </rPr>
      <t>转贴现类别</t>
    </r>
  </si>
  <si>
    <t>Rediscount type</t>
  </si>
  <si>
    <r>
      <rPr>
        <sz val="12"/>
        <rFont val="宋体"/>
        <charset val="134"/>
      </rPr>
      <t>转贴现买断，转贴现卖断，质押式回购正回购，质押式回购逆回购，买断式回购正回购，买断式回购逆回购，再贴现。</t>
    </r>
  </si>
  <si>
    <t>005045</t>
  </si>
  <si>
    <r>
      <rPr>
        <sz val="12"/>
        <rFont val="宋体"/>
        <charset val="134"/>
      </rPr>
      <t>保函或信用证状态</t>
    </r>
  </si>
  <si>
    <t>LG/LC state</t>
  </si>
  <si>
    <r>
      <rPr>
        <sz val="12"/>
        <rFont val="宋体"/>
        <charset val="134"/>
      </rPr>
      <t>未生效，正常，失效，垫款，撤销，终结，其他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为银行自定义状态。</t>
    </r>
  </si>
  <si>
    <t>005046</t>
  </si>
  <si>
    <r>
      <rPr>
        <sz val="12"/>
        <rFont val="宋体"/>
        <charset val="134"/>
      </rPr>
      <t>融资租赁类型</t>
    </r>
  </si>
  <si>
    <t>Lease type</t>
  </si>
  <si>
    <r>
      <rPr>
        <sz val="12"/>
        <rFont val="宋体"/>
        <charset val="134"/>
      </rPr>
      <t>经营性租赁，融资性租赁。</t>
    </r>
  </si>
  <si>
    <t>005047</t>
  </si>
  <si>
    <r>
      <rPr>
        <sz val="12"/>
        <rFont val="宋体"/>
        <charset val="134"/>
      </rPr>
      <t>贸易业务种类</t>
    </r>
  </si>
  <si>
    <t>Trade bill type</t>
  </si>
  <si>
    <r>
      <rPr>
        <sz val="12"/>
        <rFont val="宋体"/>
        <charset val="134"/>
      </rPr>
      <t>承兑汇票，保函，信用证，其他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为银行自定义业务种类。</t>
    </r>
  </si>
  <si>
    <t>005048</t>
  </si>
  <si>
    <r>
      <rPr>
        <sz val="12"/>
        <rFont val="宋体"/>
        <charset val="134"/>
      </rPr>
      <t>核销状态</t>
    </r>
  </si>
  <si>
    <t>Loan wite off state</t>
  </si>
  <si>
    <r>
      <rPr>
        <sz val="12"/>
        <rFont val="宋体"/>
        <charset val="134"/>
      </rPr>
      <t>账销案存，完全终结。</t>
    </r>
  </si>
  <si>
    <t>C12</t>
  </si>
  <si>
    <t>005049</t>
  </si>
  <si>
    <r>
      <rPr>
        <sz val="12"/>
        <rFont val="宋体"/>
        <charset val="134"/>
      </rPr>
      <t>贸易内容</t>
    </r>
  </si>
  <si>
    <t>Trade content</t>
  </si>
  <si>
    <r>
      <rPr>
        <sz val="12"/>
        <rFont val="宋体"/>
        <charset val="134"/>
      </rPr>
      <t>贸易交易内容、货品或服务的简述信息，银行自定义，应填写中文。</t>
    </r>
  </si>
  <si>
    <r>
      <rPr>
        <sz val="12"/>
        <rFont val="宋体"/>
        <charset val="134"/>
      </rPr>
      <t>卡片信息</t>
    </r>
  </si>
  <si>
    <t>006001</t>
  </si>
  <si>
    <r>
      <rPr>
        <sz val="12"/>
        <rFont val="宋体"/>
        <charset val="134"/>
      </rPr>
      <t>卡号</t>
    </r>
  </si>
  <si>
    <t xml:space="preserve">Card number </t>
  </si>
  <si>
    <r>
      <rPr>
        <sz val="12"/>
        <rFont val="宋体"/>
        <charset val="134"/>
      </rPr>
      <t>卡号，可以是借记卡号，贷记卡号等。</t>
    </r>
  </si>
  <si>
    <t>006002</t>
  </si>
  <si>
    <r>
      <rPr>
        <sz val="12"/>
        <rFont val="宋体"/>
        <charset val="134"/>
      </rPr>
      <t>借记卡产品名称</t>
    </r>
  </si>
  <si>
    <t>Debit card name</t>
  </si>
  <si>
    <r>
      <rPr>
        <sz val="12"/>
        <rFont val="宋体"/>
        <charset val="134"/>
      </rPr>
      <t>借记卡产品名称，中文字典或中文描述，银行自定义。</t>
    </r>
  </si>
  <si>
    <t>006003</t>
  </si>
  <si>
    <r>
      <rPr>
        <sz val="12"/>
        <rFont val="宋体"/>
        <charset val="134"/>
      </rPr>
      <t>卡片状态</t>
    </r>
  </si>
  <si>
    <t>Card state</t>
  </si>
  <si>
    <r>
      <rPr>
        <sz val="12"/>
        <rFont val="宋体"/>
        <charset val="134"/>
      </rPr>
      <t>未激活，正常，注销，冻结，睡眠，挂失，其他</t>
    </r>
    <r>
      <rPr>
        <sz val="12"/>
        <rFont val="Times New Roman"/>
        <charset val="134"/>
      </rPr>
      <t>-</t>
    </r>
    <r>
      <rPr>
        <sz val="12"/>
        <rFont val="宋体"/>
        <charset val="134"/>
      </rPr>
      <t>银行自定义。以枚举类型填报，如果无法以枚举类型填报的，以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为银行自定义的卡片状态。</t>
    </r>
  </si>
  <si>
    <t>006004</t>
  </si>
  <si>
    <r>
      <rPr>
        <sz val="12"/>
        <rFont val="宋体"/>
        <charset val="134"/>
      </rPr>
      <t>存折类型</t>
    </r>
  </si>
  <si>
    <t>Passbook type</t>
  </si>
  <si>
    <r>
      <rPr>
        <sz val="12"/>
        <rFont val="宋体"/>
        <charset val="134"/>
      </rPr>
      <t>普通存折，存单，一本通，大额定期存单，其他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为银行自定义的类型。</t>
    </r>
  </si>
  <si>
    <t>006005</t>
  </si>
  <si>
    <r>
      <rPr>
        <sz val="12"/>
        <rFont val="宋体"/>
        <charset val="134"/>
      </rPr>
      <t>存折状态</t>
    </r>
  </si>
  <si>
    <t>Passbook state</t>
  </si>
  <si>
    <r>
      <rPr>
        <sz val="12"/>
        <rFont val="宋体"/>
        <charset val="134"/>
      </rPr>
      <t>未激活，正常，注销，冻结，睡眠，挂失，其他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为银行自定义状态。</t>
    </r>
  </si>
  <si>
    <t>006006</t>
  </si>
  <si>
    <r>
      <rPr>
        <sz val="12"/>
        <rFont val="宋体"/>
        <charset val="134"/>
      </rPr>
      <t>卡片名称</t>
    </r>
  </si>
  <si>
    <t>Card name</t>
  </si>
  <si>
    <r>
      <rPr>
        <sz val="12"/>
        <rFont val="宋体"/>
        <charset val="134"/>
      </rPr>
      <t>信用卡片种类名称。</t>
    </r>
  </si>
  <si>
    <t>006007</t>
  </si>
  <si>
    <r>
      <rPr>
        <sz val="12"/>
        <rFont val="宋体"/>
        <charset val="134"/>
      </rPr>
      <t>卡片种类</t>
    </r>
  </si>
  <si>
    <t>Card type</t>
  </si>
  <si>
    <r>
      <rPr>
        <sz val="12"/>
        <rFont val="宋体"/>
        <charset val="134"/>
      </rPr>
      <t>个人卡，单位卡。</t>
    </r>
  </si>
  <si>
    <t>C9</t>
  </si>
  <si>
    <t>006008</t>
  </si>
  <si>
    <r>
      <rPr>
        <sz val="12"/>
        <rFont val="宋体"/>
        <charset val="134"/>
      </rPr>
      <t>卡片级别</t>
    </r>
  </si>
  <si>
    <t>Card level</t>
  </si>
  <si>
    <t>006009</t>
  </si>
  <si>
    <r>
      <rPr>
        <sz val="12"/>
        <rFont val="宋体"/>
        <charset val="134"/>
      </rPr>
      <t>发卡渠道</t>
    </r>
  </si>
  <si>
    <t>Card issuing</t>
  </si>
  <si>
    <r>
      <rPr>
        <sz val="12"/>
        <rFont val="宋体"/>
        <charset val="134"/>
      </rPr>
      <t>银行网点、银行卡中心直销、银行官方网站（含网银渠道）、手机终端（银行</t>
    </r>
    <r>
      <rPr>
        <sz val="12"/>
        <rFont val="Times New Roman"/>
        <charset val="134"/>
      </rPr>
      <t>APP</t>
    </r>
    <r>
      <rPr>
        <sz val="12"/>
        <rFont val="宋体"/>
        <charset val="134"/>
      </rPr>
      <t>）、合作发卡、第三方机构引流、其他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</si>
  <si>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006010</t>
  </si>
  <si>
    <r>
      <rPr>
        <sz val="12"/>
        <rFont val="宋体"/>
        <charset val="134"/>
      </rPr>
      <t>商户编号</t>
    </r>
  </si>
  <si>
    <t>Merchant ID</t>
  </si>
  <si>
    <r>
      <rPr>
        <sz val="12"/>
        <rFont val="宋体"/>
        <charset val="134"/>
      </rPr>
      <t>唯一识别商户的编码。可以是商业银行自有商户编号，也可以是第三方支付机构收单交易显示的商户编号。</t>
    </r>
  </si>
  <si>
    <t>C..200</t>
  </si>
  <si>
    <t>006011</t>
  </si>
  <si>
    <r>
      <rPr>
        <sz val="12"/>
        <rFont val="宋体"/>
        <charset val="134"/>
      </rPr>
      <t>商户名称</t>
    </r>
  </si>
  <si>
    <t>Merchant Name</t>
  </si>
  <si>
    <r>
      <rPr>
        <sz val="12"/>
        <rFont val="宋体"/>
        <charset val="134"/>
      </rPr>
      <t>商户注册登记的名称。</t>
    </r>
  </si>
  <si>
    <t>006012</t>
  </si>
  <si>
    <r>
      <rPr>
        <sz val="12"/>
        <rFont val="宋体"/>
        <charset val="134"/>
      </rPr>
      <t>商户</t>
    </r>
    <r>
      <rPr>
        <sz val="12"/>
        <rFont val="Times New Roman"/>
        <charset val="134"/>
      </rPr>
      <t>MCC</t>
    </r>
    <r>
      <rPr>
        <sz val="12"/>
        <rFont val="宋体"/>
        <charset val="134"/>
      </rPr>
      <t>码</t>
    </r>
  </si>
  <si>
    <t>MCC Code</t>
  </si>
  <si>
    <r>
      <rPr>
        <sz val="12"/>
        <rFont val="宋体"/>
        <charset val="134"/>
      </rPr>
      <t>商户类别码。由四位数字代码组成。</t>
    </r>
  </si>
  <si>
    <t>C4</t>
  </si>
  <si>
    <t>006013</t>
  </si>
  <si>
    <r>
      <rPr>
        <sz val="12"/>
        <rFont val="宋体"/>
        <charset val="134"/>
      </rPr>
      <t>商户</t>
    </r>
    <r>
      <rPr>
        <sz val="12"/>
        <rFont val="Times New Roman"/>
        <charset val="134"/>
      </rPr>
      <t>MCC</t>
    </r>
    <r>
      <rPr>
        <sz val="12"/>
        <rFont val="宋体"/>
        <charset val="134"/>
      </rPr>
      <t>名称</t>
    </r>
  </si>
  <si>
    <t>MCC Name</t>
  </si>
  <si>
    <r>
      <rPr>
        <sz val="12"/>
        <rFont val="宋体"/>
        <charset val="134"/>
      </rPr>
      <t>商户类别码对应的名称。</t>
    </r>
  </si>
  <si>
    <t>006014</t>
  </si>
  <si>
    <r>
      <rPr>
        <sz val="12"/>
        <rFont val="宋体"/>
        <charset val="134"/>
      </rPr>
      <t>分期交易类型</t>
    </r>
  </si>
  <si>
    <t>Installment Trading type</t>
  </si>
  <si>
    <r>
      <rPr>
        <sz val="12"/>
        <rFont val="宋体"/>
        <charset val="134"/>
      </rPr>
      <t>普通分期总额、普通分期单笔、专项分期总额、专项分期单笔、现金分期总额、现金分期单笔、其他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</si>
  <si>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006015</t>
  </si>
  <si>
    <r>
      <rPr>
        <sz val="12"/>
        <rFont val="宋体"/>
        <charset val="134"/>
      </rPr>
      <t>分期业务类型</t>
    </r>
  </si>
  <si>
    <t>Installment  type</t>
  </si>
  <si>
    <r>
      <rPr>
        <sz val="12"/>
        <rFont val="宋体"/>
        <charset val="134"/>
      </rPr>
      <t>账单分期，单笔消费分期，现金分期，</t>
    </r>
    <r>
      <rPr>
        <sz val="12"/>
        <rFont val="Times New Roman"/>
        <charset val="134"/>
      </rPr>
      <t>POS</t>
    </r>
    <r>
      <rPr>
        <sz val="12"/>
        <rFont val="宋体"/>
        <charset val="134"/>
      </rPr>
      <t>商户分期，邮购电购分期，汽车分期，家装分期，车位分期，教育分期，婚庆分期，其他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为银行自定义分期业务类型。</t>
    </r>
  </si>
  <si>
    <t>006016</t>
  </si>
  <si>
    <r>
      <rPr>
        <sz val="12"/>
        <rFont val="宋体"/>
        <charset val="134"/>
      </rPr>
      <t>线上线下交易标志</t>
    </r>
  </si>
  <si>
    <t>On/off trade flag</t>
  </si>
  <si>
    <r>
      <rPr>
        <sz val="12"/>
        <rFont val="宋体"/>
        <charset val="134"/>
      </rPr>
      <t>线上，线下</t>
    </r>
  </si>
  <si>
    <t>006017</t>
  </si>
  <si>
    <r>
      <rPr>
        <sz val="12"/>
        <rFont val="宋体"/>
        <charset val="134"/>
      </rPr>
      <t>终端号</t>
    </r>
  </si>
  <si>
    <t>POS ID</t>
  </si>
  <si>
    <r>
      <rPr>
        <sz val="12"/>
        <rFont val="宋体"/>
        <charset val="134"/>
      </rPr>
      <t>银行自定义的唯一标识终端编码。</t>
    </r>
  </si>
  <si>
    <t>006018</t>
  </si>
  <si>
    <r>
      <rPr>
        <sz val="12"/>
        <rFont val="宋体"/>
        <charset val="134"/>
      </rPr>
      <t>清算账号类型</t>
    </r>
  </si>
  <si>
    <t>Banding account type</t>
  </si>
  <si>
    <r>
      <rPr>
        <sz val="12"/>
        <rFont val="宋体"/>
        <charset val="134"/>
      </rPr>
      <t>本行卡，本行对公结算账户，他行卡，他行对公结算账户，第三方平台账户</t>
    </r>
    <r>
      <rPr>
        <sz val="12"/>
        <rFont val="Times New Roman"/>
        <charset val="134"/>
      </rPr>
      <t>-</t>
    </r>
    <r>
      <rPr>
        <sz val="12"/>
        <rFont val="宋体"/>
        <charset val="134"/>
      </rPr>
      <t>银行自定义，其他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为银行自定义类型。清算账号为第三方平台账户的，需填报至具体平台名称。</t>
    </r>
  </si>
  <si>
    <r>
      <rPr>
        <sz val="12"/>
        <rFont val="宋体"/>
        <charset val="134"/>
      </rPr>
      <t>信贷管理信息</t>
    </r>
  </si>
  <si>
    <t>007001</t>
  </si>
  <si>
    <r>
      <rPr>
        <sz val="12"/>
        <rFont val="宋体"/>
        <charset val="134"/>
      </rPr>
      <t>授信协议号</t>
    </r>
  </si>
  <si>
    <t>Credit agreement number</t>
  </si>
  <si>
    <r>
      <rPr>
        <sz val="12"/>
        <rFont val="宋体"/>
        <charset val="134"/>
      </rPr>
      <t>填报银行授予客户授信额度的授信号码（或授信合同号码），该号码唯一标识该笔授信。若银行对该客户有多笔授信，应逐笔填列。</t>
    </r>
  </si>
  <si>
    <t>007002</t>
  </si>
  <si>
    <r>
      <rPr>
        <sz val="12"/>
        <rFont val="宋体"/>
        <charset val="134"/>
      </rPr>
      <t>授信主体种类</t>
    </r>
  </si>
  <si>
    <t>Credit type</t>
  </si>
  <si>
    <r>
      <rPr>
        <sz val="12"/>
        <rFont val="宋体"/>
        <charset val="134"/>
      </rPr>
      <t>单一法人授信，供应链融资，个人客户授信，同业客户授信，其他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为银行自定义种类。</t>
    </r>
  </si>
  <si>
    <t>007003</t>
  </si>
  <si>
    <r>
      <rPr>
        <sz val="12"/>
        <rFont val="宋体"/>
        <charset val="134"/>
      </rPr>
      <t>授信种类</t>
    </r>
  </si>
  <si>
    <t>Credit granting type</t>
  </si>
  <si>
    <r>
      <rPr>
        <sz val="12"/>
        <rFont val="宋体"/>
        <charset val="134"/>
      </rPr>
      <t>综合额度授信，低风险额度授信，信用卡额度授信，临时额度授信，专项额度授信，其他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为银行自定义种类。</t>
    </r>
  </si>
  <si>
    <t>007004</t>
  </si>
  <si>
    <r>
      <rPr>
        <sz val="12"/>
        <rFont val="宋体"/>
        <charset val="134"/>
      </rPr>
      <t>信用卡授信类型</t>
    </r>
  </si>
  <si>
    <t>Credit card granting type</t>
  </si>
  <si>
    <r>
      <rPr>
        <sz val="12"/>
        <rFont val="宋体"/>
        <charset val="134"/>
      </rPr>
      <t>新发卡授信、固定额度上调</t>
    </r>
    <r>
      <rPr>
        <sz val="12"/>
        <rFont val="Times New Roman"/>
        <charset val="134"/>
      </rPr>
      <t>,</t>
    </r>
    <r>
      <rPr>
        <sz val="12"/>
        <rFont val="宋体"/>
        <charset val="134"/>
      </rPr>
      <t>专项分期额度上调</t>
    </r>
    <r>
      <rPr>
        <sz val="12"/>
        <rFont val="Times New Roman"/>
        <charset val="134"/>
      </rPr>
      <t>,</t>
    </r>
    <r>
      <rPr>
        <sz val="12"/>
        <rFont val="宋体"/>
        <charset val="134"/>
      </rPr>
      <t>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</si>
  <si>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007005</t>
  </si>
  <si>
    <r>
      <rPr>
        <sz val="12"/>
        <rFont val="宋体"/>
        <charset val="134"/>
      </rPr>
      <t>信用卡异常标识</t>
    </r>
  </si>
  <si>
    <t>Credit card exception type</t>
  </si>
  <si>
    <r>
      <rPr>
        <sz val="12"/>
        <rFont val="宋体"/>
        <charset val="134"/>
      </rPr>
      <t>盗刷</t>
    </r>
    <r>
      <rPr>
        <sz val="12"/>
        <rFont val="Times New Roman"/>
        <charset val="134"/>
      </rPr>
      <t>,</t>
    </r>
    <r>
      <rPr>
        <sz val="12"/>
        <rFont val="宋体"/>
        <charset val="134"/>
      </rPr>
      <t>套现</t>
    </r>
    <r>
      <rPr>
        <sz val="12"/>
        <rFont val="Times New Roman"/>
        <charset val="134"/>
      </rPr>
      <t>,</t>
    </r>
    <r>
      <rPr>
        <sz val="12"/>
        <rFont val="宋体"/>
        <charset val="134"/>
      </rPr>
      <t>用于投资</t>
    </r>
    <r>
      <rPr>
        <sz val="12"/>
        <rFont val="Times New Roman"/>
        <charset val="134"/>
      </rPr>
      <t>,</t>
    </r>
    <r>
      <rPr>
        <sz val="12"/>
        <rFont val="宋体"/>
        <charset val="134"/>
      </rPr>
      <t>流向房地产</t>
    </r>
    <r>
      <rPr>
        <sz val="12"/>
        <rFont val="Times New Roman"/>
        <charset val="134"/>
      </rPr>
      <t>,</t>
    </r>
    <r>
      <rPr>
        <sz val="12"/>
        <rFont val="宋体"/>
        <charset val="134"/>
      </rPr>
      <t>用于生产经营</t>
    </r>
    <r>
      <rPr>
        <sz val="12"/>
        <rFont val="Times New Roman"/>
        <charset val="134"/>
      </rPr>
      <t>,</t>
    </r>
    <r>
      <rPr>
        <sz val="12"/>
        <rFont val="宋体"/>
        <charset val="134"/>
      </rPr>
      <t>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</si>
  <si>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007006</t>
  </si>
  <si>
    <r>
      <rPr>
        <sz val="12"/>
        <rFont val="宋体"/>
        <charset val="134"/>
      </rPr>
      <t>催收方式</t>
    </r>
  </si>
  <si>
    <t>Collection method</t>
  </si>
  <si>
    <r>
      <rPr>
        <sz val="12"/>
        <rFont val="宋体"/>
        <charset val="134"/>
      </rPr>
      <t>电话催收，信函催收，外访催收，司法催收，其他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</si>
  <si>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007007</t>
  </si>
  <si>
    <r>
      <rPr>
        <sz val="12"/>
        <rFont val="宋体"/>
        <charset val="134"/>
      </rPr>
      <t>信用卡限制措施</t>
    </r>
  </si>
  <si>
    <t>Restrictive measures</t>
  </si>
  <si>
    <r>
      <rPr>
        <sz val="12"/>
        <rFont val="宋体"/>
        <charset val="134"/>
      </rPr>
      <t>警告</t>
    </r>
    <r>
      <rPr>
        <sz val="12"/>
        <rFont val="Times New Roman"/>
        <charset val="134"/>
      </rPr>
      <t>,</t>
    </r>
    <r>
      <rPr>
        <sz val="12"/>
        <rFont val="宋体"/>
        <charset val="134"/>
      </rPr>
      <t>降额</t>
    </r>
    <r>
      <rPr>
        <sz val="12"/>
        <rFont val="Times New Roman"/>
        <charset val="134"/>
      </rPr>
      <t>,</t>
    </r>
    <r>
      <rPr>
        <sz val="12"/>
        <rFont val="宋体"/>
        <charset val="134"/>
      </rPr>
      <t>止付</t>
    </r>
    <r>
      <rPr>
        <sz val="12"/>
        <rFont val="Times New Roman"/>
        <charset val="134"/>
      </rPr>
      <t>,</t>
    </r>
    <r>
      <rPr>
        <sz val="12"/>
        <rFont val="宋体"/>
        <charset val="134"/>
      </rPr>
      <t>提前还款，其他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</si>
  <si>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007008</t>
  </si>
  <si>
    <r>
      <rPr>
        <sz val="12"/>
        <rFont val="宋体"/>
        <charset val="134"/>
      </rPr>
      <t>有效状态</t>
    </r>
  </si>
  <si>
    <t>Validity status</t>
  </si>
  <si>
    <r>
      <rPr>
        <sz val="12"/>
        <rFont val="宋体"/>
        <charset val="134"/>
      </rPr>
      <t>有效，无效。</t>
    </r>
  </si>
  <si>
    <t>007009</t>
  </si>
  <si>
    <r>
      <rPr>
        <sz val="12"/>
        <rFont val="宋体"/>
        <charset val="134"/>
      </rPr>
      <t>审批意见</t>
    </r>
  </si>
  <si>
    <t>Decision</t>
  </si>
  <si>
    <r>
      <rPr>
        <sz val="12"/>
        <rFont val="宋体"/>
        <charset val="134"/>
      </rPr>
      <t>银行授信批复全文。</t>
    </r>
  </si>
  <si>
    <t>007010</t>
  </si>
  <si>
    <r>
      <rPr>
        <sz val="12"/>
        <rFont val="宋体"/>
        <charset val="134"/>
      </rPr>
      <t>信贷资产类型</t>
    </r>
  </si>
  <si>
    <t>Loan asset type</t>
  </si>
  <si>
    <r>
      <rPr>
        <sz val="12"/>
        <rFont val="宋体"/>
        <charset val="134"/>
      </rPr>
      <t>个人贷款，对公贷款，信用卡贷款。</t>
    </r>
  </si>
  <si>
    <t>007011</t>
  </si>
  <si>
    <r>
      <rPr>
        <sz val="12"/>
        <rFont val="宋体"/>
        <charset val="134"/>
      </rPr>
      <t>核销资产类型</t>
    </r>
  </si>
  <si>
    <t>Write off asset type</t>
  </si>
  <si>
    <r>
      <rPr>
        <sz val="12"/>
        <rFont val="宋体"/>
        <charset val="134"/>
      </rPr>
      <t>个人贷款，对公贷款，信用卡贷款，非信贷类债权，股权。</t>
    </r>
  </si>
  <si>
    <t>007012</t>
  </si>
  <si>
    <r>
      <rPr>
        <sz val="12"/>
        <rFont val="宋体"/>
        <charset val="134"/>
      </rPr>
      <t>变动方式</t>
    </r>
  </si>
  <si>
    <t>Variation way</t>
  </si>
  <si>
    <r>
      <rPr>
        <sz val="12"/>
        <rFont val="宋体"/>
        <charset val="134"/>
      </rPr>
      <t>人工，自动。</t>
    </r>
  </si>
  <si>
    <t>007013</t>
  </si>
  <si>
    <r>
      <rPr>
        <sz val="12"/>
        <rFont val="宋体"/>
        <charset val="134"/>
      </rPr>
      <t>协议名称</t>
    </r>
  </si>
  <si>
    <t>Agreement name</t>
  </si>
  <si>
    <t>007014</t>
  </si>
  <si>
    <r>
      <rPr>
        <sz val="12"/>
        <rFont val="宋体"/>
        <charset val="134"/>
      </rPr>
      <t>变动原因</t>
    </r>
  </si>
  <si>
    <t>Happen reason</t>
  </si>
  <si>
    <t>007015</t>
  </si>
  <si>
    <r>
      <rPr>
        <sz val="12"/>
        <rFont val="宋体"/>
        <charset val="134"/>
      </rPr>
      <t>转让方式</t>
    </r>
  </si>
  <si>
    <t>Transfer method</t>
  </si>
  <si>
    <r>
      <rPr>
        <sz val="12"/>
        <rFont val="宋体"/>
        <charset val="134"/>
      </rPr>
      <t>直接转让，信贷资产证券化，其他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为银行自定义方式。</t>
    </r>
  </si>
  <si>
    <t>007016</t>
  </si>
  <si>
    <r>
      <rPr>
        <sz val="12"/>
        <rFont val="宋体"/>
        <charset val="134"/>
      </rPr>
      <t>转让方向</t>
    </r>
  </si>
  <si>
    <t>Transfer orientation</t>
  </si>
  <si>
    <r>
      <rPr>
        <sz val="12"/>
        <rFont val="宋体"/>
        <charset val="134"/>
      </rPr>
      <t>转入，转出。</t>
    </r>
  </si>
  <si>
    <t>007017</t>
  </si>
  <si>
    <r>
      <rPr>
        <sz val="12"/>
        <rFont val="宋体"/>
        <charset val="134"/>
      </rPr>
      <t>垫款类型</t>
    </r>
  </si>
  <si>
    <t>Advances type</t>
  </si>
  <si>
    <r>
      <rPr>
        <sz val="12"/>
        <rFont val="宋体"/>
        <charset val="134"/>
      </rPr>
      <t>与</t>
    </r>
    <r>
      <rPr>
        <sz val="12"/>
        <rFont val="Times New Roman"/>
        <charset val="134"/>
      </rPr>
      <t>1104</t>
    </r>
    <r>
      <rPr>
        <sz val="12"/>
        <rFont val="宋体"/>
        <charset val="134"/>
      </rPr>
      <t>报表</t>
    </r>
    <r>
      <rPr>
        <sz val="12"/>
        <rFont val="Times New Roman"/>
        <charset val="134"/>
      </rPr>
      <t>G01_</t>
    </r>
    <r>
      <rPr>
        <sz val="12"/>
        <rFont val="宋体"/>
        <charset val="134"/>
      </rPr>
      <t>Ⅵ《各项垫款情况表》一致。即分为（按序号</t>
    </r>
    <r>
      <rPr>
        <sz val="12"/>
        <rFont val="Times New Roman"/>
        <charset val="134"/>
      </rPr>
      <t>+</t>
    </r>
    <r>
      <rPr>
        <sz val="12"/>
        <rFont val="宋体"/>
        <charset val="134"/>
      </rPr>
      <t>名称填报）：</t>
    </r>
    <r>
      <rPr>
        <sz val="12"/>
        <rFont val="Times New Roman"/>
        <charset val="134"/>
      </rPr>
      <t>1.1</t>
    </r>
    <r>
      <rPr>
        <sz val="12"/>
        <rFont val="宋体"/>
        <charset val="134"/>
      </rPr>
      <t>承兑汇票，</t>
    </r>
    <r>
      <rPr>
        <sz val="12"/>
        <rFont val="Times New Roman"/>
        <charset val="134"/>
      </rPr>
      <t>1.2</t>
    </r>
    <r>
      <rPr>
        <sz val="12"/>
        <rFont val="宋体"/>
        <charset val="134"/>
      </rPr>
      <t>融资性保函，</t>
    </r>
    <r>
      <rPr>
        <sz val="12"/>
        <rFont val="Times New Roman"/>
        <charset val="134"/>
      </rPr>
      <t>1.3</t>
    </r>
    <r>
      <rPr>
        <sz val="12"/>
        <rFont val="宋体"/>
        <charset val="134"/>
      </rPr>
      <t>其他等同于贷款的授信业务，</t>
    </r>
    <r>
      <rPr>
        <sz val="12"/>
        <rFont val="Times New Roman"/>
        <charset val="134"/>
      </rPr>
      <t xml:space="preserve"> 2.1</t>
    </r>
    <r>
      <rPr>
        <sz val="12"/>
        <rFont val="宋体"/>
        <charset val="134"/>
      </rPr>
      <t>非融资性保函，</t>
    </r>
    <r>
      <rPr>
        <sz val="12"/>
        <rFont val="Times New Roman"/>
        <charset val="134"/>
      </rPr>
      <t xml:space="preserve"> 2.2</t>
    </r>
    <r>
      <rPr>
        <sz val="12"/>
        <rFont val="宋体"/>
        <charset val="134"/>
      </rPr>
      <t>其他与交易相关的或有项目，</t>
    </r>
    <r>
      <rPr>
        <sz val="12"/>
        <rFont val="Times New Roman"/>
        <charset val="134"/>
      </rPr>
      <t>3.1</t>
    </r>
    <r>
      <rPr>
        <sz val="12"/>
        <rFont val="宋体"/>
        <charset val="134"/>
      </rPr>
      <t>跟单信用证，</t>
    </r>
    <r>
      <rPr>
        <sz val="12"/>
        <rFont val="Times New Roman"/>
        <charset val="134"/>
      </rPr>
      <t>3.2</t>
    </r>
    <r>
      <rPr>
        <sz val="12"/>
        <rFont val="宋体"/>
        <charset val="134"/>
      </rPr>
      <t>其他与贸易相关的或有项目。</t>
    </r>
  </si>
  <si>
    <t>007018</t>
  </si>
  <si>
    <r>
      <rPr>
        <sz val="12"/>
        <rFont val="宋体"/>
        <charset val="134"/>
      </rPr>
      <t>垫款状态</t>
    </r>
  </si>
  <si>
    <t>Advances state</t>
  </si>
  <si>
    <r>
      <rPr>
        <sz val="12"/>
        <rFont val="宋体"/>
        <charset val="134"/>
      </rPr>
      <t>未结清，已结清，转让，核销。无法以枚举类型填报的，以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为银行自定义垫款状态。</t>
    </r>
  </si>
  <si>
    <t>007019</t>
  </si>
  <si>
    <r>
      <rPr>
        <sz val="12"/>
        <rFont val="宋体"/>
        <charset val="134"/>
      </rPr>
      <t>转让交易平台</t>
    </r>
  </si>
  <si>
    <t>Trading asset Registry</t>
  </si>
  <si>
    <r>
      <rPr>
        <sz val="12"/>
        <rFont val="宋体"/>
        <charset val="134"/>
      </rPr>
      <t>银登中心，证券交易所，银行间市场，其他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为银行自定义交易平台。</t>
    </r>
  </si>
  <si>
    <t>007020</t>
  </si>
  <si>
    <r>
      <rPr>
        <sz val="12"/>
        <rFont val="宋体"/>
        <charset val="134"/>
      </rPr>
      <t>互联网贷款业务模式</t>
    </r>
  </si>
  <si>
    <t>Internet-based Business mode</t>
  </si>
  <si>
    <r>
      <rPr>
        <sz val="12"/>
        <rFont val="宋体"/>
        <charset val="134"/>
      </rPr>
      <t>合作，独立。</t>
    </r>
  </si>
  <si>
    <t>007021</t>
  </si>
  <si>
    <r>
      <rPr>
        <sz val="12"/>
        <rFont val="宋体"/>
        <charset val="134"/>
      </rPr>
      <t>互联网贷款合作协议编号</t>
    </r>
  </si>
  <si>
    <t>Internet-based Cooperation Agreement code</t>
  </si>
  <si>
    <r>
      <rPr>
        <sz val="12"/>
        <rFont val="宋体"/>
        <charset val="134"/>
      </rPr>
      <t>填报互联网贷款合作协议编号。没有编号的，填可唯一标识的银行自定义内容。</t>
    </r>
  </si>
  <si>
    <t>007022</t>
  </si>
  <si>
    <r>
      <rPr>
        <sz val="12"/>
        <rFont val="宋体"/>
        <charset val="134"/>
      </rPr>
      <t>客户数据授权书编号</t>
    </r>
  </si>
  <si>
    <t>Data Authorization code</t>
  </si>
  <si>
    <r>
      <rPr>
        <sz val="12"/>
        <rFont val="宋体"/>
        <charset val="134"/>
      </rPr>
      <t>根据银行或合作方授权系统自定义。未签订授权书的填</t>
    </r>
    <r>
      <rPr>
        <sz val="12"/>
        <rFont val="Times New Roman"/>
        <charset val="134"/>
      </rPr>
      <t>“</t>
    </r>
    <r>
      <rPr>
        <sz val="12"/>
        <rFont val="宋体"/>
        <charset val="134"/>
      </rPr>
      <t>未签订</t>
    </r>
    <r>
      <rPr>
        <sz val="12"/>
        <rFont val="Times New Roman"/>
        <charset val="134"/>
      </rPr>
      <t>”</t>
    </r>
    <r>
      <rPr>
        <sz val="12"/>
        <rFont val="宋体"/>
        <charset val="134"/>
      </rPr>
      <t>；合作方未提供授权书信息的，填</t>
    </r>
    <r>
      <rPr>
        <sz val="12"/>
        <rFont val="Times New Roman"/>
        <charset val="134"/>
      </rPr>
      <t>“</t>
    </r>
    <r>
      <rPr>
        <sz val="12"/>
        <rFont val="宋体"/>
        <charset val="134"/>
      </rPr>
      <t>合作方未提供</t>
    </r>
    <r>
      <rPr>
        <sz val="12"/>
        <rFont val="Times New Roman"/>
        <charset val="134"/>
      </rPr>
      <t>”</t>
    </r>
    <r>
      <rPr>
        <sz val="12"/>
        <rFont val="宋体"/>
        <charset val="134"/>
      </rPr>
      <t>。</t>
    </r>
  </si>
  <si>
    <t>007023</t>
  </si>
  <si>
    <r>
      <rPr>
        <sz val="12"/>
        <rFont val="宋体"/>
        <charset val="134"/>
      </rPr>
      <t>互联网贷款合作方类型</t>
    </r>
  </si>
  <si>
    <t>Internet-based Cooperation Partner type</t>
  </si>
  <si>
    <r>
      <rPr>
        <sz val="12"/>
        <rFont val="宋体"/>
        <charset val="134"/>
      </rPr>
      <t>银行业金融机构、保险公司、小额贷款公司、融资担保公司、电子商务公司、非银行支付机构、信息科技公司、其他</t>
    </r>
    <r>
      <rPr>
        <sz val="12"/>
        <rFont val="Times New Roman"/>
        <charset val="134"/>
      </rPr>
      <t>-</t>
    </r>
    <r>
      <rPr>
        <sz val="12"/>
        <rFont val="宋体"/>
        <charset val="134"/>
      </rPr>
      <t>银行自定义。</t>
    </r>
  </si>
  <si>
    <t>007024</t>
  </si>
  <si>
    <r>
      <rPr>
        <sz val="12"/>
        <rFont val="宋体"/>
        <charset val="134"/>
      </rPr>
      <t>互联网贷款合作方式</t>
    </r>
  </si>
  <si>
    <t>Internet-based Cooperation mode</t>
  </si>
  <si>
    <r>
      <rPr>
        <sz val="12"/>
        <rFont val="宋体"/>
        <charset val="134"/>
      </rPr>
      <t>营销获客、联合贷款、支付结算、风险分担、担保增信、信息科技、逾期清收、其他</t>
    </r>
    <r>
      <rPr>
        <sz val="12"/>
        <rFont val="Times New Roman"/>
        <charset val="134"/>
      </rPr>
      <t>-</t>
    </r>
    <r>
      <rPr>
        <sz val="12"/>
        <rFont val="宋体"/>
        <charset val="134"/>
      </rPr>
      <t>银行自定义。</t>
    </r>
  </si>
  <si>
    <t>007025</t>
  </si>
  <si>
    <r>
      <rPr>
        <sz val="12"/>
        <rFont val="宋体"/>
        <charset val="134"/>
      </rPr>
      <t>互联贷款合作协议状态</t>
    </r>
  </si>
  <si>
    <t>Internet-based Agreement state</t>
  </si>
  <si>
    <r>
      <rPr>
        <sz val="12"/>
        <rFont val="宋体"/>
        <charset val="134"/>
      </rPr>
      <t>有效，撤销，终结，其他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为银行自定义状态。</t>
    </r>
  </si>
  <si>
    <r>
      <rPr>
        <sz val="12"/>
        <rFont val="宋体"/>
        <charset val="134"/>
      </rPr>
      <t>资产负债及涉农统计</t>
    </r>
  </si>
  <si>
    <r>
      <rPr>
        <sz val="12"/>
        <rFont val="宋体"/>
        <charset val="134"/>
      </rPr>
      <t>客户风险统计相关指标</t>
    </r>
  </si>
  <si>
    <t>009001</t>
  </si>
  <si>
    <r>
      <rPr>
        <sz val="12"/>
        <rFont val="宋体"/>
        <charset val="134"/>
      </rPr>
      <t>账户类型</t>
    </r>
  </si>
  <si>
    <t>Account type</t>
  </si>
  <si>
    <r>
      <rPr>
        <sz val="12"/>
        <rFont val="宋体"/>
        <charset val="134"/>
      </rPr>
      <t>银行账户，交易账户。</t>
    </r>
  </si>
  <si>
    <t>009002</t>
  </si>
  <si>
    <r>
      <rPr>
        <sz val="12"/>
        <rFont val="宋体"/>
        <charset val="134"/>
      </rPr>
      <t>风险预警信号</t>
    </r>
  </si>
  <si>
    <t>Risk warning signal</t>
  </si>
  <si>
    <r>
      <rPr>
        <sz val="12"/>
        <rFont val="宋体"/>
        <charset val="134"/>
      </rPr>
      <t>根据客户类型，以银保监会客户风险统计报表的《集团风险预警代码及预警信号对照表》、《单一法人风险预警代码及预警信号对照表》对应的预警信号代码，填报至二级指标。同一客户涉及多项预警的，应将多个代码一并填报，中间英文半角分号隔开，如：</t>
    </r>
    <r>
      <rPr>
        <sz val="12"/>
        <rFont val="Times New Roman"/>
        <charset val="134"/>
      </rPr>
      <t>A01;B02</t>
    </r>
    <r>
      <rPr>
        <sz val="12"/>
        <rFont val="宋体"/>
        <charset val="134"/>
      </rPr>
      <t>。</t>
    </r>
  </si>
  <si>
    <t>C..500</t>
  </si>
  <si>
    <t>009003</t>
  </si>
  <si>
    <r>
      <rPr>
        <sz val="12"/>
        <rFont val="宋体"/>
        <charset val="134"/>
      </rPr>
      <t>关注事件代码</t>
    </r>
  </si>
  <si>
    <t>Issue Code</t>
  </si>
  <si>
    <r>
      <rPr>
        <sz val="12"/>
        <rFont val="宋体"/>
        <charset val="134"/>
      </rPr>
      <t>根据客户类型，以银保监会客户风险统计报表的《集团关注事件及代码对照表》、《单一法人关注事件及代码对照表》对应的预警信号代码，填报至二级指标。同一客户涉及多项关注事件的，应将多个代码一并填报，中间用英文半角分号隔开，如：</t>
    </r>
    <r>
      <rPr>
        <sz val="12"/>
        <rFont val="Times New Roman"/>
        <charset val="134"/>
      </rPr>
      <t>A01;B02</t>
    </r>
    <r>
      <rPr>
        <sz val="12"/>
        <rFont val="宋体"/>
        <charset val="134"/>
      </rPr>
      <t>。</t>
    </r>
  </si>
  <si>
    <r>
      <rPr>
        <sz val="12"/>
        <rFont val="宋体"/>
        <charset val="134"/>
      </rPr>
      <t>资金与理财业务</t>
    </r>
  </si>
  <si>
    <t>10</t>
  </si>
  <si>
    <t>010001</t>
  </si>
  <si>
    <r>
      <rPr>
        <sz val="12"/>
        <rFont val="宋体"/>
        <charset val="134"/>
      </rPr>
      <t>金融工具编号</t>
    </r>
  </si>
  <si>
    <t>Instrument Code</t>
  </si>
  <si>
    <r>
      <rPr>
        <sz val="12"/>
        <rFont val="宋体"/>
        <charset val="134"/>
      </rPr>
      <t>能在表内唯一识别金融工具的编号，包括但不限于标准化或非标准化金融产品。在中登公司有登记的金融产品，需填报在中登公司记录的正确编号，如果不是标准产品，则由银行自定义。</t>
    </r>
  </si>
  <si>
    <t>010002</t>
  </si>
  <si>
    <r>
      <rPr>
        <sz val="12"/>
        <rFont val="宋体"/>
        <charset val="134"/>
      </rPr>
      <t>金融工具名称</t>
    </r>
  </si>
  <si>
    <t>Instrument</t>
  </si>
  <si>
    <r>
      <rPr>
        <sz val="12"/>
        <rFont val="宋体"/>
        <charset val="134"/>
      </rPr>
      <t>金融产品名称，包括但不限于标准化或非标准化金融产品。如果不是标准产品，则由银行自定义。</t>
    </r>
  </si>
  <si>
    <t>010003</t>
  </si>
  <si>
    <r>
      <rPr>
        <sz val="12"/>
        <rFont val="宋体"/>
        <charset val="134"/>
      </rPr>
      <t>资产类型</t>
    </r>
  </si>
  <si>
    <t>Asset type</t>
  </si>
  <si>
    <r>
      <rPr>
        <sz val="12"/>
        <rFont val="宋体"/>
        <charset val="134"/>
      </rPr>
      <t>现金及银行存款，外汇，证券，股权，保险产品，标准化债券，理财产品，理财直接融资工具，新增可投资资产（信贷资产流转项目、其他新增），非标准化债权类资产，权益类投资，金融衍生品，</t>
    </r>
    <r>
      <rPr>
        <sz val="12"/>
        <rFont val="Times New Roman"/>
        <charset val="134"/>
      </rPr>
      <t>QDII</t>
    </r>
    <r>
      <rPr>
        <sz val="12"/>
        <rFont val="宋体"/>
        <charset val="134"/>
      </rPr>
      <t>，商品类资产，另类资产（艺术品、知识产权等），公募基金，私募基金。无法以枚举类型填报的，以</t>
    </r>
    <r>
      <rPr>
        <sz val="12"/>
        <rFont val="Times New Roman"/>
        <charset val="134"/>
      </rPr>
      <t>“</t>
    </r>
    <r>
      <rPr>
        <sz val="12"/>
        <rFont val="宋体"/>
        <charset val="134"/>
      </rPr>
      <t>其它</t>
    </r>
    <r>
      <rPr>
        <sz val="12"/>
        <rFont val="Times New Roman"/>
        <charset val="134"/>
      </rPr>
      <t>-XX”</t>
    </r>
    <r>
      <rPr>
        <sz val="12"/>
        <rFont val="宋体"/>
        <charset val="134"/>
      </rPr>
      <t>填报，其中</t>
    </r>
    <r>
      <rPr>
        <sz val="12"/>
        <rFont val="Times New Roman"/>
        <charset val="134"/>
      </rPr>
      <t>“XX”</t>
    </r>
    <r>
      <rPr>
        <sz val="12"/>
        <rFont val="宋体"/>
        <charset val="134"/>
      </rPr>
      <t>为银行自定义资产类型。</t>
    </r>
  </si>
  <si>
    <t>C..120</t>
  </si>
  <si>
    <t>010004</t>
  </si>
  <si>
    <r>
      <rPr>
        <sz val="12"/>
        <rFont val="宋体"/>
        <charset val="134"/>
      </rPr>
      <t>资产名称</t>
    </r>
  </si>
  <si>
    <t>Asset Name</t>
  </si>
  <si>
    <t>010005</t>
  </si>
  <si>
    <r>
      <rPr>
        <sz val="12"/>
        <rFont val="宋体"/>
        <charset val="134"/>
      </rPr>
      <t>国别代码</t>
    </r>
  </si>
  <si>
    <t>Country code</t>
  </si>
  <si>
    <r>
      <rPr>
        <sz val="12"/>
        <rFont val="宋体"/>
        <charset val="134"/>
      </rPr>
      <t>《</t>
    </r>
    <r>
      <rPr>
        <sz val="12"/>
        <rFont val="Times New Roman"/>
        <charset val="134"/>
      </rPr>
      <t xml:space="preserve">GB/T 2659 </t>
    </r>
    <r>
      <rPr>
        <sz val="12"/>
        <rFont val="宋体"/>
        <charset val="134"/>
      </rPr>
      <t>世界各国和地区名称代码》定义的三字符代码，如</t>
    </r>
    <r>
      <rPr>
        <sz val="12"/>
        <rFont val="Times New Roman"/>
        <charset val="134"/>
      </rPr>
      <t>CHN</t>
    </r>
    <r>
      <rPr>
        <sz val="12"/>
        <rFont val="宋体"/>
        <charset val="134"/>
      </rPr>
      <t>。</t>
    </r>
  </si>
  <si>
    <t>010006</t>
  </si>
  <si>
    <r>
      <rPr>
        <sz val="12"/>
        <rFont val="宋体"/>
        <charset val="134"/>
      </rPr>
      <t>交易编号</t>
    </r>
  </si>
  <si>
    <t>Trade id</t>
  </si>
  <si>
    <r>
      <rPr>
        <sz val="12"/>
        <rFont val="宋体"/>
        <charset val="134"/>
      </rPr>
      <t>识别交易的唯一编号，可以是合同号、成交编号或者其他自定义的编号。</t>
    </r>
  </si>
  <si>
    <t>010007</t>
  </si>
  <si>
    <r>
      <rPr>
        <sz val="12"/>
        <rFont val="宋体"/>
        <charset val="134"/>
      </rPr>
      <t>利率类型</t>
    </r>
  </si>
  <si>
    <t>Interest type</t>
  </si>
  <si>
    <r>
      <rPr>
        <sz val="12"/>
        <rFont val="Times New Roman"/>
        <charset val="134"/>
      </rPr>
      <t>LPR</t>
    </r>
    <r>
      <rPr>
        <sz val="12"/>
        <rFont val="宋体"/>
        <charset val="134"/>
      </rPr>
      <t>，非</t>
    </r>
    <r>
      <rPr>
        <sz val="12"/>
        <rFont val="Times New Roman"/>
        <charset val="134"/>
      </rPr>
      <t>LPR</t>
    </r>
    <r>
      <rPr>
        <sz val="12"/>
        <rFont val="宋体"/>
        <charset val="134"/>
      </rPr>
      <t>。</t>
    </r>
  </si>
  <si>
    <t>010008</t>
  </si>
  <si>
    <r>
      <rPr>
        <sz val="12"/>
        <rFont val="宋体"/>
        <charset val="134"/>
      </rPr>
      <t>产品代码</t>
    </r>
  </si>
  <si>
    <t>Product code</t>
  </si>
  <si>
    <r>
      <rPr>
        <sz val="12"/>
        <rFont val="宋体"/>
        <charset val="134"/>
      </rPr>
      <t>发行机构在发行登记时赋予理财产品的代码，该代码在发行机构内部具有唯一性。</t>
    </r>
  </si>
  <si>
    <t>010009</t>
  </si>
  <si>
    <r>
      <rPr>
        <sz val="12"/>
        <rFont val="宋体"/>
        <charset val="134"/>
      </rPr>
      <t>买卖标志</t>
    </r>
  </si>
  <si>
    <t>Buy or sell</t>
  </si>
  <si>
    <r>
      <rPr>
        <sz val="12"/>
        <rFont val="宋体"/>
        <charset val="134"/>
      </rPr>
      <t>买入，卖出。</t>
    </r>
  </si>
  <si>
    <t>010010</t>
  </si>
  <si>
    <r>
      <rPr>
        <sz val="12"/>
        <rFont val="宋体"/>
        <charset val="134"/>
      </rPr>
      <t>信用评级</t>
    </r>
  </si>
  <si>
    <t>Rating</t>
  </si>
  <si>
    <r>
      <rPr>
        <sz val="12"/>
        <rFont val="宋体"/>
        <charset val="134"/>
      </rPr>
      <t>优先填报外部专业性的评级公司对融资人主体或资产的信用评级结果，如无，则由填报机构内部对融资人主体或资产的信用评级结果。</t>
    </r>
  </si>
  <si>
    <t>010011</t>
  </si>
  <si>
    <r>
      <rPr>
        <sz val="12"/>
        <rFont val="宋体"/>
        <charset val="134"/>
      </rPr>
      <t>期限</t>
    </r>
  </si>
  <si>
    <t>Term</t>
  </si>
  <si>
    <r>
      <rPr>
        <sz val="12"/>
        <rFont val="宋体"/>
        <charset val="134"/>
      </rPr>
      <t>约定的期限，适用于债券等业务。</t>
    </r>
  </si>
  <si>
    <t>010012</t>
  </si>
  <si>
    <r>
      <rPr>
        <sz val="12"/>
        <rFont val="宋体"/>
        <charset val="134"/>
      </rPr>
      <t>产品登记编码</t>
    </r>
  </si>
  <si>
    <t>Product registration code</t>
  </si>
  <si>
    <r>
      <rPr>
        <sz val="12"/>
        <rFont val="宋体"/>
        <charset val="134"/>
      </rPr>
      <t>登记机构赋予理财产品的标识码，该码具有唯一性。</t>
    </r>
  </si>
  <si>
    <t>010013</t>
  </si>
  <si>
    <r>
      <rPr>
        <sz val="12"/>
        <rFont val="宋体"/>
        <charset val="134"/>
      </rPr>
      <t>行内标识码</t>
    </r>
  </si>
  <si>
    <t>Product inner code</t>
  </si>
  <si>
    <r>
      <rPr>
        <sz val="12"/>
        <rFont val="宋体"/>
        <charset val="134"/>
      </rPr>
      <t>发行机构在申报登记时赋予理财产品的代码，该代码在发行机构内部具有唯一性。</t>
    </r>
  </si>
  <si>
    <t>010014</t>
  </si>
  <si>
    <r>
      <rPr>
        <sz val="12"/>
        <rFont val="宋体"/>
        <charset val="134"/>
      </rPr>
      <t>资金投向地区</t>
    </r>
  </si>
  <si>
    <t>Domestic/foreign investing flag</t>
  </si>
  <si>
    <r>
      <rPr>
        <sz val="12"/>
        <rFont val="宋体"/>
        <charset val="134"/>
      </rPr>
      <t>境内，境外，境内和境外。</t>
    </r>
  </si>
  <si>
    <t>C..15</t>
  </si>
  <si>
    <t>010015</t>
  </si>
  <si>
    <r>
      <rPr>
        <sz val="12"/>
        <rFont val="宋体"/>
        <charset val="134"/>
      </rPr>
      <t>投资者类型</t>
    </r>
  </si>
  <si>
    <t>Investor type</t>
  </si>
  <si>
    <r>
      <rPr>
        <sz val="12"/>
        <rFont val="宋体"/>
        <charset val="134"/>
      </rPr>
      <t>一般个人客户、高资产净值客户、私人银行客户、机构客户、金融同业客户。</t>
    </r>
  </si>
  <si>
    <t>010016</t>
  </si>
  <si>
    <r>
      <rPr>
        <sz val="12"/>
        <rFont val="宋体"/>
        <charset val="134"/>
      </rPr>
      <t>理财产品风险等级</t>
    </r>
  </si>
  <si>
    <t>Financing product risk level</t>
  </si>
  <si>
    <r>
      <rPr>
        <sz val="12"/>
        <rFont val="宋体"/>
        <charset val="134"/>
      </rPr>
      <t>一级，二级，三级，四级，五级。</t>
    </r>
  </si>
  <si>
    <t>010017</t>
  </si>
  <si>
    <r>
      <rPr>
        <sz val="12"/>
        <rFont val="宋体"/>
        <charset val="134"/>
      </rPr>
      <t>产品运作模式</t>
    </r>
  </si>
  <si>
    <t>Product operation mode</t>
  </si>
  <si>
    <r>
      <rPr>
        <sz val="12"/>
        <rFont val="宋体"/>
        <charset val="134"/>
      </rPr>
      <t>封闭式净值型，封闭式非净值型，开放式净值型，开放式非净值型。</t>
    </r>
  </si>
  <si>
    <t>010018</t>
  </si>
  <si>
    <r>
      <rPr>
        <sz val="12"/>
        <rFont val="宋体"/>
        <charset val="134"/>
      </rPr>
      <t>产品资产配置方式</t>
    </r>
  </si>
  <si>
    <t>Product asset management</t>
  </si>
  <si>
    <r>
      <rPr>
        <sz val="12"/>
        <rFont val="宋体"/>
        <charset val="134"/>
      </rPr>
      <t>单一资产配置（一对一），资产组合配置（一对多），其他配置（多对多）。</t>
    </r>
  </si>
  <si>
    <t>010019</t>
  </si>
  <si>
    <r>
      <rPr>
        <sz val="12"/>
        <rFont val="宋体"/>
        <charset val="134"/>
      </rPr>
      <t>产品管理模式</t>
    </r>
  </si>
  <si>
    <t>Product manager type</t>
  </si>
  <si>
    <r>
      <rPr>
        <sz val="12"/>
        <rFont val="宋体"/>
        <charset val="134"/>
      </rPr>
      <t>本机构为实际管理人，其他机构为实际管理人，资产管理公司，特殊目的载体（</t>
    </r>
    <r>
      <rPr>
        <sz val="12"/>
        <rFont val="Times New Roman"/>
        <charset val="134"/>
      </rPr>
      <t>SPV</t>
    </r>
    <r>
      <rPr>
        <sz val="12"/>
        <rFont val="宋体"/>
        <charset val="134"/>
      </rPr>
      <t>）。</t>
    </r>
  </si>
  <si>
    <t>010020</t>
  </si>
  <si>
    <r>
      <rPr>
        <sz val="12"/>
        <rFont val="宋体"/>
        <charset val="134"/>
      </rPr>
      <t>产品定价方式</t>
    </r>
  </si>
  <si>
    <t>Product pricing method</t>
  </si>
  <si>
    <r>
      <rPr>
        <sz val="12"/>
        <rFont val="宋体"/>
        <charset val="134"/>
      </rPr>
      <t>公允价值定价，成本法定价，综合定价。</t>
    </r>
  </si>
  <si>
    <t>010021</t>
  </si>
  <si>
    <r>
      <rPr>
        <sz val="12"/>
        <rFont val="宋体"/>
        <charset val="134"/>
      </rPr>
      <t>合作模式</t>
    </r>
  </si>
  <si>
    <t>Cooperation mode</t>
  </si>
  <si>
    <r>
      <rPr>
        <sz val="12"/>
        <rFont val="宋体"/>
        <charset val="134"/>
      </rPr>
      <t>独立运作，银信，银保，银基，银证，混合类，其他。</t>
    </r>
  </si>
  <si>
    <t>010022</t>
  </si>
  <si>
    <r>
      <rPr>
        <sz val="12"/>
        <rFont val="宋体"/>
        <charset val="134"/>
      </rPr>
      <t>投资资产种类及比例</t>
    </r>
  </si>
  <si>
    <t>Investment structure</t>
  </si>
  <si>
    <r>
      <rPr>
        <sz val="12"/>
        <rFont val="宋体"/>
        <charset val="134"/>
      </rPr>
      <t>需按照以下格式填写，例如</t>
    </r>
    <r>
      <rPr>
        <sz val="12"/>
        <rFont val="Times New Roman"/>
        <charset val="134"/>
      </rPr>
      <t>“10%</t>
    </r>
    <r>
      <rPr>
        <sz val="12"/>
        <rFont val="宋体"/>
        <charset val="134"/>
      </rPr>
      <t>：股票（二级市场）；</t>
    </r>
    <r>
      <rPr>
        <sz val="12"/>
        <rFont val="Times New Roman"/>
        <charset val="134"/>
      </rPr>
      <t>10%-20%</t>
    </r>
    <r>
      <rPr>
        <sz val="12"/>
        <rFont val="宋体"/>
        <charset val="134"/>
      </rPr>
      <t>：公司债券；</t>
    </r>
    <r>
      <rPr>
        <sz val="12"/>
        <rFont val="Times New Roman"/>
        <charset val="134"/>
      </rPr>
      <t>70%-80%</t>
    </r>
    <r>
      <rPr>
        <sz val="12"/>
        <rFont val="宋体"/>
        <charset val="134"/>
      </rPr>
      <t>：信贷资产</t>
    </r>
    <r>
      <rPr>
        <sz val="12"/>
        <rFont val="Times New Roman"/>
        <charset val="134"/>
      </rPr>
      <t>”(</t>
    </r>
    <r>
      <rPr>
        <sz val="12"/>
        <rFont val="宋体"/>
        <charset val="134"/>
      </rPr>
      <t>百分号、冒号、分号、连字号均为英文半角标点</t>
    </r>
    <r>
      <rPr>
        <sz val="12"/>
        <rFont val="Times New Roman"/>
        <charset val="134"/>
      </rPr>
      <t>)</t>
    </r>
    <r>
      <rPr>
        <sz val="12"/>
        <rFont val="宋体"/>
        <charset val="134"/>
      </rPr>
      <t>；百分号前的数字应在</t>
    </r>
    <r>
      <rPr>
        <sz val="12"/>
        <rFont val="Times New Roman"/>
        <charset val="134"/>
      </rPr>
      <t>[0,100]</t>
    </r>
    <r>
      <rPr>
        <sz val="12"/>
        <rFont val="宋体"/>
        <charset val="134"/>
      </rPr>
      <t>区间内。</t>
    </r>
  </si>
  <si>
    <t>C..2000</t>
  </si>
  <si>
    <t>010023</t>
  </si>
  <si>
    <r>
      <rPr>
        <sz val="12"/>
        <rFont val="宋体"/>
        <charset val="134"/>
      </rPr>
      <t>产品销售区域</t>
    </r>
  </si>
  <si>
    <t>Product sales territory</t>
  </si>
  <si>
    <r>
      <rPr>
        <sz val="12"/>
        <rFont val="宋体"/>
        <charset val="134"/>
      </rPr>
      <t>全国，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r>
  </si>
  <si>
    <t>010024</t>
  </si>
  <si>
    <r>
      <rPr>
        <sz val="12"/>
        <rFont val="宋体"/>
        <charset val="134"/>
      </rPr>
      <t>产品增信形式</t>
    </r>
  </si>
  <si>
    <t>Product credit enhancement class</t>
  </si>
  <si>
    <r>
      <rPr>
        <sz val="12"/>
        <rFont val="宋体"/>
        <charset val="134"/>
      </rPr>
      <t>内部增级，外部增级，内外增级。</t>
    </r>
  </si>
  <si>
    <t>010025</t>
  </si>
  <si>
    <r>
      <rPr>
        <sz val="12"/>
        <rFont val="宋体"/>
        <charset val="134"/>
      </rPr>
      <t>到账日</t>
    </r>
  </si>
  <si>
    <t>Days of settlement</t>
  </si>
  <si>
    <r>
      <rPr>
        <sz val="12"/>
        <rFont val="Times New Roman"/>
        <charset val="134"/>
      </rPr>
      <t>T+N</t>
    </r>
    <r>
      <rPr>
        <sz val="12"/>
        <rFont val="宋体"/>
        <charset val="134"/>
      </rPr>
      <t>（</t>
    </r>
    <r>
      <rPr>
        <sz val="12"/>
        <rFont val="Times New Roman"/>
        <charset val="134"/>
      </rPr>
      <t>N</t>
    </r>
    <r>
      <rPr>
        <sz val="12"/>
        <rFont val="宋体"/>
        <charset val="134"/>
      </rPr>
      <t>为数字）</t>
    </r>
  </si>
  <si>
    <t>010026</t>
  </si>
  <si>
    <r>
      <rPr>
        <sz val="12"/>
        <rFont val="宋体"/>
        <charset val="134"/>
      </rPr>
      <t>业务大类</t>
    </r>
  </si>
  <si>
    <t>Business large class</t>
  </si>
  <si>
    <r>
      <rPr>
        <sz val="12"/>
        <rFont val="宋体"/>
        <charset val="134"/>
      </rPr>
      <t>同《自营报送范围》中的</t>
    </r>
    <r>
      <rPr>
        <sz val="12"/>
        <rFont val="Times New Roman"/>
        <charset val="134"/>
      </rPr>
      <t>“</t>
    </r>
    <r>
      <rPr>
        <sz val="12"/>
        <rFont val="宋体"/>
        <charset val="134"/>
      </rPr>
      <t>业务大类</t>
    </r>
    <r>
      <rPr>
        <sz val="12"/>
        <rFont val="Times New Roman"/>
        <charset val="134"/>
      </rPr>
      <t>”</t>
    </r>
    <r>
      <rPr>
        <sz val="12"/>
        <rFont val="宋体"/>
        <charset val="134"/>
      </rPr>
      <t>清单，其中债券与同业投资部分与</t>
    </r>
    <r>
      <rPr>
        <sz val="12"/>
        <rFont val="Times New Roman"/>
        <charset val="134"/>
      </rPr>
      <t>1104</t>
    </r>
    <r>
      <rPr>
        <sz val="12"/>
        <rFont val="宋体"/>
        <charset val="134"/>
      </rPr>
      <t>报表</t>
    </r>
    <r>
      <rPr>
        <sz val="12"/>
        <rFont val="Times New Roman"/>
        <charset val="134"/>
      </rPr>
      <t>G31</t>
    </r>
    <r>
      <rPr>
        <sz val="12"/>
        <rFont val="宋体"/>
        <charset val="134"/>
      </rPr>
      <t>的产品种类一致，不可自定义修改。</t>
    </r>
  </si>
  <si>
    <t>010027</t>
  </si>
  <si>
    <r>
      <rPr>
        <sz val="12"/>
        <rFont val="宋体"/>
        <charset val="134"/>
      </rPr>
      <t>业务中类</t>
    </r>
  </si>
  <si>
    <t>Business middle class</t>
  </si>
  <si>
    <r>
      <rPr>
        <sz val="12"/>
        <rFont val="宋体"/>
        <charset val="134"/>
      </rPr>
      <t>同《自营报送范围》中的</t>
    </r>
    <r>
      <rPr>
        <sz val="12"/>
        <rFont val="Times New Roman"/>
        <charset val="134"/>
      </rPr>
      <t>“</t>
    </r>
    <r>
      <rPr>
        <sz val="12"/>
        <rFont val="宋体"/>
        <charset val="134"/>
      </rPr>
      <t>业务中类</t>
    </r>
    <r>
      <rPr>
        <sz val="12"/>
        <rFont val="Times New Roman"/>
        <charset val="134"/>
      </rPr>
      <t>”</t>
    </r>
    <r>
      <rPr>
        <sz val="12"/>
        <rFont val="宋体"/>
        <charset val="134"/>
      </rPr>
      <t>清单，其中债券与同业投资部分与</t>
    </r>
    <r>
      <rPr>
        <sz val="12"/>
        <rFont val="Times New Roman"/>
        <charset val="134"/>
      </rPr>
      <t>1104</t>
    </r>
    <r>
      <rPr>
        <sz val="12"/>
        <rFont val="宋体"/>
        <charset val="134"/>
      </rPr>
      <t>报表</t>
    </r>
    <r>
      <rPr>
        <sz val="12"/>
        <rFont val="Times New Roman"/>
        <charset val="134"/>
      </rPr>
      <t>G31</t>
    </r>
    <r>
      <rPr>
        <sz val="12"/>
        <rFont val="宋体"/>
        <charset val="134"/>
      </rPr>
      <t>的产品种类一致，不可自定义修改。</t>
    </r>
  </si>
  <si>
    <t>010028</t>
  </si>
  <si>
    <r>
      <rPr>
        <sz val="12"/>
        <rFont val="宋体"/>
        <charset val="134"/>
      </rPr>
      <t>业务小类</t>
    </r>
  </si>
  <si>
    <t>Business little class</t>
  </si>
  <si>
    <r>
      <rPr>
        <sz val="12"/>
        <rFont val="宋体"/>
        <charset val="134"/>
      </rPr>
      <t>同《自营报送范围》中的</t>
    </r>
    <r>
      <rPr>
        <sz val="12"/>
        <rFont val="Times New Roman"/>
        <charset val="134"/>
      </rPr>
      <t>“</t>
    </r>
    <r>
      <rPr>
        <sz val="12"/>
        <rFont val="宋体"/>
        <charset val="134"/>
      </rPr>
      <t>业务小类</t>
    </r>
    <r>
      <rPr>
        <sz val="12"/>
        <rFont val="Times New Roman"/>
        <charset val="134"/>
      </rPr>
      <t>”</t>
    </r>
    <r>
      <rPr>
        <sz val="12"/>
        <rFont val="宋体"/>
        <charset val="134"/>
      </rPr>
      <t>清单，其中债券与同业投资部分与</t>
    </r>
    <r>
      <rPr>
        <sz val="12"/>
        <rFont val="Times New Roman"/>
        <charset val="134"/>
      </rPr>
      <t>1104</t>
    </r>
    <r>
      <rPr>
        <sz val="12"/>
        <rFont val="宋体"/>
        <charset val="134"/>
      </rPr>
      <t>报表</t>
    </r>
    <r>
      <rPr>
        <sz val="12"/>
        <rFont val="Times New Roman"/>
        <charset val="134"/>
      </rPr>
      <t>G31</t>
    </r>
    <r>
      <rPr>
        <sz val="12"/>
        <rFont val="宋体"/>
        <charset val="134"/>
      </rPr>
      <t>的产品种类一致，不可自定义修改。</t>
    </r>
  </si>
  <si>
    <t>010029</t>
  </si>
  <si>
    <r>
      <rPr>
        <sz val="12"/>
        <rFont val="宋体"/>
        <charset val="134"/>
      </rPr>
      <t>交易资产编号</t>
    </r>
  </si>
  <si>
    <t>Base asset number</t>
  </si>
  <si>
    <t>010030</t>
  </si>
  <si>
    <r>
      <rPr>
        <sz val="12"/>
        <rFont val="宋体"/>
        <charset val="134"/>
      </rPr>
      <t>衍生品基础资产类型</t>
    </r>
  </si>
  <si>
    <t>Asset trading type</t>
  </si>
  <si>
    <r>
      <rPr>
        <sz val="12"/>
        <rFont val="宋体"/>
        <charset val="134"/>
      </rPr>
      <t>利率，汇率，商品，股权，信用，贵金属，指数，其他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其它</t>
    </r>
    <r>
      <rPr>
        <sz val="12"/>
        <rFont val="Times New Roman"/>
        <charset val="134"/>
      </rPr>
      <t>-XX”</t>
    </r>
    <r>
      <rPr>
        <sz val="12"/>
        <rFont val="宋体"/>
        <charset val="134"/>
      </rPr>
      <t>填报，其中</t>
    </r>
    <r>
      <rPr>
        <sz val="12"/>
        <rFont val="Times New Roman"/>
        <charset val="134"/>
      </rPr>
      <t>“XX”</t>
    </r>
    <r>
      <rPr>
        <sz val="12"/>
        <rFont val="宋体"/>
        <charset val="134"/>
      </rPr>
      <t>为银行自定义基础资产类型。</t>
    </r>
  </si>
  <si>
    <t>010031</t>
  </si>
  <si>
    <r>
      <rPr>
        <sz val="12"/>
        <rFont val="宋体"/>
        <charset val="134"/>
      </rPr>
      <t>衍生品基础资产名称</t>
    </r>
  </si>
  <si>
    <t>Asset trading name</t>
  </si>
  <si>
    <r>
      <rPr>
        <sz val="12"/>
        <rFont val="宋体"/>
        <charset val="134"/>
      </rPr>
      <t>决定衍生品价值的具体基础资产或指数名称，银行自定义，尽量采用市场通用名称，如</t>
    </r>
    <r>
      <rPr>
        <sz val="12"/>
        <rFont val="Times New Roman"/>
        <charset val="134"/>
      </rPr>
      <t>“LPR1Y”</t>
    </r>
    <r>
      <rPr>
        <sz val="12"/>
        <rFont val="宋体"/>
        <charset val="134"/>
      </rPr>
      <t>、</t>
    </r>
    <r>
      <rPr>
        <sz val="12"/>
        <rFont val="Times New Roman"/>
        <charset val="134"/>
      </rPr>
      <t>“USDCNY”</t>
    </r>
    <r>
      <rPr>
        <sz val="12"/>
        <rFont val="宋体"/>
        <charset val="134"/>
      </rPr>
      <t>。</t>
    </r>
  </si>
  <si>
    <t>010032</t>
  </si>
  <si>
    <r>
      <rPr>
        <sz val="12"/>
        <rFont val="宋体"/>
        <charset val="134"/>
      </rPr>
      <t>衍生品交易类型</t>
    </r>
  </si>
  <si>
    <t>Fund trading type</t>
  </si>
  <si>
    <r>
      <rPr>
        <sz val="12"/>
        <rFont val="宋体"/>
        <charset val="134"/>
      </rPr>
      <t>套期保值，代客，代客平盘，做市，自营，其他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其它</t>
    </r>
    <r>
      <rPr>
        <sz val="12"/>
        <rFont val="Times New Roman"/>
        <charset val="134"/>
      </rPr>
      <t>-XX”</t>
    </r>
    <r>
      <rPr>
        <sz val="12"/>
        <rFont val="宋体"/>
        <charset val="134"/>
      </rPr>
      <t>填报，其中</t>
    </r>
    <r>
      <rPr>
        <sz val="12"/>
        <rFont val="Times New Roman"/>
        <charset val="134"/>
      </rPr>
      <t>“XX”</t>
    </r>
    <r>
      <rPr>
        <sz val="12"/>
        <rFont val="宋体"/>
        <charset val="134"/>
      </rPr>
      <t>为银行自定义交易类型。</t>
    </r>
  </si>
  <si>
    <t>010033</t>
  </si>
  <si>
    <r>
      <rPr>
        <sz val="12"/>
        <rFont val="宋体"/>
        <charset val="134"/>
      </rPr>
      <t>合约种类</t>
    </r>
  </si>
  <si>
    <t>Contract trading type</t>
  </si>
  <si>
    <r>
      <rPr>
        <sz val="12"/>
        <rFont val="宋体"/>
        <charset val="134"/>
      </rPr>
      <t>即期，远期，期货，掉期，互换，期权，延期交收，其他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其它</t>
    </r>
    <r>
      <rPr>
        <sz val="12"/>
        <rFont val="Times New Roman"/>
        <charset val="134"/>
      </rPr>
      <t>-XX”</t>
    </r>
    <r>
      <rPr>
        <sz val="12"/>
        <rFont val="宋体"/>
        <charset val="134"/>
      </rPr>
      <t>填报，其中</t>
    </r>
    <r>
      <rPr>
        <sz val="12"/>
        <rFont val="Times New Roman"/>
        <charset val="134"/>
      </rPr>
      <t>“XX”</t>
    </r>
    <r>
      <rPr>
        <sz val="12"/>
        <rFont val="宋体"/>
        <charset val="134"/>
      </rPr>
      <t>为银行自定义交易合约种类。</t>
    </r>
  </si>
  <si>
    <t>010034</t>
  </si>
  <si>
    <r>
      <rPr>
        <sz val="12"/>
        <rFont val="宋体"/>
        <charset val="134"/>
      </rPr>
      <t>交易状态</t>
    </r>
  </si>
  <si>
    <t>Trading state</t>
  </si>
  <si>
    <r>
      <rPr>
        <sz val="12"/>
        <rFont val="宋体"/>
        <charset val="134"/>
      </rPr>
      <t>新增，终止，变更，估值，行权，其他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其它</t>
    </r>
    <r>
      <rPr>
        <sz val="12"/>
        <rFont val="Times New Roman"/>
        <charset val="134"/>
      </rPr>
      <t>-XX”</t>
    </r>
    <r>
      <rPr>
        <sz val="12"/>
        <rFont val="宋体"/>
        <charset val="134"/>
      </rPr>
      <t>填报，其中</t>
    </r>
    <r>
      <rPr>
        <sz val="12"/>
        <rFont val="Times New Roman"/>
        <charset val="134"/>
      </rPr>
      <t>“XX”</t>
    </r>
    <r>
      <rPr>
        <sz val="12"/>
        <rFont val="宋体"/>
        <charset val="134"/>
      </rPr>
      <t>为银行自定义交易状态。</t>
    </r>
  </si>
  <si>
    <t>010035</t>
  </si>
  <si>
    <r>
      <rPr>
        <sz val="12"/>
        <rFont val="宋体"/>
        <charset val="134"/>
      </rPr>
      <t>交割频率</t>
    </r>
  </si>
  <si>
    <t>Delivery frequency</t>
  </si>
  <si>
    <r>
      <rPr>
        <sz val="12"/>
        <rFont val="宋体"/>
        <charset val="134"/>
      </rPr>
      <t>同一笔交易两次交割之间的时间间隔。格式为</t>
    </r>
    <r>
      <rPr>
        <sz val="12"/>
        <rFont val="Times New Roman"/>
        <charset val="134"/>
      </rPr>
      <t>“{</t>
    </r>
    <r>
      <rPr>
        <sz val="12"/>
        <rFont val="宋体"/>
        <charset val="134"/>
      </rPr>
      <t>数字</t>
    </r>
    <r>
      <rPr>
        <sz val="12"/>
        <rFont val="Times New Roman"/>
        <charset val="134"/>
      </rPr>
      <t>}{</t>
    </r>
    <r>
      <rPr>
        <sz val="12"/>
        <rFont val="宋体"/>
        <charset val="134"/>
      </rPr>
      <t>单位</t>
    </r>
    <r>
      <rPr>
        <sz val="12"/>
        <rFont val="Times New Roman"/>
        <charset val="134"/>
      </rPr>
      <t>}”</t>
    </r>
    <r>
      <rPr>
        <sz val="12"/>
        <rFont val="宋体"/>
        <charset val="134"/>
      </rPr>
      <t>，其中单位为：天</t>
    </r>
    <r>
      <rPr>
        <sz val="12"/>
        <rFont val="Times New Roman"/>
        <charset val="134"/>
      </rPr>
      <t>-D</t>
    </r>
    <r>
      <rPr>
        <sz val="12"/>
        <rFont val="宋体"/>
        <charset val="134"/>
      </rPr>
      <t>、周</t>
    </r>
    <r>
      <rPr>
        <sz val="12"/>
        <rFont val="Times New Roman"/>
        <charset val="134"/>
      </rPr>
      <t>-W</t>
    </r>
    <r>
      <rPr>
        <sz val="12"/>
        <rFont val="宋体"/>
        <charset val="134"/>
      </rPr>
      <t>、月</t>
    </r>
    <r>
      <rPr>
        <sz val="12"/>
        <rFont val="Times New Roman"/>
        <charset val="134"/>
      </rPr>
      <t>-M</t>
    </r>
    <r>
      <rPr>
        <sz val="12"/>
        <rFont val="宋体"/>
        <charset val="134"/>
      </rPr>
      <t>，如：每</t>
    </r>
    <r>
      <rPr>
        <sz val="12"/>
        <rFont val="Times New Roman"/>
        <charset val="134"/>
      </rPr>
      <t>3</t>
    </r>
    <r>
      <rPr>
        <sz val="12"/>
        <rFont val="宋体"/>
        <charset val="134"/>
      </rPr>
      <t>个月交割一次，填报</t>
    </r>
    <r>
      <rPr>
        <sz val="12"/>
        <rFont val="Times New Roman"/>
        <charset val="134"/>
      </rPr>
      <t>“3M”</t>
    </r>
  </si>
  <si>
    <t>010036</t>
  </si>
  <si>
    <r>
      <rPr>
        <sz val="12"/>
        <rFont val="宋体"/>
        <charset val="134"/>
      </rPr>
      <t>交易单位</t>
    </r>
  </si>
  <si>
    <t>Tracsaction unit</t>
  </si>
  <si>
    <r>
      <rPr>
        <sz val="12"/>
        <rFont val="宋体"/>
        <charset val="134"/>
      </rPr>
      <t>交易通用单位。</t>
    </r>
  </si>
  <si>
    <t>010037</t>
  </si>
  <si>
    <r>
      <rPr>
        <sz val="12"/>
        <rFont val="宋体"/>
        <charset val="134"/>
      </rPr>
      <t>交易场所</t>
    </r>
  </si>
  <si>
    <t>Trading place</t>
  </si>
  <si>
    <r>
      <rPr>
        <sz val="12"/>
        <rFont val="宋体"/>
        <charset val="134"/>
      </rPr>
      <t>场内交易填报具体交易所名称全称，场外交易填报为</t>
    </r>
    <r>
      <rPr>
        <sz val="12"/>
        <rFont val="Times New Roman"/>
        <charset val="134"/>
      </rPr>
      <t>“</t>
    </r>
    <r>
      <rPr>
        <sz val="12"/>
        <rFont val="宋体"/>
        <charset val="134"/>
      </rPr>
      <t>场外</t>
    </r>
    <r>
      <rPr>
        <sz val="12"/>
        <rFont val="Times New Roman"/>
        <charset val="134"/>
      </rPr>
      <t>”</t>
    </r>
    <r>
      <rPr>
        <sz val="12"/>
        <rFont val="宋体"/>
        <charset val="134"/>
      </rPr>
      <t>。</t>
    </r>
  </si>
  <si>
    <t>010038</t>
  </si>
  <si>
    <r>
      <rPr>
        <sz val="12"/>
        <rFont val="宋体"/>
        <charset val="134"/>
      </rPr>
      <t>交割方式</t>
    </r>
  </si>
  <si>
    <t>Delivery methods</t>
  </si>
  <si>
    <r>
      <rPr>
        <sz val="12"/>
        <rFont val="宋体"/>
        <charset val="134"/>
      </rPr>
      <t>全额，差额，净额，其他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其它</t>
    </r>
    <r>
      <rPr>
        <sz val="12"/>
        <rFont val="Times New Roman"/>
        <charset val="134"/>
      </rPr>
      <t>-XX”</t>
    </r>
    <r>
      <rPr>
        <sz val="12"/>
        <rFont val="宋体"/>
        <charset val="134"/>
      </rPr>
      <t>填报，其中</t>
    </r>
    <r>
      <rPr>
        <sz val="12"/>
        <rFont val="Times New Roman"/>
        <charset val="134"/>
      </rPr>
      <t>“XX”</t>
    </r>
    <r>
      <rPr>
        <sz val="12"/>
        <rFont val="宋体"/>
        <charset val="134"/>
      </rPr>
      <t>为银行自定义交割方式。</t>
    </r>
  </si>
  <si>
    <t>010039</t>
  </si>
  <si>
    <r>
      <rPr>
        <sz val="12"/>
        <rFont val="宋体"/>
        <charset val="134"/>
      </rPr>
      <t>期权类型</t>
    </r>
  </si>
  <si>
    <t>Option type</t>
  </si>
  <si>
    <r>
      <rPr>
        <sz val="12"/>
        <rFont val="宋体"/>
        <charset val="134"/>
      </rPr>
      <t>看涨，看跌，上限，下限，其他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其它</t>
    </r>
    <r>
      <rPr>
        <sz val="12"/>
        <rFont val="Times New Roman"/>
        <charset val="134"/>
      </rPr>
      <t>-XX”</t>
    </r>
    <r>
      <rPr>
        <sz val="12"/>
        <rFont val="宋体"/>
        <charset val="134"/>
      </rPr>
      <t>填报，其中</t>
    </r>
    <r>
      <rPr>
        <sz val="12"/>
        <rFont val="Times New Roman"/>
        <charset val="134"/>
      </rPr>
      <t>“XX”</t>
    </r>
    <r>
      <rPr>
        <sz val="12"/>
        <rFont val="宋体"/>
        <charset val="134"/>
      </rPr>
      <t>为银行自定义期权类型。</t>
    </r>
  </si>
  <si>
    <t>010040</t>
  </si>
  <si>
    <r>
      <rPr>
        <sz val="12"/>
        <rFont val="宋体"/>
        <charset val="134"/>
      </rPr>
      <t>投向类型</t>
    </r>
  </si>
  <si>
    <t>Invest type</t>
  </si>
  <si>
    <r>
      <rPr>
        <sz val="12"/>
        <rFont val="宋体"/>
        <charset val="134"/>
      </rPr>
      <t>按照</t>
    </r>
    <r>
      <rPr>
        <sz val="12"/>
        <rFont val="Times New Roman"/>
        <charset val="134"/>
      </rPr>
      <t>1104</t>
    </r>
    <r>
      <rPr>
        <sz val="12"/>
        <rFont val="宋体"/>
        <charset val="134"/>
      </rPr>
      <t>报表</t>
    </r>
    <r>
      <rPr>
        <sz val="12"/>
        <rFont val="Times New Roman"/>
        <charset val="134"/>
      </rPr>
      <t>G31</t>
    </r>
    <r>
      <rPr>
        <sz val="12"/>
        <rFont val="宋体"/>
        <charset val="134"/>
      </rPr>
      <t>标准填写穿透后的最终投向。当业务中类为私募基金投资、资产管理产品投资和其他投资时必填。其他业务类型允许为空。</t>
    </r>
  </si>
  <si>
    <t>010041</t>
  </si>
  <si>
    <r>
      <rPr>
        <sz val="12"/>
        <rFont val="宋体"/>
        <charset val="134"/>
      </rPr>
      <t>信用风险权重</t>
    </r>
  </si>
  <si>
    <t>Credit risk weight</t>
  </si>
  <si>
    <r>
      <rPr>
        <sz val="12"/>
        <rFont val="宋体"/>
        <charset val="134"/>
      </rPr>
      <t>信用风险加权资产计算权重，填写风险缓释后加权平均权重（即</t>
    </r>
    <r>
      <rPr>
        <sz val="12"/>
        <rFont val="Times New Roman"/>
        <charset val="134"/>
      </rPr>
      <t>G4B-1</t>
    </r>
    <r>
      <rPr>
        <sz val="12"/>
        <rFont val="宋体"/>
        <charset val="134"/>
      </rPr>
      <t>表中的风险加权资产比例）。业务如可穿透管理则填写加权平均权重。</t>
    </r>
  </si>
  <si>
    <t>010042</t>
  </si>
  <si>
    <r>
      <rPr>
        <sz val="12"/>
        <rFont val="宋体"/>
        <charset val="134"/>
      </rPr>
      <t>产品状态</t>
    </r>
  </si>
  <si>
    <t>Product status</t>
  </si>
  <si>
    <r>
      <rPr>
        <sz val="12"/>
        <rFont val="宋体"/>
        <charset val="134"/>
      </rPr>
      <t>已发行登记，已募集登记，已终止登记。</t>
    </r>
  </si>
  <si>
    <t>010043</t>
  </si>
  <si>
    <r>
      <rPr>
        <sz val="12"/>
        <rFont val="宋体"/>
        <charset val="134"/>
      </rPr>
      <t>净值</t>
    </r>
  </si>
  <si>
    <t>Net value</t>
  </si>
  <si>
    <r>
      <rPr>
        <sz val="12"/>
        <rFont val="宋体"/>
        <charset val="134"/>
      </rPr>
      <t>理财产品份额的单位价值。</t>
    </r>
  </si>
  <si>
    <t>010044</t>
  </si>
  <si>
    <r>
      <rPr>
        <sz val="12"/>
        <rFont val="宋体"/>
        <charset val="134"/>
      </rPr>
      <t>开放模式</t>
    </r>
  </si>
  <si>
    <t>Type of open-end period</t>
  </si>
  <si>
    <r>
      <rPr>
        <sz val="12"/>
        <rFont val="宋体"/>
        <charset val="134"/>
      </rPr>
      <t>有规律开放，无规律开放。</t>
    </r>
  </si>
  <si>
    <t>010045</t>
  </si>
  <si>
    <r>
      <rPr>
        <sz val="12"/>
        <rFont val="宋体"/>
        <charset val="134"/>
      </rPr>
      <t>规律开放周期</t>
    </r>
  </si>
  <si>
    <t>Open-end period interval</t>
  </si>
  <si>
    <r>
      <rPr>
        <sz val="12"/>
        <rFont val="宋体"/>
        <charset val="134"/>
      </rPr>
      <t>每天开放，每周开放一次，每两周开放一次，每月开放一次，每季度开放一次，每半年开放一次，每年开放一次，其他规律开放周期。</t>
    </r>
  </si>
  <si>
    <t>010046</t>
  </si>
  <si>
    <r>
      <rPr>
        <sz val="12"/>
        <rFont val="宋体"/>
        <charset val="134"/>
      </rPr>
      <t>天数</t>
    </r>
  </si>
  <si>
    <t>Number of days</t>
  </si>
  <si>
    <r>
      <rPr>
        <sz val="12"/>
        <rFont val="宋体"/>
        <charset val="134"/>
      </rPr>
      <t>以天为单位计的时间长度。</t>
    </r>
  </si>
  <si>
    <t>010047</t>
  </si>
  <si>
    <r>
      <rPr>
        <sz val="12"/>
        <rFont val="宋体"/>
        <charset val="134"/>
      </rPr>
      <t>平均开放次数</t>
    </r>
  </si>
  <si>
    <t>Number of open-end periods</t>
  </si>
  <si>
    <r>
      <rPr>
        <sz val="12"/>
        <rFont val="宋体"/>
        <charset val="134"/>
      </rPr>
      <t>在一个年度内开放的次数。</t>
    </r>
  </si>
  <si>
    <t>010048</t>
  </si>
  <si>
    <r>
      <rPr>
        <sz val="12"/>
        <rFont val="宋体"/>
        <charset val="134"/>
      </rPr>
      <t>开放期业务类型</t>
    </r>
  </si>
  <si>
    <t>Option of open-end period</t>
  </si>
  <si>
    <r>
      <rPr>
        <sz val="12"/>
        <rFont val="宋体"/>
        <charset val="134"/>
      </rPr>
      <t>申赎皆可，仅可申购无限制，仅可赎回无限制，仅可申购有限制，仅可赎回有限制，其他。</t>
    </r>
  </si>
  <si>
    <t>010049</t>
  </si>
  <si>
    <r>
      <rPr>
        <sz val="12"/>
        <rFont val="宋体"/>
        <charset val="134"/>
      </rPr>
      <t>产品募集方式</t>
    </r>
  </si>
  <si>
    <t>Type of placement</t>
  </si>
  <si>
    <r>
      <rPr>
        <sz val="12"/>
        <rFont val="宋体"/>
        <charset val="134"/>
      </rPr>
      <t>公募，私募。</t>
    </r>
  </si>
  <si>
    <t>010050</t>
  </si>
  <si>
    <r>
      <rPr>
        <sz val="12"/>
        <rFont val="宋体"/>
        <charset val="134"/>
      </rPr>
      <t>产品投资性质</t>
    </r>
  </si>
  <si>
    <t>Type of portfolio</t>
  </si>
  <si>
    <r>
      <rPr>
        <sz val="12"/>
        <rFont val="宋体"/>
        <charset val="134"/>
      </rPr>
      <t>固收类，权益类，商品及衍生品类，混合类。</t>
    </r>
  </si>
  <si>
    <t>010051</t>
  </si>
  <si>
    <r>
      <rPr>
        <sz val="12"/>
        <rFont val="宋体"/>
        <charset val="134"/>
      </rPr>
      <t>挂钩标的</t>
    </r>
  </si>
  <si>
    <t>Linked subject</t>
  </si>
  <si>
    <r>
      <rPr>
        <sz val="12"/>
        <rFont val="宋体"/>
        <charset val="134"/>
      </rPr>
      <t>利率，汇率，股票，农产品，大宗商品，贵金属，债券，指数，基金，另类资产，期货，期权，远期，互换，复合金融衍生品，其他。</t>
    </r>
  </si>
  <si>
    <t>010052</t>
  </si>
  <si>
    <r>
      <rPr>
        <sz val="12"/>
        <rFont val="宋体"/>
        <charset val="134"/>
      </rPr>
      <t>直接或间接标志</t>
    </r>
  </si>
  <si>
    <t>Direct or indirect</t>
  </si>
  <si>
    <r>
      <rPr>
        <sz val="12"/>
        <rFont val="宋体"/>
        <charset val="134"/>
      </rPr>
      <t>直接，间接。</t>
    </r>
  </si>
  <si>
    <t>010053</t>
  </si>
  <si>
    <r>
      <rPr>
        <sz val="12"/>
        <rFont val="宋体"/>
        <charset val="134"/>
      </rPr>
      <t>编码</t>
    </r>
  </si>
  <si>
    <t>Serial number</t>
  </si>
  <si>
    <r>
      <rPr>
        <sz val="12"/>
        <rFont val="宋体"/>
        <charset val="134"/>
      </rPr>
      <t>银行自定义的代码。</t>
    </r>
  </si>
  <si>
    <t>010054</t>
  </si>
  <si>
    <r>
      <rPr>
        <sz val="12"/>
        <rFont val="宋体"/>
        <charset val="134"/>
      </rPr>
      <t>资产类别（一级）</t>
    </r>
  </si>
  <si>
    <t>Type of asset (Tier 1)</t>
  </si>
  <si>
    <r>
      <rPr>
        <sz val="12"/>
        <rFont val="宋体"/>
        <charset val="134"/>
      </rPr>
      <t>所属资产类别（一级分类）。</t>
    </r>
  </si>
  <si>
    <t>010055</t>
  </si>
  <si>
    <r>
      <rPr>
        <sz val="12"/>
        <rFont val="宋体"/>
        <charset val="134"/>
      </rPr>
      <t>资产类别（二级）</t>
    </r>
  </si>
  <si>
    <t>Type of asset (Tier 2)</t>
  </si>
  <si>
    <r>
      <rPr>
        <sz val="12"/>
        <rFont val="宋体"/>
        <charset val="134"/>
      </rPr>
      <t>所属资产类别（二级分类）。</t>
    </r>
  </si>
  <si>
    <t>010056</t>
  </si>
  <si>
    <r>
      <rPr>
        <sz val="12"/>
        <rFont val="宋体"/>
        <charset val="134"/>
      </rPr>
      <t>资产类别（三级）</t>
    </r>
  </si>
  <si>
    <t>Type of asset (Tier 3)</t>
  </si>
  <si>
    <r>
      <rPr>
        <sz val="12"/>
        <rFont val="宋体"/>
        <charset val="134"/>
      </rPr>
      <t>所属资产类别（三级分类）。</t>
    </r>
  </si>
  <si>
    <t>010057</t>
  </si>
  <si>
    <r>
      <rPr>
        <sz val="12"/>
        <rFont val="宋体"/>
        <charset val="134"/>
      </rPr>
      <t>流通场所</t>
    </r>
  </si>
  <si>
    <t>Trading exchange</t>
  </si>
  <si>
    <r>
      <rPr>
        <sz val="12"/>
        <rFont val="宋体"/>
        <charset val="134"/>
      </rPr>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r>
  </si>
  <si>
    <t>010058</t>
  </si>
  <si>
    <r>
      <rPr>
        <sz val="12"/>
        <rFont val="宋体"/>
        <charset val="134"/>
      </rPr>
      <t>收</t>
    </r>
    <r>
      <rPr>
        <sz val="12"/>
        <rFont val="Times New Roman"/>
        <charset val="134"/>
      </rPr>
      <t>/</t>
    </r>
    <r>
      <rPr>
        <sz val="12"/>
        <rFont val="宋体"/>
        <charset val="134"/>
      </rPr>
      <t>受益权类型</t>
    </r>
  </si>
  <si>
    <t>Type of usufruct</t>
  </si>
  <si>
    <r>
      <rPr>
        <sz val="12"/>
        <rFont val="宋体"/>
        <charset val="134"/>
      </rPr>
      <t>信托贷款，信贷资产转让，委托债权，应收账款，带回购条款的股权性融资，私募债权，融资融券，证券公司受益凭证，委托贷款，其他。</t>
    </r>
  </si>
  <si>
    <t>010059</t>
  </si>
  <si>
    <r>
      <rPr>
        <sz val="12"/>
        <rFont val="宋体"/>
        <charset val="134"/>
      </rPr>
      <t>月数</t>
    </r>
  </si>
  <si>
    <t>Number of months</t>
  </si>
  <si>
    <r>
      <rPr>
        <sz val="12"/>
        <rFont val="宋体"/>
        <charset val="134"/>
      </rPr>
      <t>以月为单位计的时间长度。</t>
    </r>
  </si>
  <si>
    <t>010060</t>
  </si>
  <si>
    <r>
      <rPr>
        <sz val="12"/>
        <rFont val="宋体"/>
        <charset val="134"/>
      </rPr>
      <t>计息基础</t>
    </r>
  </si>
  <si>
    <t>Day-count basis</t>
  </si>
  <si>
    <r>
      <rPr>
        <sz val="12"/>
        <rFont val="Times New Roman"/>
        <charset val="134"/>
      </rPr>
      <t>ACT/366</t>
    </r>
    <r>
      <rPr>
        <sz val="12"/>
        <rFont val="宋体"/>
        <charset val="134"/>
      </rPr>
      <t>，</t>
    </r>
    <r>
      <rPr>
        <sz val="12"/>
        <rFont val="Times New Roman"/>
        <charset val="134"/>
      </rPr>
      <t>ACT/360</t>
    </r>
    <r>
      <rPr>
        <sz val="12"/>
        <rFont val="宋体"/>
        <charset val="134"/>
      </rPr>
      <t>，</t>
    </r>
    <r>
      <rPr>
        <sz val="12"/>
        <rFont val="Times New Roman"/>
        <charset val="134"/>
      </rPr>
      <t>ACT/365</t>
    </r>
    <r>
      <rPr>
        <sz val="12"/>
        <rFont val="宋体"/>
        <charset val="134"/>
      </rPr>
      <t>，</t>
    </r>
    <r>
      <rPr>
        <sz val="12"/>
        <rFont val="Times New Roman"/>
        <charset val="134"/>
      </rPr>
      <t>ACT/ACT</t>
    </r>
    <r>
      <rPr>
        <sz val="12"/>
        <rFont val="宋体"/>
        <charset val="134"/>
      </rPr>
      <t>，</t>
    </r>
    <r>
      <rPr>
        <sz val="12"/>
        <rFont val="Times New Roman"/>
        <charset val="134"/>
      </rPr>
      <t>30/360</t>
    </r>
  </si>
  <si>
    <t>010061</t>
  </si>
  <si>
    <r>
      <rPr>
        <sz val="12"/>
        <rFont val="宋体"/>
        <charset val="134"/>
      </rPr>
      <t>基准利率种类</t>
    </r>
  </si>
  <si>
    <t>Type of benchmark interest rate</t>
  </si>
  <si>
    <r>
      <rPr>
        <sz val="12"/>
        <rFont val="宋体"/>
        <charset val="134"/>
      </rPr>
      <t>一年期定期存款利率，七天回购利率（</t>
    </r>
    <r>
      <rPr>
        <sz val="12"/>
        <rFont val="Times New Roman"/>
        <charset val="134"/>
      </rPr>
      <t>2W</t>
    </r>
    <r>
      <rPr>
        <sz val="12"/>
        <rFont val="宋体"/>
        <charset val="134"/>
      </rPr>
      <t>），七天回购利率</t>
    </r>
    <r>
      <rPr>
        <sz val="12"/>
        <rFont val="Times New Roman"/>
        <charset val="134"/>
      </rPr>
      <t>(1M)</t>
    </r>
    <r>
      <rPr>
        <sz val="12"/>
        <rFont val="宋体"/>
        <charset val="134"/>
      </rPr>
      <t>，</t>
    </r>
    <r>
      <rPr>
        <sz val="12"/>
        <rFont val="Times New Roman"/>
        <charset val="134"/>
      </rPr>
      <t>6M-USD-LIBOR-BBA</t>
    </r>
    <r>
      <rPr>
        <sz val="12"/>
        <rFont val="宋体"/>
        <charset val="134"/>
      </rPr>
      <t>，</t>
    </r>
    <r>
      <rPr>
        <sz val="12"/>
        <rFont val="Times New Roman"/>
        <charset val="134"/>
      </rPr>
      <t>7</t>
    </r>
    <r>
      <rPr>
        <sz val="12"/>
        <rFont val="宋体"/>
        <charset val="134"/>
      </rPr>
      <t>天回购定盘利率</t>
    </r>
    <r>
      <rPr>
        <sz val="12"/>
        <rFont val="Times New Roman"/>
        <charset val="134"/>
      </rPr>
      <t>FR007</t>
    </r>
    <r>
      <rPr>
        <sz val="12"/>
        <rFont val="宋体"/>
        <charset val="134"/>
      </rPr>
      <t>，</t>
    </r>
    <r>
      <rPr>
        <sz val="12"/>
        <rFont val="Times New Roman"/>
        <charset val="134"/>
      </rPr>
      <t>SHIBOR-3M-10</t>
    </r>
    <r>
      <rPr>
        <sz val="12"/>
        <rFont val="宋体"/>
        <charset val="134"/>
      </rPr>
      <t>，</t>
    </r>
    <r>
      <rPr>
        <sz val="12"/>
        <rFont val="Times New Roman"/>
        <charset val="134"/>
      </rPr>
      <t>SHIBOR-3M-5</t>
    </r>
    <r>
      <rPr>
        <sz val="12"/>
        <rFont val="宋体"/>
        <charset val="134"/>
      </rPr>
      <t>，</t>
    </r>
    <r>
      <rPr>
        <sz val="12"/>
        <rFont val="Times New Roman"/>
        <charset val="134"/>
      </rPr>
      <t>SHIBOR-1W-120</t>
    </r>
    <r>
      <rPr>
        <sz val="12"/>
        <rFont val="宋体"/>
        <charset val="134"/>
      </rPr>
      <t>，</t>
    </r>
    <r>
      <rPr>
        <sz val="12"/>
        <rFont val="Times New Roman"/>
        <charset val="134"/>
      </rPr>
      <t>SHIBOR-1Y-10</t>
    </r>
    <r>
      <rPr>
        <sz val="12"/>
        <rFont val="宋体"/>
        <charset val="134"/>
      </rPr>
      <t>，</t>
    </r>
    <r>
      <rPr>
        <sz val="12"/>
        <rFont val="Times New Roman"/>
        <charset val="134"/>
      </rPr>
      <t>SHIBOR-3M-120</t>
    </r>
    <r>
      <rPr>
        <sz val="12"/>
        <rFont val="宋体"/>
        <charset val="134"/>
      </rPr>
      <t>，</t>
    </r>
    <r>
      <rPr>
        <sz val="12"/>
        <rFont val="Times New Roman"/>
        <charset val="134"/>
      </rPr>
      <t>SHIBOR-1Y-20</t>
    </r>
    <r>
      <rPr>
        <sz val="12"/>
        <rFont val="宋体"/>
        <charset val="134"/>
      </rPr>
      <t>，</t>
    </r>
    <r>
      <rPr>
        <sz val="12"/>
        <rFont val="Times New Roman"/>
        <charset val="134"/>
      </rPr>
      <t>SHIBOR-6M-5</t>
    </r>
    <r>
      <rPr>
        <sz val="12"/>
        <rFont val="宋体"/>
        <charset val="134"/>
      </rPr>
      <t>，</t>
    </r>
    <r>
      <rPr>
        <sz val="12"/>
        <rFont val="Times New Roman"/>
        <charset val="134"/>
      </rPr>
      <t>SHIBOR-6M-20</t>
    </r>
    <r>
      <rPr>
        <sz val="12"/>
        <rFont val="宋体"/>
        <charset val="134"/>
      </rPr>
      <t>，半年定期存款利率，</t>
    </r>
    <r>
      <rPr>
        <sz val="12"/>
        <rFont val="Times New Roman"/>
        <charset val="134"/>
      </rPr>
      <t>SHIBOR-1Y-30</t>
    </r>
    <r>
      <rPr>
        <sz val="12"/>
        <rFont val="宋体"/>
        <charset val="134"/>
      </rPr>
      <t>，</t>
    </r>
    <r>
      <rPr>
        <sz val="12"/>
        <rFont val="Times New Roman"/>
        <charset val="134"/>
      </rPr>
      <t>SHIBOR-6M-7</t>
    </r>
    <r>
      <rPr>
        <sz val="12"/>
        <rFont val="宋体"/>
        <charset val="134"/>
      </rPr>
      <t>，</t>
    </r>
    <r>
      <rPr>
        <sz val="12"/>
        <rFont val="Times New Roman"/>
        <charset val="134"/>
      </rPr>
      <t>SHIBOR-1Y-5</t>
    </r>
    <r>
      <rPr>
        <sz val="12"/>
        <rFont val="宋体"/>
        <charset val="134"/>
      </rPr>
      <t>，三个月定存，</t>
    </r>
    <r>
      <rPr>
        <sz val="12"/>
        <rFont val="Times New Roman"/>
        <charset val="134"/>
      </rPr>
      <t>SHIBOR-1Y-15</t>
    </r>
    <r>
      <rPr>
        <sz val="12"/>
        <rFont val="宋体"/>
        <charset val="134"/>
      </rPr>
      <t>，</t>
    </r>
    <r>
      <rPr>
        <sz val="12"/>
        <rFont val="Times New Roman"/>
        <charset val="134"/>
      </rPr>
      <t>3M-USD-LIBOR-BBA</t>
    </r>
    <r>
      <rPr>
        <sz val="12"/>
        <rFont val="宋体"/>
        <charset val="134"/>
      </rPr>
      <t>，六个月以内（含六个月）贷款利率，六个月至一年</t>
    </r>
    <r>
      <rPr>
        <sz val="12"/>
        <rFont val="Times New Roman"/>
        <charset val="134"/>
      </rPr>
      <t>(</t>
    </r>
    <r>
      <rPr>
        <sz val="12"/>
        <rFont val="宋体"/>
        <charset val="134"/>
      </rPr>
      <t>含一年</t>
    </r>
    <r>
      <rPr>
        <sz val="12"/>
        <rFont val="Times New Roman"/>
        <charset val="134"/>
      </rPr>
      <t>)</t>
    </r>
    <r>
      <rPr>
        <sz val="12"/>
        <rFont val="宋体"/>
        <charset val="134"/>
      </rPr>
      <t>贷款利率，一年以内（含一年）贷款利率，一至三年</t>
    </r>
    <r>
      <rPr>
        <sz val="12"/>
        <rFont val="Times New Roman"/>
        <charset val="134"/>
      </rPr>
      <t>(</t>
    </r>
    <r>
      <rPr>
        <sz val="12"/>
        <rFont val="宋体"/>
        <charset val="134"/>
      </rPr>
      <t>含三年</t>
    </r>
    <r>
      <rPr>
        <sz val="12"/>
        <rFont val="Times New Roman"/>
        <charset val="134"/>
      </rPr>
      <t>)</t>
    </r>
    <r>
      <rPr>
        <sz val="12"/>
        <rFont val="宋体"/>
        <charset val="134"/>
      </rPr>
      <t>贷款利率，三至五年</t>
    </r>
    <r>
      <rPr>
        <sz val="12"/>
        <rFont val="Times New Roman"/>
        <charset val="134"/>
      </rPr>
      <t>(</t>
    </r>
    <r>
      <rPr>
        <sz val="12"/>
        <rFont val="宋体"/>
        <charset val="134"/>
      </rPr>
      <t>含五年</t>
    </r>
    <r>
      <rPr>
        <sz val="12"/>
        <rFont val="Times New Roman"/>
        <charset val="134"/>
      </rPr>
      <t>)</t>
    </r>
    <r>
      <rPr>
        <sz val="12"/>
        <rFont val="宋体"/>
        <charset val="134"/>
      </rPr>
      <t>贷款利率，一至五年（含五年）贷款利率，五年以上贷款利率，其他。</t>
    </r>
  </si>
  <si>
    <t>010062</t>
  </si>
  <si>
    <r>
      <rPr>
        <sz val="12"/>
        <rFont val="宋体"/>
        <charset val="134"/>
      </rPr>
      <t>类型（按规模划分）</t>
    </r>
  </si>
  <si>
    <t>Type (Scale)</t>
  </si>
  <si>
    <r>
      <rPr>
        <sz val="12"/>
        <rFont val="宋体"/>
        <charset val="134"/>
      </rPr>
      <t>中小微企业，大型企业，其他。</t>
    </r>
  </si>
  <si>
    <t xml:space="preserve">C..30 </t>
  </si>
  <si>
    <t>010063</t>
  </si>
  <si>
    <r>
      <rPr>
        <sz val="12"/>
        <rFont val="宋体"/>
        <charset val="134"/>
      </rPr>
      <t>类型（按技术领域划分）</t>
    </r>
  </si>
  <si>
    <t>Type (Tech)</t>
  </si>
  <si>
    <r>
      <rPr>
        <sz val="12"/>
        <rFont val="宋体"/>
        <charset val="134"/>
      </rPr>
      <t>高新技术企业，其他。</t>
    </r>
  </si>
  <si>
    <t>010064</t>
  </si>
  <si>
    <r>
      <rPr>
        <sz val="12"/>
        <rFont val="宋体"/>
        <charset val="134"/>
      </rPr>
      <t>类型（按经济类型划分）</t>
    </r>
  </si>
  <si>
    <t>Type (Ownership)</t>
  </si>
  <si>
    <r>
      <rPr>
        <sz val="12"/>
        <rFont val="宋体"/>
        <charset val="134"/>
      </rPr>
      <t>国有企业，集体企业，私营企业，其他。</t>
    </r>
  </si>
  <si>
    <t>010065</t>
  </si>
  <si>
    <r>
      <rPr>
        <sz val="12"/>
        <rFont val="宋体"/>
        <charset val="134"/>
      </rPr>
      <t>重点监控类别</t>
    </r>
  </si>
  <si>
    <t>Type (Monitoring)</t>
  </si>
  <si>
    <r>
      <rPr>
        <sz val="12"/>
        <rFont val="宋体"/>
        <charset val="134"/>
      </rPr>
      <t>房地产（保障房除外），地方政府融资平台，</t>
    </r>
    <r>
      <rPr>
        <sz val="12"/>
        <rFont val="Times New Roman"/>
        <charset val="134"/>
      </rPr>
      <t>“</t>
    </r>
    <r>
      <rPr>
        <sz val="12"/>
        <rFont val="宋体"/>
        <charset val="134"/>
      </rPr>
      <t>铁公基</t>
    </r>
    <r>
      <rPr>
        <sz val="12"/>
        <rFont val="Times New Roman"/>
        <charset val="134"/>
      </rPr>
      <t>”</t>
    </r>
    <r>
      <rPr>
        <sz val="12"/>
        <rFont val="宋体"/>
        <charset val="134"/>
      </rPr>
      <t>行业，</t>
    </r>
    <r>
      <rPr>
        <sz val="12"/>
        <rFont val="Times New Roman"/>
        <charset val="134"/>
      </rPr>
      <t>“</t>
    </r>
    <r>
      <rPr>
        <sz val="12"/>
        <rFont val="宋体"/>
        <charset val="134"/>
      </rPr>
      <t>两高一剩</t>
    </r>
    <r>
      <rPr>
        <sz val="12"/>
        <rFont val="Times New Roman"/>
        <charset val="134"/>
      </rPr>
      <t>”</t>
    </r>
    <r>
      <rPr>
        <sz val="12"/>
        <rFont val="宋体"/>
        <charset val="134"/>
      </rPr>
      <t>行业，其他。</t>
    </r>
  </si>
  <si>
    <t>010066</t>
  </si>
  <si>
    <r>
      <rPr>
        <sz val="12"/>
        <rFont val="宋体"/>
        <charset val="134"/>
      </rPr>
      <t>单价</t>
    </r>
  </si>
  <si>
    <t>Unit price</t>
  </si>
  <si>
    <r>
      <rPr>
        <sz val="12"/>
        <rFont val="宋体"/>
        <charset val="134"/>
      </rPr>
      <t>单位价格。</t>
    </r>
  </si>
  <si>
    <t>010067</t>
  </si>
  <si>
    <r>
      <rPr>
        <sz val="12"/>
        <rFont val="宋体"/>
        <charset val="134"/>
      </rPr>
      <t>层级类别</t>
    </r>
  </si>
  <si>
    <t>Type of tier</t>
  </si>
  <si>
    <r>
      <rPr>
        <sz val="12"/>
        <rFont val="宋体"/>
        <charset val="134"/>
      </rPr>
      <t>优先层级一，优先层级二，优先层级三，优先层级四，优先层级五，进取层级一，进取层级二，进取层级三，进取层级四，进取层级五。</t>
    </r>
  </si>
  <si>
    <t>010068</t>
  </si>
  <si>
    <r>
      <rPr>
        <sz val="12"/>
        <rFont val="宋体"/>
        <charset val="134"/>
      </rPr>
      <t>统一代码</t>
    </r>
  </si>
  <si>
    <t>Universal code</t>
  </si>
  <si>
    <r>
      <rPr>
        <sz val="12"/>
        <rFont val="宋体"/>
        <charset val="134"/>
      </rPr>
      <t>按照一定规则编制的，具有公开性、唯一性的资产编码</t>
    </r>
  </si>
  <si>
    <t>010069</t>
  </si>
  <si>
    <r>
      <rPr>
        <sz val="12"/>
        <rFont val="宋体"/>
        <charset val="134"/>
      </rPr>
      <t>资产或交易登记编码</t>
    </r>
  </si>
  <si>
    <t>Asset registration code</t>
  </si>
  <si>
    <r>
      <rPr>
        <sz val="12"/>
        <rFont val="宋体"/>
        <charset val="134"/>
      </rPr>
      <t>登记机构赋予资产或交易的标识码。</t>
    </r>
  </si>
  <si>
    <t>010070</t>
  </si>
  <si>
    <r>
      <rPr>
        <sz val="12"/>
        <rFont val="宋体"/>
        <charset val="134"/>
      </rPr>
      <t>中间层资产类型</t>
    </r>
  </si>
  <si>
    <t>Type of intermediate asset</t>
  </si>
  <si>
    <r>
      <rPr>
        <sz val="12"/>
        <rFont val="宋体"/>
        <charset val="134"/>
      </rPr>
      <t>私募证券投资基金，私募股权投资基金，创业投资基金，其他私募投资基金，私募证券类</t>
    </r>
    <r>
      <rPr>
        <sz val="12"/>
        <rFont val="Times New Roman"/>
        <charset val="134"/>
      </rPr>
      <t>FOF</t>
    </r>
    <r>
      <rPr>
        <sz val="12"/>
        <rFont val="宋体"/>
        <charset val="134"/>
      </rPr>
      <t>基金，私募股权投资类</t>
    </r>
    <r>
      <rPr>
        <sz val="12"/>
        <rFont val="Times New Roman"/>
        <charset val="134"/>
      </rPr>
      <t>FOF</t>
    </r>
    <r>
      <rPr>
        <sz val="12"/>
        <rFont val="宋体"/>
        <charset val="134"/>
      </rPr>
      <t>基金，创业投资类</t>
    </r>
    <r>
      <rPr>
        <sz val="12"/>
        <rFont val="Times New Roman"/>
        <charset val="134"/>
      </rPr>
      <t>FOF</t>
    </r>
    <r>
      <rPr>
        <sz val="12"/>
        <rFont val="宋体"/>
        <charset val="134"/>
      </rPr>
      <t>基金，其他私募投资类</t>
    </r>
    <r>
      <rPr>
        <sz val="12"/>
        <rFont val="Times New Roman"/>
        <charset val="134"/>
      </rPr>
      <t>FOF</t>
    </r>
    <r>
      <rPr>
        <sz val="12"/>
        <rFont val="宋体"/>
        <charset val="134"/>
      </rPr>
      <t>基金，信托产品，券商资产管理产品，基金资产管理产品，期货资产管理产品，保险资产管理产品，其他资产管理产品，协议委外</t>
    </r>
    <r>
      <rPr>
        <sz val="12"/>
        <rFont val="Times New Roman"/>
        <charset val="134"/>
      </rPr>
      <t>-</t>
    </r>
    <r>
      <rPr>
        <sz val="12"/>
        <rFont val="宋体"/>
        <charset val="134"/>
      </rPr>
      <t>银行，协议委外</t>
    </r>
    <r>
      <rPr>
        <sz val="12"/>
        <rFont val="Times New Roman"/>
        <charset val="134"/>
      </rPr>
      <t>-</t>
    </r>
    <r>
      <rPr>
        <sz val="12"/>
        <rFont val="宋体"/>
        <charset val="134"/>
      </rPr>
      <t>信托公司，协议委外</t>
    </r>
    <r>
      <rPr>
        <sz val="12"/>
        <rFont val="Times New Roman"/>
        <charset val="134"/>
      </rPr>
      <t>-</t>
    </r>
    <r>
      <rPr>
        <sz val="12"/>
        <rFont val="宋体"/>
        <charset val="134"/>
      </rPr>
      <t>证券公司，协议委外</t>
    </r>
    <r>
      <rPr>
        <sz val="12"/>
        <rFont val="Times New Roman"/>
        <charset val="134"/>
      </rPr>
      <t>-</t>
    </r>
    <r>
      <rPr>
        <sz val="12"/>
        <rFont val="宋体"/>
        <charset val="134"/>
      </rPr>
      <t>基金公司，协议委外</t>
    </r>
    <r>
      <rPr>
        <sz val="12"/>
        <rFont val="Times New Roman"/>
        <charset val="134"/>
      </rPr>
      <t>-</t>
    </r>
    <r>
      <rPr>
        <sz val="12"/>
        <rFont val="宋体"/>
        <charset val="134"/>
      </rPr>
      <t>期货公司，协议委外</t>
    </r>
    <r>
      <rPr>
        <sz val="12"/>
        <rFont val="Times New Roman"/>
        <charset val="134"/>
      </rPr>
      <t>-</t>
    </r>
    <r>
      <rPr>
        <sz val="12"/>
        <rFont val="宋体"/>
        <charset val="134"/>
      </rPr>
      <t>保险公司，协议委外</t>
    </r>
    <r>
      <rPr>
        <sz val="12"/>
        <rFont val="Times New Roman"/>
        <charset val="134"/>
      </rPr>
      <t>-</t>
    </r>
    <r>
      <rPr>
        <sz val="12"/>
        <rFont val="宋体"/>
        <charset val="134"/>
      </rPr>
      <t>其他。</t>
    </r>
  </si>
  <si>
    <t>010071</t>
  </si>
  <si>
    <r>
      <rPr>
        <sz val="12"/>
        <rFont val="宋体"/>
        <charset val="134"/>
      </rPr>
      <t>理财中心</t>
    </r>
    <r>
      <rPr>
        <sz val="12"/>
        <rFont val="Times New Roman"/>
        <charset val="134"/>
      </rPr>
      <t>ID</t>
    </r>
  </si>
  <si>
    <t>Wemax ID</t>
  </si>
  <si>
    <r>
      <rPr>
        <sz val="12"/>
        <rFont val="宋体"/>
        <charset val="134"/>
      </rPr>
      <t>理财中心赋予产品或资产的序号。</t>
    </r>
  </si>
  <si>
    <t>010072</t>
  </si>
  <si>
    <r>
      <rPr>
        <sz val="12"/>
        <rFont val="宋体"/>
        <charset val="134"/>
      </rPr>
      <t>份额或资产数量</t>
    </r>
  </si>
  <si>
    <t>Number of units</t>
  </si>
  <si>
    <r>
      <rPr>
        <sz val="12"/>
        <rFont val="宋体"/>
        <charset val="134"/>
      </rPr>
      <t>产品份额或资产的数量。</t>
    </r>
  </si>
  <si>
    <t>010073</t>
  </si>
  <si>
    <r>
      <rPr>
        <sz val="12"/>
        <rFont val="宋体"/>
        <charset val="134"/>
      </rPr>
      <t>理财产品发行机构类型</t>
    </r>
  </si>
  <si>
    <t>Type of asset manager</t>
  </si>
  <si>
    <r>
      <rPr>
        <sz val="12"/>
        <rFont val="宋体"/>
        <charset val="134"/>
      </rPr>
      <t>国有银行，股份制银行，城商行，外资银行，农村合作金融机构，政策性银行，国家开发银行，理财公司，其他。</t>
    </r>
  </si>
  <si>
    <t>010074</t>
  </si>
  <si>
    <r>
      <rPr>
        <sz val="12"/>
        <rFont val="宋体"/>
        <charset val="134"/>
      </rPr>
      <t>产品期次</t>
    </r>
  </si>
  <si>
    <t>Serial number of product</t>
  </si>
  <si>
    <r>
      <rPr>
        <sz val="12"/>
        <rFont val="宋体"/>
        <charset val="134"/>
      </rPr>
      <t>数字。</t>
    </r>
  </si>
  <si>
    <t>010075</t>
  </si>
  <si>
    <r>
      <rPr>
        <sz val="12"/>
        <rFont val="宋体"/>
        <charset val="134"/>
      </rPr>
      <t>理财业务备注</t>
    </r>
  </si>
  <si>
    <t>Remark of asset managemet product</t>
  </si>
  <si>
    <r>
      <rPr>
        <sz val="12"/>
        <rFont val="宋体"/>
        <charset val="134"/>
      </rPr>
      <t>发行机构自定义。</t>
    </r>
  </si>
  <si>
    <t>010076</t>
  </si>
  <si>
    <r>
      <rPr>
        <sz val="12"/>
        <rFont val="宋体"/>
        <charset val="134"/>
      </rPr>
      <t>外部评级</t>
    </r>
  </si>
  <si>
    <t>Standard internal rating</t>
  </si>
  <si>
    <r>
      <rPr>
        <sz val="12"/>
        <rFont val="宋体"/>
        <charset val="134"/>
      </rPr>
      <t>外部专业性的评级公司对融资人主体或资产的信用评级结果，以如下枚举值填报：</t>
    </r>
    <r>
      <rPr>
        <sz val="12"/>
        <rFont val="Times New Roman"/>
        <charset val="134"/>
      </rPr>
      <t>AAA+</t>
    </r>
    <r>
      <rPr>
        <sz val="12"/>
        <rFont val="宋体"/>
        <charset val="134"/>
      </rPr>
      <t>，</t>
    </r>
    <r>
      <rPr>
        <sz val="12"/>
        <rFont val="Times New Roman"/>
        <charset val="134"/>
      </rPr>
      <t>AAA</t>
    </r>
    <r>
      <rPr>
        <sz val="12"/>
        <rFont val="宋体"/>
        <charset val="134"/>
      </rPr>
      <t>，</t>
    </r>
    <r>
      <rPr>
        <sz val="12"/>
        <rFont val="Times New Roman"/>
        <charset val="134"/>
      </rPr>
      <t>AAA-</t>
    </r>
    <r>
      <rPr>
        <sz val="12"/>
        <rFont val="宋体"/>
        <charset val="134"/>
      </rPr>
      <t>，</t>
    </r>
    <r>
      <rPr>
        <sz val="12"/>
        <rFont val="Times New Roman"/>
        <charset val="134"/>
      </rPr>
      <t>AA+</t>
    </r>
    <r>
      <rPr>
        <sz val="12"/>
        <rFont val="宋体"/>
        <charset val="134"/>
      </rPr>
      <t>，</t>
    </r>
    <r>
      <rPr>
        <sz val="12"/>
        <rFont val="Times New Roman"/>
        <charset val="134"/>
      </rPr>
      <t>AA</t>
    </r>
    <r>
      <rPr>
        <sz val="12"/>
        <rFont val="宋体"/>
        <charset val="134"/>
      </rPr>
      <t>，</t>
    </r>
    <r>
      <rPr>
        <sz val="12"/>
        <rFont val="Times New Roman"/>
        <charset val="134"/>
      </rPr>
      <t>AA-</t>
    </r>
    <r>
      <rPr>
        <sz val="12"/>
        <rFont val="宋体"/>
        <charset val="134"/>
      </rPr>
      <t>，</t>
    </r>
    <r>
      <rPr>
        <sz val="12"/>
        <rFont val="Times New Roman"/>
        <charset val="134"/>
      </rPr>
      <t>A+</t>
    </r>
    <r>
      <rPr>
        <sz val="12"/>
        <rFont val="宋体"/>
        <charset val="134"/>
      </rPr>
      <t>，</t>
    </r>
    <r>
      <rPr>
        <sz val="12"/>
        <rFont val="Times New Roman"/>
        <charset val="134"/>
      </rPr>
      <t>A</t>
    </r>
    <r>
      <rPr>
        <sz val="12"/>
        <rFont val="宋体"/>
        <charset val="134"/>
      </rPr>
      <t>，</t>
    </r>
    <r>
      <rPr>
        <sz val="12"/>
        <rFont val="Times New Roman"/>
        <charset val="134"/>
      </rPr>
      <t>A-</t>
    </r>
    <r>
      <rPr>
        <sz val="12"/>
        <rFont val="宋体"/>
        <charset val="134"/>
      </rPr>
      <t>，</t>
    </r>
    <r>
      <rPr>
        <sz val="12"/>
        <rFont val="Times New Roman"/>
        <charset val="134"/>
      </rPr>
      <t>A-1</t>
    </r>
    <r>
      <rPr>
        <sz val="12"/>
        <rFont val="宋体"/>
        <charset val="134"/>
      </rPr>
      <t>，</t>
    </r>
    <r>
      <rPr>
        <sz val="12"/>
        <rFont val="Times New Roman"/>
        <charset val="134"/>
      </rPr>
      <t>A-2</t>
    </r>
    <r>
      <rPr>
        <sz val="12"/>
        <rFont val="宋体"/>
        <charset val="134"/>
      </rPr>
      <t>，</t>
    </r>
    <r>
      <rPr>
        <sz val="12"/>
        <rFont val="Times New Roman"/>
        <charset val="134"/>
      </rPr>
      <t>A-3</t>
    </r>
    <r>
      <rPr>
        <sz val="12"/>
        <rFont val="宋体"/>
        <charset val="134"/>
      </rPr>
      <t>，</t>
    </r>
    <r>
      <rPr>
        <sz val="12"/>
        <rFont val="Times New Roman"/>
        <charset val="134"/>
      </rPr>
      <t>BBB+</t>
    </r>
    <r>
      <rPr>
        <sz val="12"/>
        <rFont val="宋体"/>
        <charset val="134"/>
      </rPr>
      <t>，</t>
    </r>
    <r>
      <rPr>
        <sz val="12"/>
        <rFont val="Times New Roman"/>
        <charset val="134"/>
      </rPr>
      <t>BBB</t>
    </r>
    <r>
      <rPr>
        <sz val="12"/>
        <rFont val="宋体"/>
        <charset val="134"/>
      </rPr>
      <t>，</t>
    </r>
    <r>
      <rPr>
        <sz val="12"/>
        <rFont val="Times New Roman"/>
        <charset val="134"/>
      </rPr>
      <t>BBB-</t>
    </r>
    <r>
      <rPr>
        <sz val="12"/>
        <rFont val="宋体"/>
        <charset val="134"/>
      </rPr>
      <t>，</t>
    </r>
    <r>
      <rPr>
        <sz val="12"/>
        <rFont val="Times New Roman"/>
        <charset val="134"/>
      </rPr>
      <t>BB+</t>
    </r>
    <r>
      <rPr>
        <sz val="12"/>
        <rFont val="宋体"/>
        <charset val="134"/>
      </rPr>
      <t>，</t>
    </r>
    <r>
      <rPr>
        <sz val="12"/>
        <rFont val="Times New Roman"/>
        <charset val="134"/>
      </rPr>
      <t>BB</t>
    </r>
    <r>
      <rPr>
        <sz val="12"/>
        <rFont val="宋体"/>
        <charset val="134"/>
      </rPr>
      <t>，</t>
    </r>
    <r>
      <rPr>
        <sz val="12"/>
        <rFont val="Times New Roman"/>
        <charset val="134"/>
      </rPr>
      <t>BB-</t>
    </r>
    <r>
      <rPr>
        <sz val="12"/>
        <rFont val="宋体"/>
        <charset val="134"/>
      </rPr>
      <t>，</t>
    </r>
    <r>
      <rPr>
        <sz val="12"/>
        <rFont val="Times New Roman"/>
        <charset val="134"/>
      </rPr>
      <t>B+</t>
    </r>
    <r>
      <rPr>
        <sz val="12"/>
        <rFont val="宋体"/>
        <charset val="134"/>
      </rPr>
      <t>，</t>
    </r>
    <r>
      <rPr>
        <sz val="12"/>
        <rFont val="Times New Roman"/>
        <charset val="134"/>
      </rPr>
      <t>B</t>
    </r>
    <r>
      <rPr>
        <sz val="12"/>
        <rFont val="宋体"/>
        <charset val="134"/>
      </rPr>
      <t>，</t>
    </r>
    <r>
      <rPr>
        <sz val="12"/>
        <rFont val="Times New Roman"/>
        <charset val="134"/>
      </rPr>
      <t>B-</t>
    </r>
    <r>
      <rPr>
        <sz val="12"/>
        <rFont val="宋体"/>
        <charset val="134"/>
      </rPr>
      <t>，</t>
    </r>
    <r>
      <rPr>
        <sz val="12"/>
        <rFont val="Times New Roman"/>
        <charset val="134"/>
      </rPr>
      <t>CCC+</t>
    </r>
    <r>
      <rPr>
        <sz val="12"/>
        <rFont val="宋体"/>
        <charset val="134"/>
      </rPr>
      <t>，</t>
    </r>
    <r>
      <rPr>
        <sz val="12"/>
        <rFont val="Times New Roman"/>
        <charset val="134"/>
      </rPr>
      <t>CCC</t>
    </r>
    <r>
      <rPr>
        <sz val="12"/>
        <rFont val="宋体"/>
        <charset val="134"/>
      </rPr>
      <t>，</t>
    </r>
    <r>
      <rPr>
        <sz val="12"/>
        <rFont val="Times New Roman"/>
        <charset val="134"/>
      </rPr>
      <t>CCC-</t>
    </r>
    <r>
      <rPr>
        <sz val="12"/>
        <rFont val="宋体"/>
        <charset val="134"/>
      </rPr>
      <t>，</t>
    </r>
    <r>
      <rPr>
        <sz val="12"/>
        <rFont val="Times New Roman"/>
        <charset val="134"/>
      </rPr>
      <t>CC+</t>
    </r>
    <r>
      <rPr>
        <sz val="12"/>
        <rFont val="宋体"/>
        <charset val="134"/>
      </rPr>
      <t>，</t>
    </r>
    <r>
      <rPr>
        <sz val="12"/>
        <rFont val="Times New Roman"/>
        <charset val="134"/>
      </rPr>
      <t>CC</t>
    </r>
    <r>
      <rPr>
        <sz val="12"/>
        <rFont val="宋体"/>
        <charset val="134"/>
      </rPr>
      <t>，</t>
    </r>
    <r>
      <rPr>
        <sz val="12"/>
        <rFont val="Times New Roman"/>
        <charset val="134"/>
      </rPr>
      <t>CC-</t>
    </r>
    <r>
      <rPr>
        <sz val="12"/>
        <rFont val="宋体"/>
        <charset val="134"/>
      </rPr>
      <t>，</t>
    </r>
    <r>
      <rPr>
        <sz val="12"/>
        <rFont val="Times New Roman"/>
        <charset val="134"/>
      </rPr>
      <t>C+</t>
    </r>
    <r>
      <rPr>
        <sz val="12"/>
        <rFont val="宋体"/>
        <charset val="134"/>
      </rPr>
      <t>，</t>
    </r>
    <r>
      <rPr>
        <sz val="12"/>
        <rFont val="Times New Roman"/>
        <charset val="134"/>
      </rPr>
      <t>C</t>
    </r>
    <r>
      <rPr>
        <sz val="12"/>
        <rFont val="宋体"/>
        <charset val="134"/>
      </rPr>
      <t>，</t>
    </r>
    <r>
      <rPr>
        <sz val="12"/>
        <rFont val="Times New Roman"/>
        <charset val="134"/>
      </rPr>
      <t>C-</t>
    </r>
    <r>
      <rPr>
        <sz val="12"/>
        <rFont val="宋体"/>
        <charset val="134"/>
      </rPr>
      <t>，</t>
    </r>
    <r>
      <rPr>
        <sz val="12"/>
        <rFont val="Times New Roman"/>
        <charset val="134"/>
      </rPr>
      <t>D</t>
    </r>
    <r>
      <rPr>
        <sz val="12"/>
        <rFont val="宋体"/>
        <charset val="134"/>
      </rPr>
      <t>，无评级。</t>
    </r>
  </si>
  <si>
    <t>010077</t>
  </si>
  <si>
    <r>
      <rPr>
        <sz val="12"/>
        <rFont val="宋体"/>
        <charset val="134"/>
      </rPr>
      <t>内部评级</t>
    </r>
  </si>
  <si>
    <t>Non-standard internal rating</t>
  </si>
  <si>
    <r>
      <rPr>
        <sz val="12"/>
        <rFont val="宋体"/>
        <charset val="134"/>
      </rPr>
      <t>填报机构内部对融资人主体或资产的信用评级结果，银行自定义。</t>
    </r>
  </si>
  <si>
    <t>010078</t>
  </si>
  <si>
    <r>
      <rPr>
        <sz val="12"/>
        <rFont val="宋体"/>
        <charset val="134"/>
      </rPr>
      <t>资金流动类型</t>
    </r>
  </si>
  <si>
    <t>Type of transaction</t>
  </si>
  <si>
    <r>
      <rPr>
        <sz val="12"/>
        <rFont val="宋体"/>
        <charset val="134"/>
      </rPr>
      <t>资产买入，资产卖出或到期，存入银行存款，银行存款到期，拆放同业和买入返售首期，同业拆入和卖出回购首期，拆放同业和买入返售到期，同业拆入和卖出回购到期，投资资产所得收益，投资资产支出，其他收入，其他支出。</t>
    </r>
  </si>
  <si>
    <t>010079</t>
  </si>
  <si>
    <r>
      <rPr>
        <sz val="12"/>
        <rFont val="宋体"/>
        <charset val="134"/>
      </rPr>
      <t>综合评级</t>
    </r>
  </si>
  <si>
    <t>Comprehensive rating</t>
  </si>
  <si>
    <t>持仓对应资产的外部评级或信用评级。</t>
  </si>
  <si>
    <t>010080</t>
  </si>
  <si>
    <r>
      <rPr>
        <sz val="12"/>
        <rFont val="宋体"/>
        <charset val="134"/>
      </rPr>
      <t>托管机构名称</t>
    </r>
  </si>
  <si>
    <t>Name of custodian</t>
  </si>
  <si>
    <r>
      <rPr>
        <sz val="12"/>
        <rFont val="宋体"/>
        <charset val="134"/>
      </rPr>
      <t>实际的托管机构名称。</t>
    </r>
  </si>
  <si>
    <t>010081</t>
  </si>
  <si>
    <r>
      <rPr>
        <sz val="12"/>
        <rFont val="宋体"/>
        <charset val="134"/>
      </rPr>
      <t>行政区划</t>
    </r>
  </si>
  <si>
    <t>Administrative division</t>
  </si>
  <si>
    <r>
      <rPr>
        <sz val="12"/>
        <rFont val="宋体"/>
        <charset val="134"/>
      </rPr>
      <t>根据《中华人民共和国行政区划代码》，填写至二级分类。</t>
    </r>
  </si>
  <si>
    <t>010082</t>
  </si>
  <si>
    <r>
      <rPr>
        <sz val="12"/>
        <rFont val="宋体"/>
        <charset val="134"/>
      </rPr>
      <t>发行机构代码</t>
    </r>
  </si>
  <si>
    <t>Issuer Code</t>
  </si>
  <si>
    <r>
      <rPr>
        <sz val="12"/>
        <rFont val="宋体"/>
        <charset val="134"/>
      </rPr>
      <t>采用《金融机构编码规范》编发的法人机构代码</t>
    </r>
    <r>
      <rPr>
        <sz val="12"/>
        <rFont val="Times New Roman"/>
        <charset val="134"/>
      </rPr>
      <t>(</t>
    </r>
    <r>
      <rPr>
        <sz val="12"/>
        <rFont val="宋体"/>
        <charset val="134"/>
      </rPr>
      <t>即金融机构代码）前</t>
    </r>
    <r>
      <rPr>
        <sz val="12"/>
        <rFont val="Times New Roman"/>
        <charset val="134"/>
      </rPr>
      <t>6</t>
    </r>
    <r>
      <rPr>
        <sz val="12"/>
        <rFont val="宋体"/>
        <charset val="134"/>
      </rPr>
      <t>位。</t>
    </r>
  </si>
  <si>
    <t>010083</t>
  </si>
  <si>
    <r>
      <rPr>
        <sz val="12"/>
        <rFont val="宋体"/>
        <charset val="134"/>
      </rPr>
      <t>理财业务种类</t>
    </r>
  </si>
  <si>
    <t>Business Type</t>
  </si>
  <si>
    <r>
      <rPr>
        <sz val="12"/>
        <rFont val="宋体"/>
        <charset val="134"/>
      </rPr>
      <t>募集期认购，存续期申购，存续期赎回，分红，红利再投资，质押融资首期，质押融资到期，冻结，解冻，交易过户转入，交易过户转出，非交易过户转入，非交易过户转出，份额强增，份额强减，到期兑付。</t>
    </r>
  </si>
  <si>
    <t>010084</t>
  </si>
  <si>
    <r>
      <rPr>
        <sz val="12"/>
        <rFont val="宋体"/>
        <charset val="134"/>
      </rPr>
      <t>管理方式</t>
    </r>
  </si>
  <si>
    <t>Type of account</t>
  </si>
  <si>
    <r>
      <rPr>
        <sz val="12"/>
        <rFont val="宋体"/>
        <charset val="134"/>
      </rPr>
      <t>集合管理，单独管理</t>
    </r>
  </si>
  <si>
    <t>010085</t>
  </si>
  <si>
    <r>
      <rPr>
        <sz val="12"/>
        <rFont val="宋体"/>
        <charset val="134"/>
      </rPr>
      <t>资产计量方式</t>
    </r>
  </si>
  <si>
    <t>Method of asset measurement</t>
  </si>
  <si>
    <r>
      <rPr>
        <sz val="12"/>
        <rFont val="宋体"/>
        <charset val="134"/>
      </rPr>
      <t>公允价值，摊余成本。</t>
    </r>
  </si>
  <si>
    <t>010086</t>
  </si>
  <si>
    <r>
      <rPr>
        <sz val="12"/>
        <rFont val="宋体"/>
        <charset val="134"/>
      </rPr>
      <t>担保方式</t>
    </r>
  </si>
  <si>
    <t>Type of guarantee</t>
  </si>
  <si>
    <r>
      <rPr>
        <sz val="12"/>
        <rFont val="宋体"/>
        <charset val="134"/>
      </rPr>
      <t>信用担保，第三方保证，抵押，质押，信用增级，其他。</t>
    </r>
  </si>
  <si>
    <t>010087</t>
  </si>
  <si>
    <r>
      <rPr>
        <sz val="12"/>
        <rFont val="宋体"/>
        <charset val="134"/>
      </rPr>
      <t>各层名称</t>
    </r>
  </si>
  <si>
    <t>Name of layers</t>
  </si>
  <si>
    <r>
      <rPr>
        <sz val="12"/>
        <rFont val="宋体"/>
        <charset val="134"/>
      </rPr>
      <t>持有的资管及委外资产的名称。</t>
    </r>
  </si>
  <si>
    <t>010088</t>
  </si>
  <si>
    <r>
      <rPr>
        <sz val="12"/>
        <rFont val="宋体"/>
        <charset val="134"/>
      </rPr>
      <t>计息类型</t>
    </r>
  </si>
  <si>
    <t>Type of coupon</t>
  </si>
  <si>
    <r>
      <rPr>
        <sz val="12"/>
        <rFont val="宋体"/>
        <charset val="134"/>
      </rPr>
      <t>贴现式，利随本清固定利率，利随本清浮动利率，附息式固定利率，附息式浮动利率，零息式。</t>
    </r>
  </si>
  <si>
    <t>010089</t>
  </si>
  <si>
    <r>
      <rPr>
        <sz val="12"/>
        <rFont val="宋体"/>
        <charset val="134"/>
      </rPr>
      <t>利息分布方式</t>
    </r>
  </si>
  <si>
    <t>Coupon allocation type</t>
  </si>
  <si>
    <r>
      <rPr>
        <sz val="12"/>
        <rFont val="宋体"/>
        <charset val="134"/>
      </rPr>
      <t>平均分配，实际天数分配。</t>
    </r>
  </si>
  <si>
    <t>010090</t>
  </si>
  <si>
    <r>
      <rPr>
        <sz val="12"/>
        <rFont val="宋体"/>
        <charset val="134"/>
      </rPr>
      <t>结构档次</t>
    </r>
  </si>
  <si>
    <t>Structure grade</t>
  </si>
  <si>
    <r>
      <rPr>
        <sz val="12"/>
        <rFont val="宋体"/>
        <charset val="134"/>
      </rPr>
      <t>优先，优先</t>
    </r>
    <r>
      <rPr>
        <sz val="12"/>
        <rFont val="Times New Roman"/>
        <charset val="134"/>
      </rPr>
      <t>A</t>
    </r>
    <r>
      <rPr>
        <sz val="12"/>
        <rFont val="宋体"/>
        <charset val="134"/>
      </rPr>
      <t>，优先</t>
    </r>
    <r>
      <rPr>
        <sz val="12"/>
        <rFont val="Times New Roman"/>
        <charset val="134"/>
      </rPr>
      <t>B</t>
    </r>
    <r>
      <rPr>
        <sz val="12"/>
        <rFont val="宋体"/>
        <charset val="134"/>
      </rPr>
      <t>，优先</t>
    </r>
    <r>
      <rPr>
        <sz val="12"/>
        <rFont val="Times New Roman"/>
        <charset val="134"/>
      </rPr>
      <t>C</t>
    </r>
    <r>
      <rPr>
        <sz val="12"/>
        <rFont val="宋体"/>
        <charset val="134"/>
      </rPr>
      <t>，优先</t>
    </r>
    <r>
      <rPr>
        <sz val="12"/>
        <rFont val="Times New Roman"/>
        <charset val="134"/>
      </rPr>
      <t>D</t>
    </r>
    <r>
      <rPr>
        <sz val="12"/>
        <rFont val="宋体"/>
        <charset val="134"/>
      </rPr>
      <t>，中间，次优先，次级。</t>
    </r>
  </si>
  <si>
    <t>010091</t>
  </si>
  <si>
    <r>
      <rPr>
        <sz val="12"/>
        <rFont val="宋体"/>
        <charset val="134"/>
      </rPr>
      <t>还本方式</t>
    </r>
  </si>
  <si>
    <t>Principal payment type</t>
  </si>
  <si>
    <r>
      <rPr>
        <sz val="12"/>
        <rFont val="宋体"/>
        <charset val="134"/>
      </rPr>
      <t>过手摊还，固定摊还。</t>
    </r>
  </si>
  <si>
    <t>010092</t>
  </si>
  <si>
    <r>
      <rPr>
        <sz val="12"/>
        <rFont val="宋体"/>
        <charset val="134"/>
      </rPr>
      <t>含权类型</t>
    </r>
  </si>
  <si>
    <r>
      <rPr>
        <sz val="12"/>
        <rFont val="宋体"/>
        <charset val="134"/>
      </rPr>
      <t>发行人赎回选择权，发行人利息递延支付选择权，发行人续期选择权，投资人回售选择权，票面利率调整选择权，协商续期选择权，提前到期选择权。</t>
    </r>
  </si>
  <si>
    <t>010093</t>
  </si>
  <si>
    <r>
      <rPr>
        <sz val="12"/>
        <rFont val="宋体"/>
        <charset val="134"/>
      </rPr>
      <t>行权方式</t>
    </r>
  </si>
  <si>
    <t>Exercise date type</t>
  </si>
  <si>
    <r>
      <rPr>
        <sz val="12"/>
        <rFont val="宋体"/>
        <charset val="134"/>
      </rPr>
      <t>美式，欧式，百慕大，其他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为银行自定义行权方式。</t>
    </r>
  </si>
  <si>
    <t>010094</t>
  </si>
  <si>
    <r>
      <rPr>
        <sz val="12"/>
        <rFont val="宋体"/>
        <charset val="134"/>
      </rPr>
      <t>永续条款类型</t>
    </r>
  </si>
  <si>
    <t>Perpetual type</t>
  </si>
  <si>
    <r>
      <rPr>
        <sz val="12"/>
        <rFont val="宋体"/>
        <charset val="134"/>
      </rPr>
      <t>无，可续期条款，永续条款。</t>
    </r>
  </si>
  <si>
    <t>010095</t>
  </si>
  <si>
    <r>
      <rPr>
        <sz val="12"/>
        <rFont val="宋体"/>
        <charset val="134"/>
      </rPr>
      <t>利息递延条款类型</t>
    </r>
  </si>
  <si>
    <t>Deferred interest type</t>
  </si>
  <si>
    <r>
      <rPr>
        <sz val="12"/>
        <rFont val="宋体"/>
        <charset val="134"/>
      </rPr>
      <t>无利息递延条款，有利息递延条款，非利息递延条款引起的递延。</t>
    </r>
  </si>
  <si>
    <t>010096</t>
  </si>
  <si>
    <r>
      <rPr>
        <sz val="12"/>
        <rFont val="宋体"/>
        <charset val="134"/>
      </rPr>
      <t>分期还本条款标识</t>
    </r>
  </si>
  <si>
    <t>Installment repay type</t>
  </si>
  <si>
    <r>
      <rPr>
        <sz val="12"/>
        <rFont val="宋体"/>
        <charset val="134"/>
      </rPr>
      <t>分期还本，到期一次还本，其他。</t>
    </r>
  </si>
  <si>
    <t>010097</t>
  </si>
  <si>
    <r>
      <rPr>
        <sz val="12"/>
        <rFont val="宋体"/>
        <charset val="134"/>
      </rPr>
      <t>抵质押物类型（七项分类）</t>
    </r>
  </si>
  <si>
    <t>Type of collateral</t>
  </si>
  <si>
    <r>
      <rPr>
        <sz val="12"/>
        <rFont val="宋体"/>
        <charset val="134"/>
      </rPr>
      <t>现金及其等价物，贵金属，有价凭证，应收账款，房地产及土地使用权，存货，收费</t>
    </r>
    <r>
      <rPr>
        <sz val="12"/>
        <rFont val="Times New Roman"/>
        <charset val="134"/>
      </rPr>
      <t>(</t>
    </r>
    <r>
      <rPr>
        <sz val="12"/>
        <rFont val="宋体"/>
        <charset val="134"/>
      </rPr>
      <t>益</t>
    </r>
    <r>
      <rPr>
        <sz val="12"/>
        <rFont val="Times New Roman"/>
        <charset val="134"/>
      </rPr>
      <t>)</t>
    </r>
    <r>
      <rPr>
        <sz val="12"/>
        <rFont val="宋体"/>
        <charset val="134"/>
      </rPr>
      <t>权，其他。</t>
    </r>
  </si>
  <si>
    <t>010098</t>
  </si>
  <si>
    <r>
      <rPr>
        <sz val="12"/>
        <rFont val="宋体"/>
        <charset val="134"/>
      </rPr>
      <t>担保性质</t>
    </r>
  </si>
  <si>
    <t>Nature of Guarantee</t>
  </si>
  <si>
    <r>
      <rPr>
        <sz val="12"/>
        <rFont val="宋体"/>
        <charset val="134"/>
      </rPr>
      <t>有限责任，无限责任。</t>
    </r>
  </si>
  <si>
    <t>010099</t>
  </si>
  <si>
    <r>
      <rPr>
        <sz val="12"/>
        <rFont val="宋体"/>
        <charset val="134"/>
      </rPr>
      <t>担保人与融资人关系</t>
    </r>
  </si>
  <si>
    <t>Relationship of borrower and guarantee</t>
  </si>
  <si>
    <r>
      <rPr>
        <sz val="12"/>
        <rFont val="宋体"/>
        <charset val="134"/>
      </rPr>
      <t>主要股东，控股股东，实际控制人，一致行动人，最终受益人，其他</t>
    </r>
    <r>
      <rPr>
        <sz val="12"/>
        <rFont val="Times New Roman"/>
        <charset val="134"/>
      </rPr>
      <t>-</t>
    </r>
    <r>
      <rPr>
        <sz val="12"/>
        <rFont val="宋体"/>
        <charset val="134"/>
      </rPr>
      <t>银行自定义。无法以枚举类型填报的，以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</si>
  <si>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010100</t>
  </si>
  <si>
    <r>
      <rPr>
        <sz val="12"/>
        <rFont val="宋体"/>
        <charset val="134"/>
      </rPr>
      <t>对手方类型</t>
    </r>
  </si>
  <si>
    <t>Type of counterparty</t>
  </si>
  <si>
    <r>
      <rPr>
        <sz val="12"/>
        <rFont val="宋体"/>
        <charset val="134"/>
      </rPr>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r>
  </si>
  <si>
    <t>010101</t>
  </si>
  <si>
    <r>
      <rPr>
        <sz val="12"/>
        <rFont val="宋体"/>
        <charset val="134"/>
      </rPr>
      <t>所属监管机构</t>
    </r>
  </si>
  <si>
    <t>Supervisory Department</t>
  </si>
  <si>
    <r>
      <rPr>
        <sz val="12"/>
        <rFont val="宋体"/>
        <charset val="134"/>
      </rPr>
      <t>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r>
  </si>
  <si>
    <t>010102</t>
  </si>
  <si>
    <r>
      <rPr>
        <sz val="12"/>
        <rFont val="宋体"/>
        <charset val="134"/>
      </rPr>
      <t>人民币金额</t>
    </r>
  </si>
  <si>
    <t>RMB Amount</t>
  </si>
  <si>
    <r>
      <rPr>
        <sz val="12"/>
        <rFont val="宋体"/>
        <charset val="134"/>
      </rPr>
      <t>折算人民币的金额</t>
    </r>
  </si>
  <si>
    <t>010103</t>
  </si>
  <si>
    <r>
      <rPr>
        <sz val="12"/>
        <rFont val="宋体"/>
        <charset val="134"/>
      </rPr>
      <t>统计日状态</t>
    </r>
  </si>
  <si>
    <t>State on statistics day</t>
  </si>
  <si>
    <r>
      <rPr>
        <sz val="12"/>
        <rFont val="Times New Roman"/>
        <charset val="134"/>
      </rPr>
      <t>“</t>
    </r>
    <r>
      <rPr>
        <sz val="12"/>
        <rFont val="宋体"/>
        <charset val="134"/>
      </rPr>
      <t>产品统计日状态</t>
    </r>
    <r>
      <rPr>
        <sz val="12"/>
        <rFont val="Times New Roman"/>
        <charset val="134"/>
      </rPr>
      <t>”</t>
    </r>
    <r>
      <rPr>
        <sz val="12"/>
        <rFont val="宋体"/>
        <charset val="134"/>
      </rPr>
      <t>为</t>
    </r>
    <r>
      <rPr>
        <sz val="12"/>
        <rFont val="Times New Roman"/>
        <charset val="134"/>
      </rPr>
      <t>“</t>
    </r>
    <r>
      <rPr>
        <sz val="12"/>
        <rFont val="宋体"/>
        <charset val="134"/>
      </rPr>
      <t>存续</t>
    </r>
    <r>
      <rPr>
        <sz val="12"/>
        <rFont val="Times New Roman"/>
        <charset val="134"/>
      </rPr>
      <t>”</t>
    </r>
    <r>
      <rPr>
        <sz val="12"/>
        <rFont val="宋体"/>
        <charset val="134"/>
      </rPr>
      <t>。即所在月末统计时点产品处于存续的状态。</t>
    </r>
  </si>
  <si>
    <t>010104</t>
  </si>
  <si>
    <r>
      <rPr>
        <sz val="12"/>
        <rFont val="宋体"/>
        <charset val="134"/>
      </rPr>
      <t>杠杆率</t>
    </r>
  </si>
  <si>
    <t xml:space="preserve"> Leverage ratio</t>
  </si>
  <si>
    <r>
      <rPr>
        <sz val="12"/>
        <rFont val="宋体"/>
        <charset val="134"/>
      </rPr>
      <t>所在月末统计时点理财产品的杠杆率。结果保留四位小数。</t>
    </r>
  </si>
  <si>
    <t>010105</t>
  </si>
  <si>
    <r>
      <rPr>
        <sz val="12"/>
        <rFont val="宋体"/>
        <charset val="134"/>
      </rPr>
      <t>说明</t>
    </r>
  </si>
  <si>
    <t>010106</t>
  </si>
  <si>
    <r>
      <rPr>
        <sz val="12"/>
        <rFont val="宋体"/>
        <charset val="134"/>
      </rPr>
      <t>基础资产类型</t>
    </r>
  </si>
  <si>
    <t>Type of  underlying assets</t>
  </si>
  <si>
    <t>010107</t>
  </si>
  <si>
    <r>
      <rPr>
        <sz val="12"/>
        <rFont val="宋体"/>
        <charset val="134"/>
      </rPr>
      <t>理财客户证件类别</t>
    </r>
  </si>
  <si>
    <t>Type of  underlying wealth assets</t>
  </si>
  <si>
    <r>
      <rPr>
        <sz val="12"/>
        <rFont val="Times New Roman"/>
        <charset val="134"/>
      </rPr>
      <t>1.</t>
    </r>
    <r>
      <rPr>
        <sz val="12"/>
        <rFont val="宋体"/>
        <charset val="134"/>
      </rPr>
      <t>个人客户：居民身份证，临时居民身份证，户口簿，</t>
    </r>
    <r>
      <rPr>
        <sz val="12"/>
        <rFont val="Times New Roman"/>
        <charset val="134"/>
      </rPr>
      <t xml:space="preserve"> </t>
    </r>
    <r>
      <rPr>
        <sz val="12"/>
        <rFont val="宋体"/>
        <charset val="134"/>
      </rPr>
      <t>军官证，警官证，文职干部证，士兵证，军事院校学员证，离休干部荣誉证，军官退休证，文职干部退休证，中华人民共和国护照，外国护照，港澳往来内地通行证，台湾往来内地通行证，外国人永久居留证，其他。</t>
    </r>
    <r>
      <rPr>
        <sz val="12"/>
        <rFont val="Times New Roman"/>
        <charset val="134"/>
      </rPr>
      <t xml:space="preserve">
2.</t>
    </r>
    <r>
      <rPr>
        <sz val="12"/>
        <rFont val="宋体"/>
        <charset val="134"/>
      </rPr>
      <t>机构客户：法人和其他组织统一社会信用代码，全国组织机构代码，企业法人营业执照号码，国税登记证号码，金融许可证号码，基本存款账户开户登记证号码，政府人事部门批文号码，编制委员会批文号码，政府人事部门登记证书号码，编制委员会登记证书号码，军队、武警财务部门开户证明号码，社会团体登记证书号码，民办非企业登记证书号码，外地常设机构住在地政府主管部门批文号码，国家主管部门颁外国驻华机构批文号码，国家登记机关颁外资企业驻华代表、办事处登记证号码，主管部门颁居民、村民、社区委员会批文号码，独立核算的附属机构批文号码，主管部门批文号码，财政部门证明号码，证券投资业务许可证号码，临时经营地工商行政管理部门批文号码，企业名称预先核准通知书号码，企业营业执照号码，个体工商户营业执照号码，地税登记证号码，宗教事务管理部门的批文或证明号码，借款合同号码，国家外汇管理部门的批复文件号码，主管部门许可证号码，建筑施工及安装合同号码，组织机构占位号码，分支机构替代号码，</t>
    </r>
    <r>
      <rPr>
        <sz val="12"/>
        <rFont val="Times New Roman"/>
        <charset val="134"/>
      </rPr>
      <t>SPV</t>
    </r>
    <r>
      <rPr>
        <sz val="12"/>
        <rFont val="宋体"/>
        <charset val="134"/>
      </rPr>
      <t>登记编码，其他。</t>
    </r>
    <r>
      <rPr>
        <sz val="12"/>
        <rFont val="Times New Roman"/>
        <charset val="134"/>
      </rPr>
      <t xml:space="preserve">
3.</t>
    </r>
    <r>
      <rPr>
        <sz val="12"/>
        <rFont val="宋体"/>
        <charset val="134"/>
      </rPr>
      <t>其他客户：</t>
    </r>
    <r>
      <rPr>
        <sz val="12"/>
        <rFont val="Times New Roman"/>
        <charset val="134"/>
      </rPr>
      <t xml:space="preserve"> XX</t>
    </r>
    <r>
      <rPr>
        <sz val="12"/>
        <rFont val="宋体"/>
        <charset val="134"/>
      </rPr>
      <t>。</t>
    </r>
    <r>
      <rPr>
        <sz val="12"/>
        <rFont val="Times New Roman"/>
        <charset val="134"/>
      </rPr>
      <t xml:space="preserve">
</t>
    </r>
    <r>
      <rPr>
        <sz val="12"/>
        <rFont val="宋体"/>
        <charset val="134"/>
      </rPr>
      <t>无法以枚举类型填报的，以</t>
    </r>
    <r>
      <rPr>
        <sz val="12"/>
        <rFont val="Times New Roman"/>
        <charset val="134"/>
      </rPr>
      <t>“XX”</t>
    </r>
    <r>
      <rPr>
        <sz val="12"/>
        <rFont val="宋体"/>
        <charset val="134"/>
      </rPr>
      <t>报送，其中</t>
    </r>
    <r>
      <rPr>
        <sz val="12"/>
        <rFont val="Times New Roman"/>
        <charset val="134"/>
      </rPr>
      <t>“XX”</t>
    </r>
    <r>
      <rPr>
        <sz val="12"/>
        <rFont val="宋体"/>
        <charset val="134"/>
      </rPr>
      <t>为银行自定义类型。</t>
    </r>
    <r>
      <rPr>
        <sz val="12"/>
        <rFont val="Times New Roman"/>
        <charset val="134"/>
      </rPr>
      <t xml:space="preserve">
</t>
    </r>
    <r>
      <rPr>
        <sz val="12"/>
        <rFont val="宋体"/>
        <charset val="134"/>
      </rPr>
      <t>原则上，中国境内公民的</t>
    </r>
    <r>
      <rPr>
        <sz val="12"/>
        <rFont val="Times New Roman"/>
        <charset val="134"/>
      </rPr>
      <t>“</t>
    </r>
    <r>
      <rPr>
        <sz val="12"/>
        <rFont val="宋体"/>
        <charset val="134"/>
      </rPr>
      <t>证件类别</t>
    </r>
    <r>
      <rPr>
        <sz val="12"/>
        <rFont val="Times New Roman"/>
        <charset val="134"/>
      </rPr>
      <t>”</t>
    </r>
    <r>
      <rPr>
        <sz val="12"/>
        <rFont val="宋体"/>
        <charset val="134"/>
      </rPr>
      <t>应选择居民身份证。中国境内机构的</t>
    </r>
    <r>
      <rPr>
        <sz val="12"/>
        <rFont val="Times New Roman"/>
        <charset val="134"/>
      </rPr>
      <t>“</t>
    </r>
    <r>
      <rPr>
        <sz val="12"/>
        <rFont val="宋体"/>
        <charset val="134"/>
      </rPr>
      <t>证件类别</t>
    </r>
    <r>
      <rPr>
        <sz val="12"/>
        <rFont val="Times New Roman"/>
        <charset val="134"/>
      </rPr>
      <t>”</t>
    </r>
    <r>
      <rPr>
        <sz val="12"/>
        <rFont val="宋体"/>
        <charset val="134"/>
      </rPr>
      <t>应优先选择</t>
    </r>
    <r>
      <rPr>
        <sz val="12"/>
        <rFont val="Times New Roman"/>
        <charset val="134"/>
      </rPr>
      <t>“</t>
    </r>
    <r>
      <rPr>
        <sz val="12"/>
        <rFont val="宋体"/>
        <charset val="134"/>
      </rPr>
      <t>法人和其他组织统一社会信用代码</t>
    </r>
    <r>
      <rPr>
        <sz val="12"/>
        <rFont val="Times New Roman"/>
        <charset val="134"/>
      </rPr>
      <t>”</t>
    </r>
    <r>
      <rPr>
        <sz val="12"/>
        <rFont val="宋体"/>
        <charset val="134"/>
      </rPr>
      <t>。</t>
    </r>
  </si>
  <si>
    <t>010108</t>
  </si>
  <si>
    <r>
      <rPr>
        <sz val="12"/>
        <rFont val="宋体"/>
        <charset val="134"/>
      </rPr>
      <t>交易对手类别</t>
    </r>
  </si>
  <si>
    <t>Type of counterparties</t>
  </si>
  <si>
    <r>
      <rPr>
        <sz val="12"/>
        <rFont val="宋体"/>
        <charset val="134"/>
      </rPr>
      <t>政府机关，银行业金融机构，非银行业金融机构，境外金融机构，公司客户，个人客户。</t>
    </r>
  </si>
  <si>
    <t>010109</t>
  </si>
  <si>
    <r>
      <rPr>
        <sz val="12"/>
        <rFont val="宋体"/>
        <charset val="134"/>
      </rPr>
      <t>代理代销交易类型</t>
    </r>
  </si>
  <si>
    <t>Type of agency transaction</t>
  </si>
  <si>
    <r>
      <rPr>
        <sz val="12"/>
        <rFont val="宋体"/>
        <charset val="134"/>
      </rPr>
      <t>债券承销，代理代销信托计划，代理代销资产管理计划，代理代销保险产品，代理代销基金，代理贵金属交易，代销他行理财产品，其他</t>
    </r>
    <r>
      <rPr>
        <sz val="12"/>
        <rFont val="Times New Roman"/>
        <charset val="134"/>
      </rPr>
      <t>-</t>
    </r>
    <r>
      <rPr>
        <sz val="12"/>
        <rFont val="宋体"/>
        <charset val="134"/>
      </rPr>
      <t>银行自定义类型。无法以枚举类型填报的，以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为银行自定义类型。</t>
    </r>
  </si>
  <si>
    <t>010110</t>
  </si>
  <si>
    <r>
      <rPr>
        <sz val="12"/>
        <rFont val="宋体"/>
        <charset val="134"/>
      </rPr>
      <t>新老产品标记</t>
    </r>
  </si>
  <si>
    <t>Mark of  product compliance</t>
  </si>
  <si>
    <r>
      <rPr>
        <sz val="12"/>
        <rFont val="宋体"/>
        <charset val="134"/>
      </rPr>
      <t>新产品，老产品。</t>
    </r>
  </si>
  <si>
    <r>
      <rPr>
        <b/>
        <sz val="20"/>
        <rFont val="宋体"/>
        <charset val="134"/>
      </rPr>
      <t>中国银保监会银行业金融机构监管数据标准化规范（</t>
    </r>
    <r>
      <rPr>
        <b/>
        <sz val="20"/>
        <rFont val="Times New Roman"/>
        <charset val="134"/>
      </rPr>
      <t>2021</t>
    </r>
    <r>
      <rPr>
        <b/>
        <sz val="20"/>
        <rFont val="宋体"/>
        <charset val="134"/>
      </rPr>
      <t>版）</t>
    </r>
  </si>
  <si>
    <r>
      <rPr>
        <sz val="12"/>
        <rFont val="宋体"/>
        <charset val="134"/>
      </rPr>
      <t>分类编号</t>
    </r>
  </si>
  <si>
    <r>
      <rPr>
        <sz val="12"/>
        <rFont val="宋体"/>
        <charset val="134"/>
      </rPr>
      <t>传输文件名称</t>
    </r>
  </si>
  <si>
    <r>
      <rPr>
        <sz val="12"/>
        <rFont val="宋体"/>
        <charset val="134"/>
      </rPr>
      <t>表名</t>
    </r>
  </si>
  <si>
    <r>
      <rPr>
        <sz val="12"/>
        <rFont val="宋体"/>
        <charset val="134"/>
      </rPr>
      <t>表编号</t>
    </r>
  </si>
  <si>
    <r>
      <rPr>
        <sz val="12"/>
        <rFont val="宋体"/>
        <charset val="134"/>
      </rPr>
      <t>数据项名称</t>
    </r>
  </si>
  <si>
    <r>
      <rPr>
        <sz val="12"/>
        <rFont val="宋体"/>
        <charset val="134"/>
      </rPr>
      <t>数据项编号</t>
    </r>
  </si>
  <si>
    <r>
      <rPr>
        <sz val="12"/>
        <rFont val="宋体"/>
        <charset val="134"/>
      </rPr>
      <t>数据项代码</t>
    </r>
  </si>
  <si>
    <r>
      <rPr>
        <sz val="12"/>
        <rFont val="宋体"/>
        <charset val="134"/>
      </rPr>
      <t>数据元</t>
    </r>
  </si>
  <si>
    <r>
      <rPr>
        <sz val="12"/>
        <rFont val="宋体"/>
        <charset val="134"/>
      </rPr>
      <t>变更类型</t>
    </r>
  </si>
  <si>
    <r>
      <rPr>
        <sz val="12"/>
        <rFont val="宋体"/>
        <charset val="134"/>
      </rPr>
      <t>变更规范列</t>
    </r>
  </si>
  <si>
    <r>
      <rPr>
        <sz val="12"/>
        <rFont val="宋体"/>
        <charset val="134"/>
      </rPr>
      <t>变更说明</t>
    </r>
  </si>
  <si>
    <r>
      <rPr>
        <sz val="14"/>
        <rFont val="宋体"/>
        <charset val="134"/>
      </rPr>
      <t>公共信息</t>
    </r>
  </si>
  <si>
    <r>
      <rPr>
        <sz val="12"/>
        <rFont val="宋体"/>
        <charset val="134"/>
      </rPr>
      <t>机构信息表</t>
    </r>
  </si>
  <si>
    <r>
      <rPr>
        <sz val="12"/>
        <rFont val="宋体"/>
        <charset val="134"/>
      </rPr>
      <t>修改</t>
    </r>
  </si>
  <si>
    <t>YHJGDM</t>
  </si>
  <si>
    <r>
      <rPr>
        <sz val="12"/>
        <rFont val="宋体"/>
        <charset val="134"/>
      </rPr>
      <t>需填报人行大小额支付系统中登记的</t>
    </r>
    <r>
      <rPr>
        <sz val="12"/>
        <rFont val="Times New Roman"/>
        <charset val="134"/>
      </rPr>
      <t>“</t>
    </r>
    <r>
      <rPr>
        <sz val="12"/>
        <rFont val="宋体"/>
        <charset val="134"/>
      </rPr>
      <t>人行支付行号</t>
    </r>
    <r>
      <rPr>
        <sz val="12"/>
        <rFont val="Times New Roman"/>
        <charset val="134"/>
      </rPr>
      <t>”</t>
    </r>
    <r>
      <rPr>
        <sz val="12"/>
        <rFont val="宋体"/>
        <charset val="134"/>
      </rPr>
      <t>；允许多个内部机构号对应同一个</t>
    </r>
    <r>
      <rPr>
        <sz val="12"/>
        <rFont val="Times New Roman"/>
        <charset val="134"/>
      </rPr>
      <t>“</t>
    </r>
    <r>
      <rPr>
        <sz val="12"/>
        <rFont val="宋体"/>
        <charset val="134"/>
      </rPr>
      <t>人行支付行号</t>
    </r>
    <r>
      <rPr>
        <sz val="12"/>
        <rFont val="Times New Roman"/>
        <charset val="134"/>
      </rPr>
      <t>”</t>
    </r>
    <r>
      <rPr>
        <sz val="12"/>
        <rFont val="宋体"/>
        <charset val="134"/>
      </rPr>
      <t>；该字段不可为空，内设机构、虚拟机构等无</t>
    </r>
    <r>
      <rPr>
        <sz val="12"/>
        <rFont val="Times New Roman"/>
        <charset val="134"/>
      </rPr>
      <t>“</t>
    </r>
    <r>
      <rPr>
        <sz val="12"/>
        <rFont val="宋体"/>
        <charset val="134"/>
      </rPr>
      <t>人行支付行号</t>
    </r>
    <r>
      <rPr>
        <sz val="12"/>
        <rFont val="Times New Roman"/>
        <charset val="134"/>
      </rPr>
      <t>”</t>
    </r>
    <r>
      <rPr>
        <sz val="12"/>
        <rFont val="宋体"/>
        <charset val="134"/>
      </rPr>
      <t>的，填报本级或上一级机构的</t>
    </r>
    <r>
      <rPr>
        <sz val="12"/>
        <rFont val="Times New Roman"/>
        <charset val="134"/>
      </rPr>
      <t>“</t>
    </r>
    <r>
      <rPr>
        <sz val="12"/>
        <rFont val="宋体"/>
        <charset val="134"/>
      </rPr>
      <t>人行支付行号</t>
    </r>
    <r>
      <rPr>
        <sz val="12"/>
        <rFont val="Times New Roman"/>
        <charset val="134"/>
      </rPr>
      <t>”</t>
    </r>
    <r>
      <rPr>
        <sz val="12"/>
        <rFont val="宋体"/>
        <charset val="134"/>
      </rPr>
      <t>，优先填本级。</t>
    </r>
  </si>
  <si>
    <t>NBJGH</t>
  </si>
  <si>
    <t>PK</t>
  </si>
  <si>
    <t>JRXKZH</t>
  </si>
  <si>
    <r>
      <rPr>
        <sz val="12"/>
        <rFont val="宋体"/>
        <charset val="134"/>
      </rPr>
      <t>内设机构、虚拟机构及营业部如有金融许可证的填写金融许可证号，没有金融许可证的取上一级管理机构的金融许可证号。</t>
    </r>
  </si>
  <si>
    <t>YYZZH</t>
  </si>
  <si>
    <r>
      <rPr>
        <sz val="12"/>
        <rFont val="宋体"/>
        <charset val="134"/>
      </rPr>
      <t>内设机构、虚拟机构及营业部如有营业执照的填写营业执照号，没有营业执照的取上一级管理机构的营业执照号。</t>
    </r>
  </si>
  <si>
    <r>
      <rPr>
        <sz val="12"/>
        <rFont val="宋体"/>
        <charset val="134"/>
      </rPr>
      <t>银行机构名称</t>
    </r>
  </si>
  <si>
    <t>YHJGMC</t>
  </si>
  <si>
    <r>
      <rPr>
        <sz val="12"/>
        <rFont val="宋体"/>
        <charset val="134"/>
      </rPr>
      <t>需填写全称，有金融许可证号的需与金融许可证上的机构名称保持一致。例如：应填报</t>
    </r>
    <r>
      <rPr>
        <sz val="12"/>
        <rFont val="Times New Roman"/>
        <charset val="134"/>
      </rPr>
      <t>“XX</t>
    </r>
    <r>
      <rPr>
        <sz val="12"/>
        <rFont val="宋体"/>
        <charset val="134"/>
      </rPr>
      <t>银行股份有限公司</t>
    </r>
    <r>
      <rPr>
        <sz val="12"/>
        <rFont val="Times New Roman"/>
        <charset val="134"/>
      </rPr>
      <t>XX</t>
    </r>
    <r>
      <rPr>
        <sz val="12"/>
        <rFont val="宋体"/>
        <charset val="134"/>
      </rPr>
      <t>省分行</t>
    </r>
    <r>
      <rPr>
        <sz val="12"/>
        <rFont val="Times New Roman"/>
        <charset val="134"/>
      </rPr>
      <t>”</t>
    </r>
    <r>
      <rPr>
        <sz val="12"/>
        <rFont val="宋体"/>
        <charset val="134"/>
      </rPr>
      <t>，不应填报为</t>
    </r>
    <r>
      <rPr>
        <sz val="12"/>
        <rFont val="Times New Roman"/>
        <charset val="134"/>
      </rPr>
      <t>“XX</t>
    </r>
    <r>
      <rPr>
        <sz val="12"/>
        <rFont val="宋体"/>
        <charset val="134"/>
      </rPr>
      <t>省分行</t>
    </r>
    <r>
      <rPr>
        <sz val="12"/>
        <rFont val="Times New Roman"/>
        <charset val="134"/>
      </rPr>
      <t>”</t>
    </r>
    <r>
      <rPr>
        <sz val="12"/>
        <rFont val="宋体"/>
        <charset val="134"/>
      </rPr>
      <t>。无独立金融机构许可证的机构，可在本名称中体现出机构特征。</t>
    </r>
  </si>
  <si>
    <t>JGLB</t>
  </si>
  <si>
    <r>
      <rPr>
        <sz val="12"/>
        <rFont val="宋体"/>
        <charset val="134"/>
      </rPr>
      <t>仅允许填报为：管理机构，营业机构，虚拟机构，内设机构。</t>
    </r>
    <r>
      <rPr>
        <sz val="12"/>
        <rFont val="Times New Roman"/>
        <charset val="134"/>
      </rPr>
      <t xml:space="preserve">
</t>
    </r>
    <r>
      <rPr>
        <sz val="12"/>
        <rFont val="宋体"/>
        <charset val="134"/>
      </rPr>
      <t>各行根据实际情况进行映射：</t>
    </r>
    <r>
      <rPr>
        <sz val="12"/>
        <rFont val="Times New Roman"/>
        <charset val="134"/>
      </rPr>
      <t xml:space="preserve">
</t>
    </r>
    <r>
      <rPr>
        <sz val="12"/>
        <rFont val="宋体"/>
        <charset val="134"/>
      </rPr>
      <t>管理机构：总行、一级分行、专营机构；</t>
    </r>
    <r>
      <rPr>
        <sz val="12"/>
        <rFont val="Times New Roman"/>
        <charset val="134"/>
      </rPr>
      <t xml:space="preserve">
</t>
    </r>
    <r>
      <rPr>
        <sz val="12"/>
        <rFont val="宋体"/>
        <charset val="134"/>
      </rPr>
      <t>营业机构：除总行、一级分行、专营机构以外的有金融许可证的实体机构。专营机构分支机构作为营业机构。营业部也作为营业机构，若无金融许可证号则填报上一级管理机构的金融许可证号；</t>
    </r>
    <r>
      <rPr>
        <sz val="12"/>
        <rFont val="Times New Roman"/>
        <charset val="134"/>
      </rPr>
      <t xml:space="preserve">
</t>
    </r>
    <r>
      <rPr>
        <sz val="12"/>
        <rFont val="宋体"/>
        <charset val="134"/>
      </rPr>
      <t>虚拟机构：具有单独标识、分账核算体系、独立出表的非实体机构，如自由贸易专用账务核算体系（</t>
    </r>
    <r>
      <rPr>
        <sz val="12"/>
        <rFont val="Times New Roman"/>
        <charset val="134"/>
      </rPr>
      <t>FTU-Free Trade Accounting Unit</t>
    </r>
    <r>
      <rPr>
        <sz val="12"/>
        <rFont val="宋体"/>
        <charset val="134"/>
      </rPr>
      <t>）；</t>
    </r>
    <r>
      <rPr>
        <sz val="12"/>
        <rFont val="Times New Roman"/>
        <charset val="134"/>
      </rPr>
      <t xml:space="preserve">
</t>
    </r>
    <r>
      <rPr>
        <sz val="12"/>
        <rFont val="宋体"/>
        <charset val="134"/>
      </rPr>
      <t>内设机构：如清算中心等内设部门。</t>
    </r>
  </si>
  <si>
    <r>
      <rPr>
        <sz val="12"/>
        <rFont val="宋体"/>
        <charset val="134"/>
      </rPr>
      <t>数据元说明、备注</t>
    </r>
  </si>
  <si>
    <r>
      <rPr>
        <sz val="12"/>
        <rFont val="宋体"/>
        <charset val="134"/>
      </rPr>
      <t>行政区划代码</t>
    </r>
  </si>
  <si>
    <t>XZQHDM</t>
  </si>
  <si>
    <r>
      <rPr>
        <sz val="12"/>
        <rFont val="宋体"/>
        <charset val="134"/>
      </rPr>
      <t>营业机构、管理机构必须填报实际的</t>
    </r>
    <r>
      <rPr>
        <sz val="12"/>
        <rFont val="Times New Roman"/>
        <charset val="134"/>
      </rPr>
      <t>“</t>
    </r>
    <r>
      <rPr>
        <sz val="12"/>
        <rFont val="宋体"/>
        <charset val="134"/>
      </rPr>
      <t>行政区划代码</t>
    </r>
    <r>
      <rPr>
        <sz val="12"/>
        <rFont val="Times New Roman"/>
        <charset val="134"/>
      </rPr>
      <t>”</t>
    </r>
    <r>
      <rPr>
        <sz val="12"/>
        <rFont val="宋体"/>
        <charset val="134"/>
      </rPr>
      <t>（要求到区县一级，</t>
    </r>
    <r>
      <rPr>
        <sz val="12"/>
        <rFont val="Times New Roman"/>
        <charset val="134"/>
      </rPr>
      <t>6</t>
    </r>
    <r>
      <rPr>
        <sz val="12"/>
        <rFont val="宋体"/>
        <charset val="134"/>
      </rPr>
      <t>位代码），内设机构、虚拟机构，营业部取本级或上一级管理机构的行政区划代码，优先取本级。</t>
    </r>
  </si>
  <si>
    <r>
      <rPr>
        <sz val="12"/>
        <rFont val="宋体"/>
        <charset val="134"/>
      </rPr>
      <t>新增</t>
    </r>
  </si>
  <si>
    <t>YYZT</t>
  </si>
  <si>
    <r>
      <rPr>
        <sz val="12"/>
        <rFont val="宋体"/>
        <charset val="134"/>
      </rPr>
      <t>营业：正常、拟撤销等状态的机构</t>
    </r>
    <r>
      <rPr>
        <sz val="12"/>
        <rFont val="Times New Roman"/>
        <charset val="134"/>
      </rPr>
      <t xml:space="preserve">
</t>
    </r>
    <r>
      <rPr>
        <sz val="12"/>
        <rFont val="宋体"/>
        <charset val="134"/>
      </rPr>
      <t>停业：歇业、筹建中等状态的机构</t>
    </r>
  </si>
  <si>
    <r>
      <rPr>
        <sz val="12"/>
        <rFont val="宋体"/>
        <charset val="134"/>
      </rPr>
      <t>成立日期</t>
    </r>
  </si>
  <si>
    <t>CLRQ</t>
  </si>
  <si>
    <r>
      <rPr>
        <sz val="12"/>
        <rFont val="宋体"/>
        <charset val="134"/>
      </rPr>
      <t>填报银保监会及其派出机构批复成立的日期</t>
    </r>
  </si>
  <si>
    <r>
      <rPr>
        <sz val="12"/>
        <rFont val="宋体"/>
        <charset val="134"/>
      </rPr>
      <t>数据项名称、数据项代码、备注</t>
    </r>
  </si>
  <si>
    <r>
      <rPr>
        <sz val="12"/>
        <rFont val="宋体"/>
        <charset val="134"/>
      </rPr>
      <t>机构地址</t>
    </r>
  </si>
  <si>
    <t>JGDZ</t>
  </si>
  <si>
    <r>
      <rPr>
        <sz val="12"/>
        <rFont val="宋体"/>
        <charset val="134"/>
      </rPr>
      <t>虚拟机构可为空</t>
    </r>
  </si>
  <si>
    <r>
      <rPr>
        <sz val="12"/>
        <rFont val="宋体"/>
        <charset val="134"/>
      </rPr>
      <t>机构联系电话</t>
    </r>
  </si>
  <si>
    <t>JGLXDH</t>
  </si>
  <si>
    <r>
      <rPr>
        <sz val="12"/>
        <rFont val="宋体"/>
        <charset val="134"/>
      </rPr>
      <t>机构办公联系电话，区号</t>
    </r>
    <r>
      <rPr>
        <sz val="12"/>
        <rFont val="Times New Roman"/>
        <charset val="134"/>
      </rPr>
      <t>-</t>
    </r>
    <r>
      <rPr>
        <sz val="12"/>
        <rFont val="宋体"/>
        <charset val="134"/>
      </rPr>
      <t>座机电话，虚拟机构、自助银行及自助设备机构、机构本部和仅承担内部核算职能的机构可为空。非隐私，不做变形。</t>
    </r>
  </si>
  <si>
    <r>
      <rPr>
        <sz val="12"/>
        <rFont val="宋体"/>
        <charset val="134"/>
      </rPr>
      <t>负责人姓名</t>
    </r>
  </si>
  <si>
    <t>FZRXM</t>
  </si>
  <si>
    <r>
      <rPr>
        <sz val="12"/>
        <rFont val="宋体"/>
        <charset val="134"/>
      </rPr>
      <t>非隐私，不做变形。虚拟机构、自助银行及自助设备机构、机构本部和仅承担内部核算职能的机构可为空。</t>
    </r>
  </si>
  <si>
    <r>
      <rPr>
        <sz val="12"/>
        <rFont val="宋体"/>
        <charset val="134"/>
      </rPr>
      <t>负责人职务</t>
    </r>
  </si>
  <si>
    <t>FZRZW</t>
  </si>
  <si>
    <r>
      <rPr>
        <sz val="12"/>
        <rFont val="宋体"/>
        <charset val="134"/>
      </rPr>
      <t>虚拟机构、自助银行及自助设备机构、机构本部和仅承担内部核算职能的机构可为空。</t>
    </r>
  </si>
  <si>
    <r>
      <rPr>
        <sz val="12"/>
        <rFont val="宋体"/>
        <charset val="134"/>
      </rPr>
      <t>负责人联系电话</t>
    </r>
  </si>
  <si>
    <t>FZRLXDH</t>
  </si>
  <si>
    <r>
      <rPr>
        <sz val="12"/>
        <rFont val="宋体"/>
        <charset val="134"/>
      </rPr>
      <t>负责人联系电话，区号</t>
    </r>
    <r>
      <rPr>
        <sz val="12"/>
        <rFont val="Times New Roman"/>
        <charset val="134"/>
      </rPr>
      <t>-</t>
    </r>
    <r>
      <rPr>
        <sz val="12"/>
        <rFont val="宋体"/>
        <charset val="134"/>
      </rPr>
      <t>座机电话</t>
    </r>
    <r>
      <rPr>
        <sz val="12"/>
        <rFont val="Times New Roman"/>
        <charset val="134"/>
      </rPr>
      <t>/</t>
    </r>
    <r>
      <rPr>
        <sz val="12"/>
        <rFont val="宋体"/>
        <charset val="134"/>
      </rPr>
      <t>手机，虚拟机构、自助银行及自助设备机构、机构本部和仅承担内部核算职能的机构可为空。非隐私，不做变形</t>
    </r>
  </si>
  <si>
    <t>BBZ</t>
  </si>
  <si>
    <r>
      <rPr>
        <sz val="12"/>
        <rFont val="宋体"/>
        <charset val="134"/>
      </rPr>
      <t>描述其他字段未能详尽说明的情况，或标注对本条报送记录的特殊说明（如视需要可用于说明各种不满足检核规则的例外情况：客户信息表中可标注</t>
    </r>
    <r>
      <rPr>
        <sz val="12"/>
        <rFont val="Times New Roman"/>
        <charset val="134"/>
      </rPr>
      <t>“</t>
    </r>
    <r>
      <rPr>
        <sz val="12"/>
        <rFont val="宋体"/>
        <charset val="134"/>
      </rPr>
      <t>境外客户</t>
    </r>
    <r>
      <rPr>
        <sz val="12"/>
        <rFont val="Times New Roman"/>
        <charset val="134"/>
      </rPr>
      <t>”“</t>
    </r>
    <r>
      <rPr>
        <sz val="12"/>
        <rFont val="宋体"/>
        <charset val="134"/>
      </rPr>
      <t>客户已工商注销</t>
    </r>
    <r>
      <rPr>
        <sz val="12"/>
        <rFont val="Times New Roman"/>
        <charset val="134"/>
      </rPr>
      <t>”“</t>
    </r>
    <r>
      <rPr>
        <sz val="12"/>
        <rFont val="宋体"/>
        <charset val="134"/>
      </rPr>
      <t>客户名下账户均已管控</t>
    </r>
    <r>
      <rPr>
        <sz val="12"/>
        <rFont val="Times New Roman"/>
        <charset val="134"/>
      </rPr>
      <t>”</t>
    </r>
    <r>
      <rPr>
        <sz val="12"/>
        <rFont val="宋体"/>
        <charset val="134"/>
      </rPr>
      <t>，信贷分户账中可标注</t>
    </r>
    <r>
      <rPr>
        <sz val="12"/>
        <rFont val="Times New Roman"/>
        <charset val="134"/>
      </rPr>
      <t>“</t>
    </r>
    <r>
      <rPr>
        <sz val="12"/>
        <rFont val="宋体"/>
        <charset val="134"/>
      </rPr>
      <t>线上化业务</t>
    </r>
    <r>
      <rPr>
        <sz val="12"/>
        <rFont val="Times New Roman"/>
        <charset val="134"/>
      </rPr>
      <t>”“</t>
    </r>
    <r>
      <rPr>
        <sz val="12"/>
        <rFont val="宋体"/>
        <charset val="134"/>
      </rPr>
      <t>自助类贷款</t>
    </r>
    <r>
      <rPr>
        <sz val="12"/>
        <rFont val="Times New Roman"/>
        <charset val="134"/>
      </rPr>
      <t>”</t>
    </r>
    <r>
      <rPr>
        <sz val="12"/>
        <rFont val="宋体"/>
        <charset val="134"/>
      </rPr>
      <t>等）。不同备注事项用英文半角分号隔开。</t>
    </r>
  </si>
  <si>
    <r>
      <rPr>
        <sz val="12"/>
        <rFont val="宋体"/>
        <charset val="134"/>
      </rPr>
      <t>采集日期</t>
    </r>
  </si>
  <si>
    <t>CJRQ</t>
  </si>
  <si>
    <r>
      <rPr>
        <sz val="12"/>
        <rFont val="Times New Roman"/>
        <charset val="134"/>
      </rPr>
      <t>PK</t>
    </r>
    <r>
      <rPr>
        <sz val="12"/>
        <rFont val="宋体"/>
        <charset val="134"/>
      </rPr>
      <t>。采集日期指该期（批次）数据报送的期末日期，例如：按日采集的表，采集日期应为每日；按月采集的表，采集日期应为月末最后一天；以此类推。有特殊报送要求的，应以报送要求的截至日期为采集日期。</t>
    </r>
  </si>
  <si>
    <r>
      <rPr>
        <sz val="12"/>
        <rFont val="宋体"/>
        <charset val="134"/>
      </rPr>
      <t>员工表</t>
    </r>
  </si>
  <si>
    <r>
      <rPr>
        <sz val="12"/>
        <rFont val="宋体"/>
        <charset val="134"/>
      </rPr>
      <t>营业机构、管理机构必须填报</t>
    </r>
    <r>
      <rPr>
        <sz val="12"/>
        <rFont val="Times New Roman"/>
        <charset val="134"/>
      </rPr>
      <t>“</t>
    </r>
    <r>
      <rPr>
        <sz val="12"/>
        <rFont val="宋体"/>
        <charset val="134"/>
      </rPr>
      <t>金融许可证号</t>
    </r>
    <r>
      <rPr>
        <sz val="12"/>
        <rFont val="Times New Roman"/>
        <charset val="134"/>
      </rPr>
      <t>”</t>
    </r>
    <r>
      <rPr>
        <sz val="12"/>
        <rFont val="宋体"/>
        <charset val="134"/>
      </rPr>
      <t>，内设机构、虚拟机构及营业部取本级或上一级管理机构的金融许可证号，优先取本级。</t>
    </r>
  </si>
  <si>
    <r>
      <rPr>
        <sz val="12"/>
        <rFont val="宋体"/>
        <charset val="134"/>
      </rPr>
      <t>关联数据项：机构信息表</t>
    </r>
    <r>
      <rPr>
        <sz val="12"/>
        <rFont val="Times New Roman"/>
        <charset val="134"/>
      </rPr>
      <t>.</t>
    </r>
    <r>
      <rPr>
        <sz val="12"/>
        <rFont val="宋体"/>
        <charset val="134"/>
      </rPr>
      <t>内部机构号。员工如果采集区间发生过更换机构，按采集时点的最后填报内部机构号。</t>
    </r>
  </si>
  <si>
    <r>
      <rPr>
        <sz val="12"/>
        <rFont val="宋体"/>
        <charset val="134"/>
      </rPr>
      <t>需填写全称，有金融许可证号的需与金融许可证上的机构名称保持一致。关联数据项：机构信息表</t>
    </r>
    <r>
      <rPr>
        <sz val="12"/>
        <rFont val="Times New Roman"/>
        <charset val="134"/>
      </rPr>
      <t>.</t>
    </r>
    <r>
      <rPr>
        <sz val="12"/>
        <rFont val="宋体"/>
        <charset val="134"/>
      </rPr>
      <t>银行机构名称</t>
    </r>
  </si>
  <si>
    <t>GH</t>
  </si>
  <si>
    <r>
      <rPr>
        <sz val="12"/>
        <rFont val="Times New Roman"/>
        <charset val="134"/>
      </rPr>
      <t>PK</t>
    </r>
    <r>
      <rPr>
        <sz val="12"/>
        <rFont val="宋体"/>
        <charset val="134"/>
      </rPr>
      <t>。非员工高管可报送脱敏后的身份证号。</t>
    </r>
  </si>
  <si>
    <r>
      <rPr>
        <sz val="12"/>
        <rFont val="宋体"/>
        <charset val="134"/>
      </rPr>
      <t>调整数据项位置</t>
    </r>
  </si>
  <si>
    <t>XM</t>
  </si>
  <si>
    <r>
      <rPr>
        <sz val="12"/>
        <rFont val="宋体"/>
        <charset val="134"/>
      </rPr>
      <t>员工姓名为非隐私，不做变形。</t>
    </r>
  </si>
  <si>
    <t>GJ</t>
  </si>
  <si>
    <r>
      <rPr>
        <sz val="12"/>
        <rFont val="宋体"/>
        <charset val="134"/>
      </rPr>
      <t>国籍为中国的员工，员工信息需以中文填报。</t>
    </r>
  </si>
  <si>
    <t>ZJLB</t>
  </si>
  <si>
    <t>ZJHM</t>
  </si>
  <si>
    <r>
      <rPr>
        <sz val="12"/>
        <rFont val="宋体"/>
        <charset val="134"/>
      </rPr>
      <t>隐私，银行机构变形。变形规则见《采集技术接口说明》。</t>
    </r>
  </si>
  <si>
    <r>
      <rPr>
        <sz val="12"/>
        <rFont val="宋体"/>
        <charset val="134"/>
      </rPr>
      <t>联系电话</t>
    </r>
  </si>
  <si>
    <t>LXDH</t>
  </si>
  <si>
    <r>
      <rPr>
        <sz val="12"/>
        <rFont val="宋体"/>
        <charset val="134"/>
      </rPr>
      <t>非隐私，不做变形。</t>
    </r>
  </si>
  <si>
    <t>SSBM</t>
  </si>
  <si>
    <t>GWBH</t>
  </si>
  <si>
    <r>
      <rPr>
        <sz val="12"/>
        <rFont val="宋体"/>
        <charset val="134"/>
      </rPr>
      <t>同一员工存在多个岗位时，用英文半角分号隔开。</t>
    </r>
  </si>
  <si>
    <r>
      <rPr>
        <sz val="12"/>
        <rFont val="宋体"/>
        <charset val="134"/>
      </rPr>
      <t>增加备注说明</t>
    </r>
  </si>
  <si>
    <t>GWMC</t>
  </si>
  <si>
    <r>
      <rPr>
        <sz val="12"/>
        <rFont val="宋体"/>
        <charset val="134"/>
      </rPr>
      <t>是否高管</t>
    </r>
  </si>
  <si>
    <t>SFGG</t>
  </si>
  <si>
    <r>
      <rPr>
        <sz val="12"/>
        <rFont val="宋体"/>
        <charset val="134"/>
      </rPr>
      <t>任职资格经银保监会及其派出机构批复的，填写为是。</t>
    </r>
  </si>
  <si>
    <r>
      <rPr>
        <sz val="12"/>
        <rFont val="宋体"/>
        <charset val="134"/>
      </rPr>
      <t>批复日期</t>
    </r>
  </si>
  <si>
    <t>PFRQ</t>
  </si>
  <si>
    <r>
      <rPr>
        <sz val="12"/>
        <rFont val="宋体"/>
        <charset val="134"/>
      </rPr>
      <t>任职资格经银保监会及其派出机构批复的必填，其他允许为空。</t>
    </r>
  </si>
  <si>
    <r>
      <rPr>
        <sz val="12"/>
        <rFont val="宋体"/>
        <charset val="134"/>
      </rPr>
      <t>任职日期</t>
    </r>
  </si>
  <si>
    <t>RZRQ</t>
  </si>
  <si>
    <t>YGLX</t>
  </si>
  <si>
    <r>
      <rPr>
        <sz val="12"/>
        <rFont val="宋体"/>
        <charset val="134"/>
      </rPr>
      <t>正式员工是指与银行业金融机构签订劳动合同的员工。非员工高管是指不是本机构员工的董（理）事会成员、监事会成员、高级管理人员。非正式员工是指银行业金融机构聘用或与劳务派遣机构签订协议从事辅助性金融服务的其他人员。</t>
    </r>
  </si>
  <si>
    <r>
      <rPr>
        <sz val="12"/>
        <rFont val="宋体"/>
        <charset val="134"/>
      </rPr>
      <t>数据元、备注</t>
    </r>
  </si>
  <si>
    <t>YGZT</t>
  </si>
  <si>
    <r>
      <rPr>
        <sz val="12"/>
        <rFont val="宋体"/>
        <charset val="134"/>
      </rPr>
      <t>柜员表</t>
    </r>
  </si>
  <si>
    <r>
      <rPr>
        <sz val="12"/>
        <rFont val="Times New Roman"/>
        <charset val="134"/>
      </rPr>
      <t>PK</t>
    </r>
    <r>
      <rPr>
        <sz val="12"/>
        <rFont val="宋体"/>
        <charset val="134"/>
      </rPr>
      <t>。关联数据项：机构信息表</t>
    </r>
    <r>
      <rPr>
        <sz val="12"/>
        <rFont val="Times New Roman"/>
        <charset val="134"/>
      </rPr>
      <t>.</t>
    </r>
    <r>
      <rPr>
        <sz val="12"/>
        <rFont val="宋体"/>
        <charset val="134"/>
      </rPr>
      <t>内部机构号</t>
    </r>
  </si>
  <si>
    <t>GYH</t>
  </si>
  <si>
    <r>
      <rPr>
        <sz val="12"/>
        <rFont val="Times New Roman"/>
        <charset val="134"/>
      </rPr>
      <t>PK</t>
    </r>
    <r>
      <rPr>
        <sz val="12"/>
        <rFont val="宋体"/>
        <charset val="134"/>
      </rPr>
      <t>，虚拟柜员也需要填写柜员号。</t>
    </r>
  </si>
  <si>
    <r>
      <rPr>
        <sz val="12"/>
        <rFont val="宋体"/>
        <charset val="134"/>
      </rPr>
      <t>虚拟柜员员工号允许为空。关联数据项：员工表</t>
    </r>
    <r>
      <rPr>
        <sz val="12"/>
        <rFont val="Times New Roman"/>
        <charset val="134"/>
      </rPr>
      <t>.</t>
    </r>
    <r>
      <rPr>
        <sz val="12"/>
        <rFont val="宋体"/>
        <charset val="134"/>
      </rPr>
      <t>工号。</t>
    </r>
  </si>
  <si>
    <t>GYLX</t>
  </si>
  <si>
    <r>
      <rPr>
        <sz val="12"/>
        <rFont val="宋体"/>
        <charset val="134"/>
      </rPr>
      <t>银行自定义，</t>
    </r>
    <r>
      <rPr>
        <sz val="12"/>
        <rFont val="Times New Roman"/>
        <charset val="134"/>
      </rPr>
      <t>“</t>
    </r>
    <r>
      <rPr>
        <sz val="12"/>
        <rFont val="宋体"/>
        <charset val="134"/>
      </rPr>
      <t>柜员类型</t>
    </r>
    <r>
      <rPr>
        <sz val="12"/>
        <rFont val="Times New Roman"/>
        <charset val="134"/>
      </rPr>
      <t>”</t>
    </r>
    <r>
      <rPr>
        <sz val="12"/>
        <rFont val="宋体"/>
        <charset val="134"/>
      </rPr>
      <t>需体现具体虚拟柜员，如自助银行，网银等。</t>
    </r>
  </si>
  <si>
    <r>
      <rPr>
        <sz val="12"/>
        <rFont val="宋体"/>
        <charset val="134"/>
      </rPr>
      <t>是否实体柜员</t>
    </r>
  </si>
  <si>
    <t>SFSTGY</t>
  </si>
  <si>
    <r>
      <rPr>
        <sz val="12"/>
        <rFont val="宋体"/>
        <charset val="134"/>
      </rPr>
      <t>必填，实体柜员填是，其他填否。</t>
    </r>
  </si>
  <si>
    <r>
      <rPr>
        <sz val="12"/>
        <rFont val="宋体"/>
        <charset val="134"/>
      </rPr>
      <t>关联数据项：岗位信息表</t>
    </r>
    <r>
      <rPr>
        <sz val="12"/>
        <rFont val="Times New Roman"/>
        <charset val="134"/>
      </rPr>
      <t>.</t>
    </r>
    <r>
      <rPr>
        <sz val="12"/>
        <rFont val="宋体"/>
        <charset val="134"/>
      </rPr>
      <t>岗位编号</t>
    </r>
  </si>
  <si>
    <t>GYQXJB</t>
  </si>
  <si>
    <r>
      <rPr>
        <sz val="12"/>
        <rFont val="宋体"/>
        <charset val="134"/>
      </rPr>
      <t>上岗日期</t>
    </r>
  </si>
  <si>
    <t>SGRQ</t>
  </si>
  <si>
    <r>
      <rPr>
        <sz val="12"/>
        <rFont val="宋体"/>
        <charset val="134"/>
      </rPr>
      <t>虚拟柜员可填写默认日期。</t>
    </r>
  </si>
  <si>
    <t>GYZT</t>
  </si>
  <si>
    <r>
      <rPr>
        <sz val="12"/>
        <rFont val="宋体"/>
        <charset val="134"/>
      </rPr>
      <t>岗位信息表</t>
    </r>
  </si>
  <si>
    <r>
      <rPr>
        <sz val="12"/>
        <rFont val="Times New Roman"/>
        <charset val="134"/>
      </rPr>
      <t>PK</t>
    </r>
    <r>
      <rPr>
        <sz val="12"/>
        <rFont val="宋体"/>
        <charset val="134"/>
      </rPr>
      <t>。</t>
    </r>
  </si>
  <si>
    <t>GWZL</t>
  </si>
  <si>
    <r>
      <rPr>
        <sz val="12"/>
        <rFont val="宋体"/>
        <charset val="134"/>
      </rPr>
      <t>外资银行也应翻译文中文描述。</t>
    </r>
  </si>
  <si>
    <t>GWSM</t>
  </si>
  <si>
    <r>
      <rPr>
        <sz val="12"/>
        <rFont val="宋体"/>
        <charset val="134"/>
      </rPr>
      <t>岗位状态</t>
    </r>
  </si>
  <si>
    <t>GWZT</t>
  </si>
  <si>
    <r>
      <rPr>
        <sz val="12"/>
        <rFont val="宋体"/>
        <charset val="134"/>
      </rPr>
      <t>机构关系表</t>
    </r>
  </si>
  <si>
    <r>
      <rPr>
        <sz val="12"/>
        <rFont val="宋体"/>
        <charset val="134"/>
      </rPr>
      <t>关联数据项：机构信息表</t>
    </r>
    <r>
      <rPr>
        <sz val="12"/>
        <rFont val="Times New Roman"/>
        <charset val="134"/>
      </rPr>
      <t>.</t>
    </r>
    <r>
      <rPr>
        <sz val="12"/>
        <rFont val="宋体"/>
        <charset val="134"/>
      </rPr>
      <t>银行机构代码</t>
    </r>
  </si>
  <si>
    <r>
      <rPr>
        <sz val="12"/>
        <rFont val="宋体"/>
        <charset val="134"/>
      </rPr>
      <t>上级管理机构代码</t>
    </r>
  </si>
  <si>
    <t>SJGLJGDM</t>
  </si>
  <si>
    <r>
      <rPr>
        <sz val="12"/>
        <rFont val="宋体"/>
        <charset val="134"/>
      </rPr>
      <t>没有上级机构的该项填写为</t>
    </r>
    <r>
      <rPr>
        <sz val="12"/>
        <rFont val="Times New Roman"/>
        <charset val="134"/>
      </rPr>
      <t>0</t>
    </r>
    <r>
      <rPr>
        <sz val="12"/>
        <rFont val="宋体"/>
        <charset val="134"/>
      </rPr>
      <t>。</t>
    </r>
  </si>
  <si>
    <r>
      <rPr>
        <sz val="12"/>
        <rFont val="宋体"/>
        <charset val="134"/>
      </rPr>
      <t>上级管理内部机构号</t>
    </r>
  </si>
  <si>
    <t>SJGLNBJGH</t>
  </si>
  <si>
    <r>
      <rPr>
        <sz val="12"/>
        <rFont val="宋体"/>
        <charset val="134"/>
      </rPr>
      <t>上级管理机构名称</t>
    </r>
  </si>
  <si>
    <t>SJGLJGMC</t>
  </si>
  <si>
    <r>
      <rPr>
        <sz val="12"/>
        <rFont val="宋体"/>
        <charset val="134"/>
      </rPr>
      <t>没有上级机构的该项填写为空，其中总行本级上级机构为总行法人名称。</t>
    </r>
  </si>
  <si>
    <r>
      <rPr>
        <sz val="12"/>
        <rFont val="宋体"/>
        <charset val="134"/>
      </rPr>
      <t>格式、备注</t>
    </r>
  </si>
  <si>
    <r>
      <rPr>
        <sz val="12"/>
        <rFont val="宋体"/>
        <charset val="134"/>
      </rPr>
      <t>股东及关联方信息表</t>
    </r>
  </si>
  <si>
    <r>
      <rPr>
        <sz val="12"/>
        <rFont val="宋体"/>
        <charset val="134"/>
      </rPr>
      <t>填报机构金融许可证号。</t>
    </r>
  </si>
  <si>
    <r>
      <rPr>
        <sz val="12"/>
        <rFont val="宋体"/>
        <charset val="134"/>
      </rPr>
      <t>填报本行法人机构名称。关联数据项：机构信息表</t>
    </r>
    <r>
      <rPr>
        <sz val="12"/>
        <rFont val="Times New Roman"/>
        <charset val="134"/>
      </rPr>
      <t>.</t>
    </r>
    <r>
      <rPr>
        <sz val="12"/>
        <rFont val="宋体"/>
        <charset val="134"/>
      </rPr>
      <t>银行机构名称</t>
    </r>
  </si>
  <si>
    <t>KHTYBH</t>
  </si>
  <si>
    <r>
      <rPr>
        <sz val="12"/>
        <rFont val="宋体"/>
        <charset val="134"/>
      </rPr>
      <t>如果股东不是本银行客户，填为空值。</t>
    </r>
  </si>
  <si>
    <r>
      <rPr>
        <sz val="12"/>
        <rFont val="宋体"/>
        <charset val="134"/>
      </rPr>
      <t>股东或关联方名称</t>
    </r>
  </si>
  <si>
    <t>GDHGLFMC</t>
  </si>
  <si>
    <r>
      <rPr>
        <sz val="12"/>
        <rFont val="宋体"/>
        <charset val="134"/>
      </rPr>
      <t>对个人股东，为股东姓名；对法人股东及关联法人，为经有关部门批准正式使用的客户全称，与客户公章所使用的名称完全一致。非股东的关联自然人名称为隐私，银行机构需做变形，变形规则见《采集技术接口说明》。</t>
    </r>
  </si>
  <si>
    <r>
      <rPr>
        <sz val="12"/>
        <rFont val="宋体"/>
        <charset val="134"/>
      </rPr>
      <t>股东或关联方类型</t>
    </r>
  </si>
  <si>
    <t>GDHGLFLX</t>
  </si>
  <si>
    <r>
      <rPr>
        <sz val="12"/>
        <rFont val="宋体"/>
        <charset val="134"/>
      </rPr>
      <t>股东或关联方证件类别</t>
    </r>
  </si>
  <si>
    <t>GDHGLFZJLB</t>
  </si>
  <si>
    <r>
      <rPr>
        <sz val="12"/>
        <rFont val="宋体"/>
        <charset val="134"/>
      </rPr>
      <t>不可为空。如未收集证件号码，可以填写为其他任意能识别该股东的编号</t>
    </r>
    <r>
      <rPr>
        <sz val="12"/>
        <rFont val="Times New Roman"/>
        <charset val="134"/>
      </rPr>
      <t>,</t>
    </r>
    <r>
      <rPr>
        <sz val="12"/>
        <rFont val="宋体"/>
        <charset val="134"/>
      </rPr>
      <t>如</t>
    </r>
    <r>
      <rPr>
        <sz val="12"/>
        <rFont val="Times New Roman"/>
        <charset val="134"/>
      </rPr>
      <t>“</t>
    </r>
    <r>
      <rPr>
        <sz val="12"/>
        <rFont val="宋体"/>
        <charset val="134"/>
      </rPr>
      <t>其他</t>
    </r>
    <r>
      <rPr>
        <sz val="12"/>
        <rFont val="Times New Roman"/>
        <charset val="134"/>
      </rPr>
      <t>-</t>
    </r>
    <r>
      <rPr>
        <sz val="12"/>
        <rFont val="宋体"/>
        <charset val="134"/>
      </rPr>
      <t>客户编号</t>
    </r>
    <r>
      <rPr>
        <sz val="12"/>
        <rFont val="Times New Roman"/>
        <charset val="134"/>
      </rPr>
      <t>”</t>
    </r>
    <r>
      <rPr>
        <sz val="12"/>
        <rFont val="宋体"/>
        <charset val="134"/>
      </rPr>
      <t>。</t>
    </r>
  </si>
  <si>
    <r>
      <rPr>
        <sz val="12"/>
        <rFont val="宋体"/>
        <charset val="134"/>
      </rPr>
      <t>股东或关联方证件号码</t>
    </r>
  </si>
  <si>
    <t>GDHGLFZJHM</t>
  </si>
  <si>
    <r>
      <rPr>
        <sz val="12"/>
        <rFont val="宋体"/>
        <charset val="134"/>
      </rPr>
      <t>如包含个人身份证件号码，则为隐私，银行机构需做变形，变形规则见《采集技术接口说明》。</t>
    </r>
  </si>
  <si>
    <r>
      <rPr>
        <sz val="12"/>
        <rFont val="宋体"/>
        <charset val="134"/>
      </rPr>
      <t>股东或关联方所属行业</t>
    </r>
  </si>
  <si>
    <t>SSHY</t>
  </si>
  <si>
    <r>
      <rPr>
        <sz val="12"/>
        <rFont val="宋体"/>
        <charset val="134"/>
      </rPr>
      <t>股东或关联方主营业务所属的行业</t>
    </r>
  </si>
  <si>
    <r>
      <rPr>
        <sz val="12"/>
        <rFont val="宋体"/>
        <charset val="134"/>
      </rPr>
      <t>股东或关联方注册地</t>
    </r>
  </si>
  <si>
    <t>ZCD</t>
  </si>
  <si>
    <r>
      <rPr>
        <sz val="12"/>
        <rFont val="宋体"/>
        <charset val="134"/>
      </rPr>
      <t>主要股东不得为空。</t>
    </r>
  </si>
  <si>
    <t>GXLX</t>
  </si>
  <si>
    <r>
      <rPr>
        <sz val="12"/>
        <rFont val="宋体"/>
        <charset val="134"/>
      </rPr>
      <t>股东：上市银行持有或控制</t>
    </r>
    <r>
      <rPr>
        <sz val="12"/>
        <rFont val="Times New Roman"/>
        <charset val="134"/>
      </rPr>
      <t>1%</t>
    </r>
    <r>
      <rPr>
        <sz val="12"/>
        <rFont val="宋体"/>
        <charset val="134"/>
      </rPr>
      <t>以上、</t>
    </r>
    <r>
      <rPr>
        <sz val="12"/>
        <rFont val="Times New Roman"/>
        <charset val="134"/>
      </rPr>
      <t>5%</t>
    </r>
    <r>
      <rPr>
        <sz val="12"/>
        <rFont val="宋体"/>
        <charset val="134"/>
      </rPr>
      <t>以下股份或表决权的股东；非上市银行为持有或控制</t>
    </r>
    <r>
      <rPr>
        <sz val="12"/>
        <rFont val="Times New Roman"/>
        <charset val="134"/>
      </rPr>
      <t>5%</t>
    </r>
    <r>
      <rPr>
        <sz val="12"/>
        <rFont val="宋体"/>
        <charset val="134"/>
      </rPr>
      <t>以下股份的所有股东。</t>
    </r>
    <r>
      <rPr>
        <sz val="12"/>
        <rFont val="Times New Roman"/>
        <charset val="134"/>
      </rPr>
      <t xml:space="preserve">
</t>
    </r>
    <r>
      <rPr>
        <sz val="12"/>
        <rFont val="宋体"/>
        <charset val="134"/>
      </rPr>
      <t>控制：包括直接控制、间接控制，是指有权决定一个企业的财务和经营决策，并能据以从该企业的经营活动中获取利益。</t>
    </r>
    <r>
      <rPr>
        <sz val="12"/>
        <rFont val="Times New Roman"/>
        <charset val="134"/>
      </rPr>
      <t xml:space="preserve">
</t>
    </r>
    <r>
      <rPr>
        <sz val="12"/>
        <rFont val="宋体"/>
        <charset val="134"/>
      </rPr>
      <t>持有：包括直接持有与间接持有。</t>
    </r>
    <r>
      <rPr>
        <sz val="12"/>
        <rFont val="Times New Roman"/>
        <charset val="134"/>
      </rPr>
      <t xml:space="preserve">
</t>
    </r>
    <r>
      <rPr>
        <sz val="12"/>
        <rFont val="宋体"/>
        <charset val="134"/>
      </rPr>
      <t>重大影响：是指对法人或组织的财务和经营政策有参与决策的权力，但不能够控制或者与其他方共同控制这些政策的制定。包括但不限于派驻董事、监事或高级管理人员、通过协议或其他方式影响法人或组织的财务和经营管理决策，以及银保监会或其派出机构认定的其他情形。</t>
    </r>
    <r>
      <rPr>
        <sz val="12"/>
        <rFont val="Times New Roman"/>
        <charset val="134"/>
      </rPr>
      <t xml:space="preserve">
</t>
    </r>
    <r>
      <rPr>
        <sz val="12"/>
        <rFont val="宋体"/>
        <charset val="134"/>
      </rPr>
      <t>控股股东：是指持股比例达到</t>
    </r>
    <r>
      <rPr>
        <sz val="12"/>
        <rFont val="Times New Roman"/>
        <charset val="134"/>
      </rPr>
      <t>50%</t>
    </r>
    <r>
      <rPr>
        <sz val="12"/>
        <rFont val="宋体"/>
        <charset val="134"/>
      </rPr>
      <t>以上的股东；或持股比例虽不足</t>
    </r>
    <r>
      <rPr>
        <sz val="12"/>
        <rFont val="Times New Roman"/>
        <charset val="134"/>
      </rPr>
      <t>50%</t>
    </r>
    <r>
      <rPr>
        <sz val="12"/>
        <rFont val="宋体"/>
        <charset val="134"/>
      </rPr>
      <t>，但依享有的表决权已足以对股东（大）会的决议产生控制性影响的股东。</t>
    </r>
    <r>
      <rPr>
        <sz val="12"/>
        <rFont val="Times New Roman"/>
        <charset val="134"/>
      </rPr>
      <t xml:space="preserve">
</t>
    </r>
    <r>
      <rPr>
        <sz val="12"/>
        <rFont val="宋体"/>
        <charset val="134"/>
      </rPr>
      <t>实际控制人：是指虽不是公司的股东，但通过投资关系、协议或者其他安排，能够实际支配公司行为的自然人或其他最终控制人。</t>
    </r>
    <r>
      <rPr>
        <sz val="12"/>
        <rFont val="Times New Roman"/>
        <charset val="134"/>
      </rPr>
      <t xml:space="preserve">
</t>
    </r>
    <r>
      <rPr>
        <sz val="12"/>
        <rFont val="宋体"/>
        <charset val="134"/>
      </rPr>
      <t>一致行动人：是指通过协议、合作或其他途径，在行使表决权或参与其他经济活动时采取相同意思表示的自然人、法人或非法人组织。</t>
    </r>
    <r>
      <rPr>
        <sz val="12"/>
        <rFont val="Times New Roman"/>
        <charset val="134"/>
      </rPr>
      <t xml:space="preserve">
</t>
    </r>
    <r>
      <rPr>
        <sz val="12"/>
        <rFont val="宋体"/>
        <charset val="134"/>
      </rPr>
      <t>最终受益人：是指实际享有银行保险机构股权收益、金融产品收益的人。</t>
    </r>
    <r>
      <rPr>
        <sz val="12"/>
        <rFont val="Times New Roman"/>
        <charset val="134"/>
      </rPr>
      <t xml:space="preserve">
“</t>
    </r>
    <r>
      <rPr>
        <sz val="12"/>
        <rFont val="宋体"/>
        <charset val="134"/>
      </rPr>
      <t>以上</t>
    </r>
    <r>
      <rPr>
        <sz val="12"/>
        <rFont val="Times New Roman"/>
        <charset val="134"/>
      </rPr>
      <t>”</t>
    </r>
    <r>
      <rPr>
        <sz val="12"/>
        <rFont val="宋体"/>
        <charset val="134"/>
      </rPr>
      <t>含本数，</t>
    </r>
    <r>
      <rPr>
        <sz val="12"/>
        <rFont val="Times New Roman"/>
        <charset val="134"/>
      </rPr>
      <t>“</t>
    </r>
    <r>
      <rPr>
        <sz val="12"/>
        <rFont val="宋体"/>
        <charset val="134"/>
      </rPr>
      <t>以下</t>
    </r>
    <r>
      <rPr>
        <sz val="12"/>
        <rFont val="Times New Roman"/>
        <charset val="134"/>
      </rPr>
      <t>”</t>
    </r>
    <r>
      <rPr>
        <sz val="12"/>
        <rFont val="宋体"/>
        <charset val="134"/>
      </rPr>
      <t>不含本数。未尽事宜参照《银行保险机构关联交易管理办法》（中国银行保险监督管理委员会令〔</t>
    </r>
    <r>
      <rPr>
        <sz val="12"/>
        <rFont val="Times New Roman"/>
        <charset val="134"/>
      </rPr>
      <t>2022</t>
    </r>
    <r>
      <rPr>
        <sz val="12"/>
        <rFont val="宋体"/>
        <charset val="134"/>
      </rPr>
      <t>〕</t>
    </r>
    <r>
      <rPr>
        <sz val="12"/>
        <rFont val="Times New Roman"/>
        <charset val="134"/>
      </rPr>
      <t>1</t>
    </r>
    <r>
      <rPr>
        <sz val="12"/>
        <rFont val="宋体"/>
        <charset val="134"/>
      </rPr>
      <t>号）填报。</t>
    </r>
  </si>
  <si>
    <r>
      <rPr>
        <sz val="12"/>
        <rFont val="宋体"/>
        <charset val="134"/>
      </rPr>
      <t>实际控制人</t>
    </r>
  </si>
  <si>
    <t>SJKZR</t>
  </si>
  <si>
    <r>
      <rPr>
        <sz val="12"/>
        <rFont val="宋体"/>
        <charset val="134"/>
      </rPr>
      <t>应按照穿透原则填报股东的最终实际控制人，公有制企业的应填报至最终出资人，如</t>
    </r>
    <r>
      <rPr>
        <sz val="12"/>
        <rFont val="Times New Roman"/>
        <charset val="134"/>
      </rPr>
      <t>XX</t>
    </r>
    <r>
      <rPr>
        <sz val="12"/>
        <rFont val="宋体"/>
        <charset val="134"/>
      </rPr>
      <t>国资委；非公有制企业应填报至出资自然人名称；外资企业应填报境外出资人名称。实控人为多人以英文半角分号隔开。无实控人的，填报</t>
    </r>
    <r>
      <rPr>
        <sz val="12"/>
        <rFont val="Times New Roman"/>
        <charset val="134"/>
      </rPr>
      <t>“</t>
    </r>
    <r>
      <rPr>
        <sz val="12"/>
        <rFont val="宋体"/>
        <charset val="134"/>
      </rPr>
      <t>无</t>
    </r>
    <r>
      <rPr>
        <sz val="12"/>
        <rFont val="Times New Roman"/>
        <charset val="134"/>
      </rPr>
      <t>”</t>
    </r>
    <r>
      <rPr>
        <sz val="12"/>
        <rFont val="宋体"/>
        <charset val="134"/>
      </rPr>
      <t>。非隐私，不做变形。</t>
    </r>
  </si>
  <si>
    <r>
      <rPr>
        <sz val="12"/>
        <rFont val="宋体"/>
        <charset val="134"/>
      </rPr>
      <t>参股商业银行的数量</t>
    </r>
  </si>
  <si>
    <t>CGSYYHSL</t>
  </si>
  <si>
    <r>
      <rPr>
        <sz val="12"/>
        <rFont val="宋体"/>
        <charset val="134"/>
      </rPr>
      <t>同一股东及其关联方、一致行动人作为主要股东参股商业银行的数量</t>
    </r>
  </si>
  <si>
    <r>
      <rPr>
        <sz val="12"/>
        <rFont val="宋体"/>
        <charset val="134"/>
      </rPr>
      <t>控股商业银行的数量</t>
    </r>
  </si>
  <si>
    <t>KGSL</t>
  </si>
  <si>
    <r>
      <rPr>
        <sz val="12"/>
        <rFont val="宋体"/>
        <charset val="134"/>
      </rPr>
      <t>同一股东及其关联方、一致行动人作为主要股东控股商业银行的数量</t>
    </r>
  </si>
  <si>
    <t>BLXX</t>
  </si>
  <si>
    <r>
      <rPr>
        <sz val="12"/>
        <rFont val="宋体"/>
        <charset val="134"/>
      </rPr>
      <t>是否限权</t>
    </r>
  </si>
  <si>
    <t>SFXQ</t>
  </si>
  <si>
    <r>
      <rPr>
        <sz val="12"/>
        <rFont val="宋体"/>
        <charset val="134"/>
      </rPr>
      <t>是否存在限制股东参与经营管理的相关权利，包括股东大会召开请求权、表决权、提名权、提案权、处分权等</t>
    </r>
  </si>
  <si>
    <t>RGZJLY</t>
  </si>
  <si>
    <r>
      <rPr>
        <sz val="12"/>
        <rFont val="宋体"/>
        <charset val="134"/>
      </rPr>
      <t>入股资金账号</t>
    </r>
  </si>
  <si>
    <t>RGZJZH</t>
  </si>
  <si>
    <r>
      <rPr>
        <sz val="12"/>
        <rFont val="宋体"/>
        <charset val="134"/>
      </rPr>
      <t>需填写入股时在本行开立的验资户账户号。二级市场买入可为空。多个账号用英文半角分号隔开。</t>
    </r>
  </si>
  <si>
    <r>
      <rPr>
        <sz val="12"/>
        <rFont val="宋体"/>
        <charset val="134"/>
      </rPr>
      <t>持股数量</t>
    </r>
  </si>
  <si>
    <t>CGSL</t>
  </si>
  <si>
    <r>
      <rPr>
        <sz val="12"/>
        <rFont val="宋体"/>
        <charset val="134"/>
      </rPr>
      <t>股东持有银行股数，以股为单位。填报机构为非股份法人的可以为空。</t>
    </r>
  </si>
  <si>
    <r>
      <rPr>
        <sz val="12"/>
        <rFont val="宋体"/>
        <charset val="134"/>
      </rPr>
      <t>持股比例</t>
    </r>
  </si>
  <si>
    <t>CGBL</t>
  </si>
  <si>
    <r>
      <rPr>
        <sz val="12"/>
        <rFont val="宋体"/>
        <charset val="134"/>
      </rPr>
      <t>入股日期</t>
    </r>
  </si>
  <si>
    <t>RGRQ</t>
  </si>
  <si>
    <r>
      <rPr>
        <sz val="12"/>
        <rFont val="宋体"/>
        <charset val="134"/>
      </rPr>
      <t>最近一次持股份额由</t>
    </r>
    <r>
      <rPr>
        <sz val="12"/>
        <rFont val="Times New Roman"/>
        <charset val="134"/>
      </rPr>
      <t>0</t>
    </r>
    <r>
      <rPr>
        <sz val="12"/>
        <rFont val="宋体"/>
        <charset val="134"/>
      </rPr>
      <t>变为非</t>
    </r>
    <r>
      <rPr>
        <sz val="12"/>
        <rFont val="Times New Roman"/>
        <charset val="134"/>
      </rPr>
      <t>0</t>
    </r>
    <r>
      <rPr>
        <sz val="12"/>
        <rFont val="宋体"/>
        <charset val="134"/>
      </rPr>
      <t>的日期。</t>
    </r>
  </si>
  <si>
    <r>
      <rPr>
        <sz val="12"/>
        <rFont val="宋体"/>
        <charset val="134"/>
      </rPr>
      <t>数据项名称、数据项代码</t>
    </r>
  </si>
  <si>
    <r>
      <rPr>
        <sz val="12"/>
        <rFont val="宋体"/>
        <charset val="134"/>
      </rPr>
      <t>质押比例</t>
    </r>
  </si>
  <si>
    <t>ZYBL</t>
  </si>
  <si>
    <r>
      <rPr>
        <sz val="12"/>
        <rFont val="宋体"/>
        <charset val="134"/>
      </rPr>
      <t>填报该股东截至报送日持有的本行股权用于质押的比例。未质押股权的填</t>
    </r>
    <r>
      <rPr>
        <sz val="12"/>
        <rFont val="Times New Roman"/>
        <charset val="134"/>
      </rPr>
      <t>0</t>
    </r>
    <r>
      <rPr>
        <sz val="12"/>
        <rFont val="宋体"/>
        <charset val="134"/>
      </rPr>
      <t>，未采集质押比例的填报为空。</t>
    </r>
  </si>
  <si>
    <r>
      <rPr>
        <sz val="12"/>
        <rFont val="宋体"/>
        <charset val="134"/>
      </rPr>
      <t>是否驻派董监事</t>
    </r>
  </si>
  <si>
    <t>SFZPDJS</t>
  </si>
  <si>
    <r>
      <rPr>
        <sz val="12"/>
        <rFont val="宋体"/>
        <charset val="134"/>
      </rPr>
      <t>该股东是否向本行派驻董事、监事。</t>
    </r>
  </si>
  <si>
    <r>
      <rPr>
        <sz val="12"/>
        <rFont val="宋体"/>
        <charset val="134"/>
      </rPr>
      <t>股东或关联方状态</t>
    </r>
  </si>
  <si>
    <t>GDHGLFZT</t>
  </si>
  <si>
    <r>
      <rPr>
        <sz val="12"/>
        <rFont val="宋体"/>
        <charset val="134"/>
      </rPr>
      <t>表示一条记录是否已经无效。默认为有效，当需要删除一条股东信息时，更新为无效。</t>
    </r>
  </si>
  <si>
    <r>
      <rPr>
        <sz val="12"/>
        <rFont val="宋体"/>
        <charset val="134"/>
      </rPr>
      <t>最近一次变动日期</t>
    </r>
  </si>
  <si>
    <t>ZJYCBDRQ</t>
  </si>
  <si>
    <r>
      <rPr>
        <sz val="12"/>
        <rFont val="宋体"/>
        <charset val="134"/>
      </rPr>
      <t>报送最近一次入股、增资扩股或股权转让等影响持股比例的日期。</t>
    </r>
  </si>
  <si>
    <r>
      <rPr>
        <sz val="14"/>
        <rFont val="宋体"/>
        <charset val="134"/>
      </rPr>
      <t>客户信息</t>
    </r>
  </si>
  <si>
    <r>
      <rPr>
        <sz val="12"/>
        <rFont val="宋体"/>
        <charset val="134"/>
      </rPr>
      <t>个人基础信息表</t>
    </r>
  </si>
  <si>
    <r>
      <rPr>
        <sz val="12"/>
        <rFont val="宋体"/>
        <charset val="134"/>
      </rPr>
      <t>填报客户归属的银行机构。营业机构、管理机构必须填报</t>
    </r>
    <r>
      <rPr>
        <sz val="12"/>
        <rFont val="Times New Roman"/>
        <charset val="134"/>
      </rPr>
      <t>“</t>
    </r>
    <r>
      <rPr>
        <sz val="12"/>
        <rFont val="宋体"/>
        <charset val="134"/>
      </rPr>
      <t>金融许可证号</t>
    </r>
    <r>
      <rPr>
        <sz val="12"/>
        <rFont val="Times New Roman"/>
        <charset val="134"/>
      </rPr>
      <t>”</t>
    </r>
    <r>
      <rPr>
        <sz val="12"/>
        <rFont val="宋体"/>
        <charset val="134"/>
      </rPr>
      <t>，内设机构、虚拟机构及营业部取本级或上一级管理机构的金融许可证号，优先取本级。</t>
    </r>
  </si>
  <si>
    <r>
      <rPr>
        <sz val="12"/>
        <rFont val="宋体"/>
        <charset val="134"/>
      </rPr>
      <t>填报客户归属的银行机构。关联数据项：机构信息表</t>
    </r>
    <r>
      <rPr>
        <sz val="12"/>
        <rFont val="Times New Roman"/>
        <charset val="134"/>
      </rPr>
      <t>.</t>
    </r>
    <r>
      <rPr>
        <sz val="12"/>
        <rFont val="宋体"/>
        <charset val="134"/>
      </rPr>
      <t>内部机构号</t>
    </r>
  </si>
  <si>
    <r>
      <rPr>
        <sz val="12"/>
        <rFont val="宋体"/>
        <charset val="134"/>
      </rPr>
      <t>填报客户归属的银行机构。关联数据项：机构信息表</t>
    </r>
    <r>
      <rPr>
        <sz val="12"/>
        <rFont val="Times New Roman"/>
        <charset val="134"/>
      </rPr>
      <t>.</t>
    </r>
    <r>
      <rPr>
        <sz val="12"/>
        <rFont val="宋体"/>
        <charset val="134"/>
      </rPr>
      <t>银行机构名称</t>
    </r>
  </si>
  <si>
    <r>
      <rPr>
        <sz val="12"/>
        <rFont val="Times New Roman"/>
        <charset val="134"/>
      </rPr>
      <t>PK</t>
    </r>
    <r>
      <rPr>
        <sz val="12"/>
        <rFont val="宋体"/>
        <charset val="134"/>
      </rPr>
      <t>。如包含个人身份证件号码，则为隐私，银行机构需做变形，变形规则见《采集技术接口说明》。</t>
    </r>
  </si>
  <si>
    <r>
      <rPr>
        <sz val="12"/>
        <rFont val="宋体"/>
        <charset val="134"/>
      </rPr>
      <t>客户姓名</t>
    </r>
  </si>
  <si>
    <t>KHXM</t>
  </si>
  <si>
    <r>
      <rPr>
        <sz val="12"/>
        <rFont val="宋体"/>
        <charset val="134"/>
      </rPr>
      <t>隐私，银行机构变形，变形规则见《采集技术接口说明》。</t>
    </r>
  </si>
  <si>
    <r>
      <rPr>
        <sz val="12"/>
        <rFont val="宋体"/>
        <charset val="134"/>
      </rPr>
      <t>客户类型</t>
    </r>
  </si>
  <si>
    <t>BXYGBZ</t>
  </si>
  <si>
    <r>
      <rPr>
        <sz val="12"/>
        <rFont val="宋体"/>
        <charset val="134"/>
      </rPr>
      <t>多个身份的，用英文半角分号隔开填报。识别为个体工商户或小为企业主的，不必填普通个人客户身份。</t>
    </r>
  </si>
  <si>
    <t>MZ</t>
  </si>
  <si>
    <r>
      <rPr>
        <sz val="12"/>
        <rFont val="宋体"/>
        <charset val="134"/>
      </rPr>
      <t>外籍客户允许为空。</t>
    </r>
  </si>
  <si>
    <t>XB</t>
  </si>
  <si>
    <r>
      <rPr>
        <sz val="12"/>
        <rFont val="宋体"/>
        <charset val="134"/>
      </rPr>
      <t>不可为空。</t>
    </r>
  </si>
  <si>
    <t>XL</t>
  </si>
  <si>
    <r>
      <rPr>
        <sz val="12"/>
        <rFont val="宋体"/>
        <charset val="134"/>
      </rPr>
      <t>未采集的允许为空。</t>
    </r>
  </si>
  <si>
    <r>
      <rPr>
        <sz val="12"/>
        <rFont val="宋体"/>
        <charset val="134"/>
      </rPr>
      <t>出生年月</t>
    </r>
  </si>
  <si>
    <t>CSNY</t>
  </si>
  <si>
    <r>
      <rPr>
        <sz val="12"/>
        <rFont val="宋体"/>
        <charset val="134"/>
      </rPr>
      <t>客户的出生年月，无需精确到日。不可为空。</t>
    </r>
  </si>
  <si>
    <r>
      <rPr>
        <sz val="12"/>
        <rFont val="宋体"/>
        <charset val="134"/>
      </rPr>
      <t>数据元，备注</t>
    </r>
  </si>
  <si>
    <r>
      <rPr>
        <sz val="12"/>
        <rFont val="宋体"/>
        <charset val="134"/>
      </rPr>
      <t>是否已婚</t>
    </r>
  </si>
  <si>
    <t>SFYH</t>
  </si>
  <si>
    <r>
      <rPr>
        <sz val="12"/>
        <rFont val="宋体"/>
        <charset val="134"/>
      </rPr>
      <t>工作单位名称</t>
    </r>
  </si>
  <si>
    <t>GZDWMC</t>
  </si>
  <si>
    <r>
      <rPr>
        <sz val="12"/>
        <rFont val="宋体"/>
        <charset val="134"/>
      </rPr>
      <t>未采集或无工作单位的客户，允许为空。工作单位是境内涉密机构的，客户名称填报为</t>
    </r>
    <r>
      <rPr>
        <sz val="12"/>
        <rFont val="Times New Roman"/>
        <charset val="134"/>
      </rPr>
      <t>“*********”</t>
    </r>
    <r>
      <rPr>
        <sz val="12"/>
        <rFont val="宋体"/>
        <charset val="134"/>
      </rPr>
      <t>。</t>
    </r>
  </si>
  <si>
    <r>
      <rPr>
        <sz val="12"/>
        <rFont val="宋体"/>
        <charset val="134"/>
      </rPr>
      <t>工作单位地址</t>
    </r>
  </si>
  <si>
    <t>GZDWDZ</t>
  </si>
  <si>
    <r>
      <rPr>
        <sz val="12"/>
        <rFont val="宋体"/>
        <charset val="134"/>
      </rPr>
      <t>未采集或无工作单位的客户，允许为空。工作单位是境内涉密机构的填报为空。</t>
    </r>
  </si>
  <si>
    <r>
      <rPr>
        <sz val="12"/>
        <rFont val="宋体"/>
        <charset val="134"/>
      </rPr>
      <t>工作单位电话</t>
    </r>
  </si>
  <si>
    <t>GZDWDH</t>
  </si>
  <si>
    <t>DWXZ</t>
  </si>
  <si>
    <r>
      <rPr>
        <sz val="12"/>
        <rFont val="宋体"/>
        <charset val="134"/>
      </rPr>
      <t>未采集或无工作单位的客户，允许为空。</t>
    </r>
  </si>
  <si>
    <t>ZY</t>
  </si>
  <si>
    <t>ZW</t>
  </si>
  <si>
    <r>
      <rPr>
        <sz val="12"/>
        <rFont val="宋体"/>
        <charset val="134"/>
      </rPr>
      <t>数据项代码、数据元</t>
    </r>
  </si>
  <si>
    <r>
      <rPr>
        <sz val="12"/>
        <rFont val="宋体"/>
        <charset val="134"/>
      </rPr>
      <t>个人年收入</t>
    </r>
  </si>
  <si>
    <t>GRNSR</t>
  </si>
  <si>
    <r>
      <rPr>
        <sz val="12"/>
        <rFont val="宋体"/>
        <charset val="134"/>
      </rPr>
      <t>折算人民币报送。小微个人客户填报经营收入指标。学生等无收入的客户，个人年收入可填报为</t>
    </r>
    <r>
      <rPr>
        <sz val="12"/>
        <rFont val="Times New Roman"/>
        <charset val="134"/>
      </rPr>
      <t>0</t>
    </r>
    <r>
      <rPr>
        <sz val="12"/>
        <rFont val="宋体"/>
        <charset val="134"/>
      </rPr>
      <t>。未采集的允许为空。</t>
    </r>
  </si>
  <si>
    <r>
      <rPr>
        <sz val="12"/>
        <rFont val="宋体"/>
        <charset val="134"/>
      </rPr>
      <t>通讯地址</t>
    </r>
  </si>
  <si>
    <t>TXDZ</t>
  </si>
  <si>
    <r>
      <rPr>
        <sz val="12"/>
        <rFont val="宋体"/>
        <charset val="134"/>
      </rPr>
      <t>对于未采集通讯地址的客户，允许为空。</t>
    </r>
  </si>
  <si>
    <r>
      <rPr>
        <sz val="12"/>
        <rFont val="宋体"/>
        <charset val="134"/>
      </rPr>
      <t>隐私，银行机构变形，变形规则见《采集技术接口说明》，应采尽采。</t>
    </r>
  </si>
  <si>
    <r>
      <rPr>
        <sz val="12"/>
        <rFont val="宋体"/>
        <charset val="134"/>
      </rPr>
      <t>信贷客户标志</t>
    </r>
  </si>
  <si>
    <t>XDKHBZ</t>
  </si>
  <si>
    <r>
      <rPr>
        <sz val="12"/>
        <rFont val="宋体"/>
        <charset val="134"/>
      </rPr>
      <t>有信贷业务余额，或者开展过信贷业务的客户均为本行信贷客户。</t>
    </r>
  </si>
  <si>
    <r>
      <rPr>
        <sz val="12"/>
        <rFont val="宋体"/>
        <charset val="134"/>
      </rPr>
      <t>首次建立信贷关系年月</t>
    </r>
  </si>
  <si>
    <t>SCJLXDGXNY</t>
  </si>
  <si>
    <r>
      <rPr>
        <sz val="12"/>
        <rFont val="宋体"/>
        <charset val="134"/>
      </rPr>
      <t>信贷客户标志为</t>
    </r>
    <r>
      <rPr>
        <sz val="12"/>
        <rFont val="Times New Roman"/>
        <charset val="134"/>
      </rPr>
      <t>“</t>
    </r>
    <r>
      <rPr>
        <sz val="12"/>
        <rFont val="宋体"/>
        <charset val="134"/>
      </rPr>
      <t>是</t>
    </r>
    <r>
      <rPr>
        <sz val="12"/>
        <rFont val="Times New Roman"/>
        <charset val="134"/>
      </rPr>
      <t>”</t>
    </r>
    <r>
      <rPr>
        <sz val="12"/>
        <rFont val="宋体"/>
        <charset val="134"/>
      </rPr>
      <t>时，首次建立信贷关系年月不能为默认值。</t>
    </r>
  </si>
  <si>
    <r>
      <rPr>
        <sz val="12"/>
        <rFont val="宋体"/>
        <charset val="134"/>
      </rPr>
      <t>是否农户</t>
    </r>
  </si>
  <si>
    <t>SFNH</t>
  </si>
  <si>
    <r>
      <rPr>
        <sz val="12"/>
        <rFont val="宋体"/>
        <charset val="134"/>
      </rPr>
      <t>统计口径参照人行涉农口径。</t>
    </r>
  </si>
  <si>
    <r>
      <rPr>
        <sz val="12"/>
        <rFont val="宋体"/>
        <charset val="134"/>
      </rPr>
      <t>本行员工标志</t>
    </r>
  </si>
  <si>
    <t>BHYGBZ</t>
  </si>
  <si>
    <r>
      <rPr>
        <sz val="12"/>
        <rFont val="宋体"/>
        <charset val="134"/>
      </rPr>
      <t>上黑名单标志</t>
    </r>
  </si>
  <si>
    <t>SHMDBZ</t>
  </si>
  <si>
    <r>
      <rPr>
        <sz val="12"/>
        <rFont val="宋体"/>
        <charset val="134"/>
      </rPr>
      <t>黑名单指：反洗钱黑名单、失信人员黑名单。</t>
    </r>
  </si>
  <si>
    <r>
      <rPr>
        <sz val="12"/>
        <rFont val="宋体"/>
        <charset val="134"/>
      </rPr>
      <t>上黑名单日期</t>
    </r>
  </si>
  <si>
    <t>SHMDRQ</t>
  </si>
  <si>
    <r>
      <rPr>
        <sz val="12"/>
        <rFont val="宋体"/>
        <charset val="134"/>
      </rPr>
      <t>个人客户关系表</t>
    </r>
  </si>
  <si>
    <r>
      <rPr>
        <sz val="12"/>
        <rFont val="宋体"/>
        <charset val="134"/>
      </rPr>
      <t>修改表名、备注</t>
    </r>
  </si>
  <si>
    <r>
      <rPr>
        <sz val="12"/>
        <rFont val="宋体"/>
        <charset val="134"/>
      </rPr>
      <t>关联数据项：机构信息表</t>
    </r>
    <r>
      <rPr>
        <sz val="12"/>
        <rFont val="Times New Roman"/>
        <charset val="134"/>
      </rPr>
      <t>.</t>
    </r>
    <r>
      <rPr>
        <sz val="12"/>
        <rFont val="宋体"/>
        <charset val="134"/>
      </rPr>
      <t>内部机构号</t>
    </r>
  </si>
  <si>
    <r>
      <rPr>
        <sz val="12"/>
        <rFont val="Times New Roman"/>
        <charset val="134"/>
      </rPr>
      <t>PK</t>
    </r>
    <r>
      <rPr>
        <sz val="12"/>
        <rFont val="宋体"/>
        <charset val="134"/>
      </rPr>
      <t>。如包含个人身份证件号码，则为隐私，银行机构需做变形，变形规则见《采集技术接口说明》。关联数据项：个人基础信息表</t>
    </r>
    <r>
      <rPr>
        <sz val="12"/>
        <rFont val="Times New Roman"/>
        <charset val="134"/>
      </rPr>
      <t>.</t>
    </r>
    <r>
      <rPr>
        <sz val="12"/>
        <rFont val="宋体"/>
        <charset val="134"/>
      </rPr>
      <t>客户统一编号</t>
    </r>
  </si>
  <si>
    <r>
      <rPr>
        <sz val="12"/>
        <rFont val="宋体"/>
        <charset val="134"/>
      </rPr>
      <t>关系人客户统一编号</t>
    </r>
  </si>
  <si>
    <t>GXRKHTYBH</t>
  </si>
  <si>
    <r>
      <rPr>
        <sz val="12"/>
        <rFont val="宋体"/>
        <charset val="134"/>
      </rPr>
      <t>若非本行客户，则填报为空。</t>
    </r>
  </si>
  <si>
    <r>
      <rPr>
        <sz val="12"/>
        <rFont val="宋体"/>
        <charset val="134"/>
      </rPr>
      <t>关系人名称</t>
    </r>
  </si>
  <si>
    <t>GXRMC</t>
  </si>
  <si>
    <r>
      <rPr>
        <sz val="12"/>
        <rFont val="宋体"/>
        <charset val="134"/>
      </rPr>
      <t>关系人证件类别</t>
    </r>
  </si>
  <si>
    <t>GXRZJLB</t>
  </si>
  <si>
    <r>
      <rPr>
        <sz val="12"/>
        <rFont val="宋体"/>
        <charset val="134"/>
      </rPr>
      <t>不可为空。如未收集证件号码，可以填写为其他任意能识别该关系人的编号</t>
    </r>
    <r>
      <rPr>
        <sz val="12"/>
        <rFont val="Times New Roman"/>
        <charset val="134"/>
      </rPr>
      <t>,</t>
    </r>
    <r>
      <rPr>
        <sz val="12"/>
        <rFont val="宋体"/>
        <charset val="134"/>
      </rPr>
      <t>如</t>
    </r>
    <r>
      <rPr>
        <sz val="12"/>
        <rFont val="Times New Roman"/>
        <charset val="134"/>
      </rPr>
      <t>“</t>
    </r>
    <r>
      <rPr>
        <sz val="12"/>
        <rFont val="宋体"/>
        <charset val="134"/>
      </rPr>
      <t>其他</t>
    </r>
    <r>
      <rPr>
        <sz val="12"/>
        <rFont val="Times New Roman"/>
        <charset val="134"/>
      </rPr>
      <t>-</t>
    </r>
    <r>
      <rPr>
        <sz val="12"/>
        <rFont val="宋体"/>
        <charset val="134"/>
      </rPr>
      <t>客户编号</t>
    </r>
    <r>
      <rPr>
        <sz val="12"/>
        <rFont val="Times New Roman"/>
        <charset val="134"/>
      </rPr>
      <t>”</t>
    </r>
    <r>
      <rPr>
        <sz val="12"/>
        <rFont val="宋体"/>
        <charset val="134"/>
      </rPr>
      <t>。</t>
    </r>
  </si>
  <si>
    <r>
      <rPr>
        <sz val="12"/>
        <rFont val="宋体"/>
        <charset val="134"/>
      </rPr>
      <t>关系人证件号码</t>
    </r>
  </si>
  <si>
    <t>GXRZJHM</t>
  </si>
  <si>
    <r>
      <rPr>
        <sz val="12"/>
        <rFont val="宋体"/>
        <charset val="134"/>
      </rPr>
      <t>关系状态</t>
    </r>
  </si>
  <si>
    <t>GXZT</t>
  </si>
  <si>
    <r>
      <rPr>
        <sz val="12"/>
        <rFont val="宋体"/>
        <charset val="134"/>
      </rPr>
      <t>表示该条关系是否已经失效。标记为失效状态的个人关系在次月不再报送。</t>
    </r>
  </si>
  <si>
    <r>
      <rPr>
        <sz val="12"/>
        <rFont val="宋体"/>
        <charset val="134"/>
      </rPr>
      <t>对公客户信息表</t>
    </r>
  </si>
  <si>
    <r>
      <rPr>
        <sz val="12"/>
        <rFont val="宋体"/>
        <charset val="134"/>
      </rPr>
      <t>表名、备注</t>
    </r>
  </si>
  <si>
    <r>
      <rPr>
        <sz val="12"/>
        <rFont val="宋体"/>
        <charset val="134"/>
      </rPr>
      <t>客户名称</t>
    </r>
  </si>
  <si>
    <t>KHMC</t>
  </si>
  <si>
    <r>
      <rPr>
        <sz val="12"/>
        <rFont val="宋体"/>
        <charset val="134"/>
      </rPr>
      <t>纳入集团统一授信的客户，虚拟集团客户以及成员单位均填报为集团客户。非隐私，不做变形。境内涉密机构的客户名称填报为</t>
    </r>
    <r>
      <rPr>
        <sz val="12"/>
        <rFont val="Times New Roman"/>
        <charset val="134"/>
      </rPr>
      <t>“*********”</t>
    </r>
    <r>
      <rPr>
        <sz val="12"/>
        <rFont val="宋体"/>
        <charset val="134"/>
      </rPr>
      <t>。</t>
    </r>
  </si>
  <si>
    <t>KHLX</t>
  </si>
  <si>
    <r>
      <rPr>
        <sz val="12"/>
        <rFont val="宋体"/>
        <charset val="134"/>
      </rPr>
      <t>同业客户的范围与银保监会非现场监管统计一致。银行对企业分公司等非法人机构授信的，视同单一法人客户填报。纳入集团统一授信的客户，均填报为集团客户。</t>
    </r>
  </si>
  <si>
    <r>
      <rPr>
        <sz val="12"/>
        <rFont val="宋体"/>
        <charset val="134"/>
      </rPr>
      <t>对于对公客户：已登记统一社会信用代码的，填</t>
    </r>
    <r>
      <rPr>
        <sz val="12"/>
        <rFont val="Times New Roman"/>
        <charset val="134"/>
      </rPr>
      <t>18</t>
    </r>
    <r>
      <rPr>
        <sz val="12"/>
        <rFont val="宋体"/>
        <charset val="134"/>
      </rPr>
      <t>位统一社会信用代码；未登记统一社会信用代码的，填营业执照注册号。</t>
    </r>
  </si>
  <si>
    <r>
      <rPr>
        <sz val="12"/>
        <rFont val="宋体"/>
        <charset val="134"/>
      </rPr>
      <t>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r>
  </si>
  <si>
    <t>FRDB</t>
  </si>
  <si>
    <r>
      <rPr>
        <sz val="12"/>
        <rFont val="宋体"/>
        <charset val="134"/>
      </rPr>
      <t>非隐私，不做变形。没有法人代表的允许为空。</t>
    </r>
  </si>
  <si>
    <r>
      <rPr>
        <sz val="12"/>
        <rFont val="宋体"/>
        <charset val="134"/>
      </rPr>
      <t>法人代表证件类别</t>
    </r>
  </si>
  <si>
    <t>FRDBZJLB</t>
  </si>
  <si>
    <r>
      <rPr>
        <sz val="12"/>
        <rFont val="宋体"/>
        <charset val="134"/>
      </rPr>
      <t>没有法人代表的允许为空。</t>
    </r>
  </si>
  <si>
    <r>
      <rPr>
        <sz val="12"/>
        <rFont val="宋体"/>
        <charset val="134"/>
      </rPr>
      <t>法人代表证件号码</t>
    </r>
  </si>
  <si>
    <t>FRDBZJHM</t>
  </si>
  <si>
    <r>
      <rPr>
        <sz val="12"/>
        <rFont val="宋体"/>
        <charset val="134"/>
      </rPr>
      <t>隐私，银行机构变形。变形规则见《采集技术接口说明》。没有法人代表的允许为空。</t>
    </r>
  </si>
  <si>
    <r>
      <rPr>
        <sz val="12"/>
        <rFont val="宋体"/>
        <charset val="134"/>
      </rPr>
      <t>财务负责人</t>
    </r>
  </si>
  <si>
    <t>CWFZR</t>
  </si>
  <si>
    <r>
      <rPr>
        <sz val="12"/>
        <rFont val="宋体"/>
        <charset val="134"/>
      </rPr>
      <t>非隐私，不做变形。填报财务负责人，无财务负责人的填报财务经办人员，应尽量填报，没有可以为空。</t>
    </r>
  </si>
  <si>
    <r>
      <rPr>
        <sz val="12"/>
        <rFont val="宋体"/>
        <charset val="134"/>
      </rPr>
      <t>财务负责人证件类别</t>
    </r>
  </si>
  <si>
    <t>CWFZRZJLB</t>
  </si>
  <si>
    <r>
      <rPr>
        <sz val="12"/>
        <rFont val="宋体"/>
        <charset val="134"/>
      </rPr>
      <t>部分客户未采集财务负责人信息，应尽量填报，没有可以为空。</t>
    </r>
  </si>
  <si>
    <r>
      <rPr>
        <sz val="12"/>
        <rFont val="宋体"/>
        <charset val="134"/>
      </rPr>
      <t>财务负责人证件号码</t>
    </r>
  </si>
  <si>
    <t>CWFZRZJHM</t>
  </si>
  <si>
    <r>
      <rPr>
        <sz val="12"/>
        <rFont val="宋体"/>
        <charset val="134"/>
      </rPr>
      <t>隐私，银行机构变形。变形规则见《采集技术接口说明》。部分客户未采集财务负责人信息，应尽量填报，没有可以为空。</t>
    </r>
  </si>
  <si>
    <r>
      <rPr>
        <sz val="12"/>
        <rFont val="宋体"/>
        <charset val="134"/>
      </rPr>
      <t>基本存款账号</t>
    </r>
  </si>
  <si>
    <t>JBCKZH</t>
  </si>
  <si>
    <r>
      <rPr>
        <sz val="12"/>
        <rFont val="宋体"/>
        <charset val="134"/>
      </rPr>
      <t>基本存款账户是存款人因办理日常转账结算和现金收付需要开立的银行结算账户。在本行开立有对公户人民币结算账户（验资户除外）需要填报。</t>
    </r>
  </si>
  <si>
    <r>
      <rPr>
        <sz val="12"/>
        <rFont val="宋体"/>
        <charset val="134"/>
      </rPr>
      <t>基本存款账户开户行号</t>
    </r>
  </si>
  <si>
    <t>JBCKZHKHHH</t>
  </si>
  <si>
    <r>
      <rPr>
        <sz val="12"/>
        <rFont val="宋体"/>
        <charset val="134"/>
      </rPr>
      <t>客户的基本存款账户所在行机构代码。</t>
    </r>
  </si>
  <si>
    <r>
      <rPr>
        <sz val="12"/>
        <rFont val="宋体"/>
        <charset val="134"/>
      </rPr>
      <t>基本存款账户开户行名称</t>
    </r>
  </si>
  <si>
    <t>JBCKZHKHHMC</t>
  </si>
  <si>
    <r>
      <rPr>
        <sz val="12"/>
        <rFont val="宋体"/>
        <charset val="134"/>
      </rPr>
      <t>客户的基本存款账户所在行名称。</t>
    </r>
  </si>
  <si>
    <r>
      <rPr>
        <sz val="12"/>
        <rFont val="宋体"/>
        <charset val="134"/>
      </rPr>
      <t>注册资本</t>
    </r>
  </si>
  <si>
    <t>ZCZB</t>
  </si>
  <si>
    <r>
      <rPr>
        <sz val="12"/>
        <rFont val="宋体"/>
        <charset val="134"/>
      </rPr>
      <t>非企业客户及未采集的允许为空。</t>
    </r>
  </si>
  <si>
    <r>
      <rPr>
        <sz val="12"/>
        <rFont val="宋体"/>
        <charset val="134"/>
      </rPr>
      <t>注册资本币种</t>
    </r>
  </si>
  <si>
    <t>ZCZBBZ</t>
  </si>
  <si>
    <r>
      <rPr>
        <sz val="12"/>
        <rFont val="宋体"/>
        <charset val="134"/>
      </rPr>
      <t>实收资本</t>
    </r>
  </si>
  <si>
    <t>SSZB</t>
  </si>
  <si>
    <r>
      <rPr>
        <sz val="12"/>
        <rFont val="宋体"/>
        <charset val="134"/>
      </rPr>
      <t>实收资本币种</t>
    </r>
  </si>
  <si>
    <t>SSZBBZ</t>
  </si>
  <si>
    <r>
      <rPr>
        <sz val="12"/>
        <rFont val="宋体"/>
        <charset val="134"/>
      </rPr>
      <t>非企业客户，未采集的允许为空。</t>
    </r>
  </si>
  <si>
    <r>
      <rPr>
        <sz val="12"/>
        <rFont val="宋体"/>
        <charset val="134"/>
      </rPr>
      <t>注册地址</t>
    </r>
  </si>
  <si>
    <t>ZCDZ</t>
  </si>
  <si>
    <r>
      <rPr>
        <sz val="12"/>
        <rFont val="宋体"/>
        <charset val="134"/>
      </rPr>
      <t>客户的工商登记注册地址。没有的允许为空。</t>
    </r>
  </si>
  <si>
    <r>
      <rPr>
        <sz val="12"/>
        <rFont val="宋体"/>
        <charset val="134"/>
      </rPr>
      <t>非隐私，不做变形。</t>
    </r>
    <r>
      <rPr>
        <sz val="12"/>
        <rFont val="Times New Roman"/>
        <charset val="134"/>
      </rPr>
      <t>“</t>
    </r>
    <r>
      <rPr>
        <sz val="12"/>
        <rFont val="宋体"/>
        <charset val="134"/>
      </rPr>
      <t>财务负责人</t>
    </r>
    <r>
      <rPr>
        <sz val="12"/>
        <rFont val="Times New Roman"/>
        <charset val="134"/>
      </rPr>
      <t>”</t>
    </r>
    <r>
      <rPr>
        <sz val="12"/>
        <rFont val="宋体"/>
        <charset val="134"/>
      </rPr>
      <t>或</t>
    </r>
    <r>
      <rPr>
        <sz val="12"/>
        <rFont val="Times New Roman"/>
        <charset val="134"/>
      </rPr>
      <t>“</t>
    </r>
    <r>
      <rPr>
        <sz val="12"/>
        <rFont val="宋体"/>
        <charset val="134"/>
      </rPr>
      <t>法人代表</t>
    </r>
    <r>
      <rPr>
        <sz val="12"/>
        <rFont val="Times New Roman"/>
        <charset val="134"/>
      </rPr>
      <t>”</t>
    </r>
    <r>
      <rPr>
        <sz val="12"/>
        <rFont val="宋体"/>
        <charset val="134"/>
      </rPr>
      <t>未采集的允许为空。</t>
    </r>
  </si>
  <si>
    <t>JYFW</t>
  </si>
  <si>
    <r>
      <rPr>
        <sz val="12"/>
        <rFont val="宋体"/>
        <charset val="134"/>
      </rPr>
      <t>非企业客户允许为空。</t>
    </r>
  </si>
  <si>
    <r>
      <rPr>
        <sz val="12"/>
        <rFont val="宋体"/>
        <charset val="134"/>
      </rPr>
      <t>客户公司的注册成立日期。行政单位等开立对公账户时因所持证件未记载成立日期的，允许为空。</t>
    </r>
  </si>
  <si>
    <r>
      <rPr>
        <sz val="12"/>
        <rFont val="宋体"/>
        <charset val="134"/>
      </rPr>
      <t>填报行业代码，不填报行业名称。</t>
    </r>
  </si>
  <si>
    <t>QYFL</t>
  </si>
  <si>
    <r>
      <rPr>
        <sz val="12"/>
        <rFont val="宋体"/>
        <charset val="134"/>
      </rPr>
      <t>信贷标志为</t>
    </r>
    <r>
      <rPr>
        <sz val="12"/>
        <rFont val="Times New Roman"/>
        <charset val="134"/>
      </rPr>
      <t>“</t>
    </r>
    <r>
      <rPr>
        <sz val="12"/>
        <rFont val="宋体"/>
        <charset val="134"/>
      </rPr>
      <t>是</t>
    </r>
    <r>
      <rPr>
        <sz val="12"/>
        <rFont val="Times New Roman"/>
        <charset val="134"/>
      </rPr>
      <t>”</t>
    </r>
    <r>
      <rPr>
        <sz val="12"/>
        <rFont val="宋体"/>
        <charset val="134"/>
      </rPr>
      <t>时，企业分类不可为空。</t>
    </r>
  </si>
  <si>
    <r>
      <rPr>
        <sz val="12"/>
        <rFont val="宋体"/>
        <charset val="134"/>
      </rPr>
      <t>发生过信贷业务的客户填报为</t>
    </r>
    <r>
      <rPr>
        <sz val="12"/>
        <rFont val="Times New Roman"/>
        <charset val="134"/>
      </rPr>
      <t>“</t>
    </r>
    <r>
      <rPr>
        <sz val="12"/>
        <rFont val="宋体"/>
        <charset val="134"/>
      </rPr>
      <t>是</t>
    </r>
    <r>
      <rPr>
        <sz val="12"/>
        <rFont val="Times New Roman"/>
        <charset val="134"/>
      </rPr>
      <t>”</t>
    </r>
    <r>
      <rPr>
        <sz val="12"/>
        <rFont val="宋体"/>
        <charset val="134"/>
      </rPr>
      <t>，其他填报为</t>
    </r>
    <r>
      <rPr>
        <sz val="12"/>
        <rFont val="Times New Roman"/>
        <charset val="134"/>
      </rPr>
      <t>“</t>
    </r>
    <r>
      <rPr>
        <sz val="12"/>
        <rFont val="宋体"/>
        <charset val="134"/>
      </rPr>
      <t>否</t>
    </r>
    <r>
      <rPr>
        <sz val="12"/>
        <rFont val="Times New Roman"/>
        <charset val="134"/>
      </rPr>
      <t>”</t>
    </r>
    <r>
      <rPr>
        <sz val="12"/>
        <rFont val="宋体"/>
        <charset val="134"/>
      </rPr>
      <t>。</t>
    </r>
  </si>
  <si>
    <r>
      <rPr>
        <sz val="12"/>
        <rFont val="宋体"/>
        <charset val="134"/>
      </rPr>
      <t>上市公司标志</t>
    </r>
  </si>
  <si>
    <t>SSGSBZ</t>
  </si>
  <si>
    <r>
      <rPr>
        <sz val="12"/>
        <rFont val="宋体"/>
        <charset val="134"/>
      </rPr>
      <t>在境内外市场上市的均为上市公司。</t>
    </r>
  </si>
  <si>
    <t>XYPJ</t>
  </si>
  <si>
    <r>
      <rPr>
        <sz val="12"/>
        <rFont val="宋体"/>
        <charset val="134"/>
      </rPr>
      <t>非企业客户可以为空。企业客户信贷标志为</t>
    </r>
    <r>
      <rPr>
        <sz val="12"/>
        <rFont val="Times New Roman"/>
        <charset val="134"/>
      </rPr>
      <t>“</t>
    </r>
    <r>
      <rPr>
        <sz val="12"/>
        <rFont val="宋体"/>
        <charset val="134"/>
      </rPr>
      <t>是</t>
    </r>
    <r>
      <rPr>
        <sz val="12"/>
        <rFont val="Times New Roman"/>
        <charset val="134"/>
      </rPr>
      <t>”</t>
    </r>
    <r>
      <rPr>
        <sz val="12"/>
        <rFont val="宋体"/>
        <charset val="134"/>
      </rPr>
      <t>时，信用评级不可为空。多个评级结果的，填报评级最低的结果。</t>
    </r>
  </si>
  <si>
    <r>
      <rPr>
        <sz val="12"/>
        <rFont val="宋体"/>
        <charset val="134"/>
      </rPr>
      <t>员工人数</t>
    </r>
  </si>
  <si>
    <t>YGRS</t>
  </si>
  <si>
    <r>
      <rPr>
        <sz val="12"/>
        <rFont val="宋体"/>
        <charset val="134"/>
      </rPr>
      <t>非企业客户可以为空。企业客户信贷客户标志为</t>
    </r>
    <r>
      <rPr>
        <sz val="12"/>
        <rFont val="Times New Roman"/>
        <charset val="134"/>
      </rPr>
      <t>“</t>
    </r>
    <r>
      <rPr>
        <sz val="12"/>
        <rFont val="宋体"/>
        <charset val="134"/>
      </rPr>
      <t>是</t>
    </r>
    <r>
      <rPr>
        <sz val="12"/>
        <rFont val="Times New Roman"/>
        <charset val="134"/>
      </rPr>
      <t>”</t>
    </r>
    <r>
      <rPr>
        <sz val="12"/>
        <rFont val="宋体"/>
        <charset val="134"/>
      </rPr>
      <t>时，员工人数不可为空。</t>
    </r>
  </si>
  <si>
    <t>FXYJXH</t>
  </si>
  <si>
    <r>
      <rPr>
        <sz val="12"/>
        <rFont val="宋体"/>
        <charset val="134"/>
      </rPr>
      <t>如未在客户风险统计报表中填报相关指标的，允许为空。多个风险预警信号的，用英文半角分号隔开填报。</t>
    </r>
  </si>
  <si>
    <r>
      <rPr>
        <sz val="12"/>
        <rFont val="宋体"/>
        <charset val="134"/>
      </rPr>
      <t>数据元说明、格式</t>
    </r>
  </si>
  <si>
    <t>GZSJDM</t>
  </si>
  <si>
    <r>
      <rPr>
        <sz val="12"/>
        <rFont val="宋体"/>
        <charset val="134"/>
      </rPr>
      <t>如未在客户风险统计报表中填报相关指标的，允许为空。多个关注事件的，用英文半角分号隔开填报。</t>
    </r>
  </si>
  <si>
    <r>
      <rPr>
        <sz val="12"/>
        <rFont val="宋体"/>
        <charset val="134"/>
      </rPr>
      <t>对公客户财务信息表</t>
    </r>
  </si>
  <si>
    <t>CWBBBH</t>
  </si>
  <si>
    <r>
      <rPr>
        <sz val="12"/>
        <rFont val="宋体"/>
        <charset val="134"/>
      </rPr>
      <t>财务报表日期</t>
    </r>
  </si>
  <si>
    <t>CWBBRQ</t>
  </si>
  <si>
    <r>
      <rPr>
        <sz val="12"/>
        <rFont val="宋体"/>
        <charset val="134"/>
      </rPr>
      <t>是否审计</t>
    </r>
  </si>
  <si>
    <t>SFSJ</t>
  </si>
  <si>
    <r>
      <rPr>
        <sz val="12"/>
        <rFont val="宋体"/>
        <charset val="134"/>
      </rPr>
      <t>审计机构</t>
    </r>
  </si>
  <si>
    <t>SJJG</t>
  </si>
  <si>
    <r>
      <rPr>
        <sz val="12"/>
        <rFont val="宋体"/>
        <charset val="134"/>
      </rPr>
      <t>按实际情况填写，优先填报外部审计机构，其次填报内部审计机构，如果没有审计机构的允许为空。</t>
    </r>
  </si>
  <si>
    <t>BBKJ</t>
  </si>
  <si>
    <t>BZ</t>
  </si>
  <si>
    <r>
      <rPr>
        <sz val="12"/>
        <rFont val="宋体"/>
        <charset val="134"/>
      </rPr>
      <t>资产总额</t>
    </r>
  </si>
  <si>
    <t>ZCZE</t>
  </si>
  <si>
    <r>
      <rPr>
        <sz val="12"/>
        <rFont val="宋体"/>
        <charset val="134"/>
      </rPr>
      <t>负债总额</t>
    </r>
  </si>
  <si>
    <t>FZZE</t>
  </si>
  <si>
    <r>
      <rPr>
        <sz val="12"/>
        <rFont val="宋体"/>
        <charset val="134"/>
      </rPr>
      <t>税前利润</t>
    </r>
  </si>
  <si>
    <t>SQLR</t>
  </si>
  <si>
    <r>
      <rPr>
        <sz val="12"/>
        <rFont val="宋体"/>
        <charset val="134"/>
      </rPr>
      <t>所得税</t>
    </r>
  </si>
  <si>
    <t>SDS</t>
  </si>
  <si>
    <r>
      <rPr>
        <sz val="12"/>
        <rFont val="宋体"/>
        <charset val="134"/>
      </rPr>
      <t>净利润</t>
    </r>
  </si>
  <si>
    <t>JLR</t>
  </si>
  <si>
    <r>
      <rPr>
        <sz val="12"/>
        <rFont val="宋体"/>
        <charset val="134"/>
      </rPr>
      <t>主营业务收入</t>
    </r>
  </si>
  <si>
    <t>ZYYWSR</t>
  </si>
  <si>
    <r>
      <rPr>
        <sz val="12"/>
        <rFont val="宋体"/>
        <charset val="134"/>
      </rPr>
      <t>现金流量净额</t>
    </r>
  </si>
  <si>
    <t>XJLLJE</t>
  </si>
  <si>
    <r>
      <rPr>
        <sz val="12"/>
        <rFont val="宋体"/>
        <charset val="134"/>
      </rPr>
      <t>应收账款</t>
    </r>
  </si>
  <si>
    <t>YSZK</t>
  </si>
  <si>
    <r>
      <rPr>
        <sz val="12"/>
        <rFont val="宋体"/>
        <charset val="134"/>
      </rPr>
      <t>其他应收款</t>
    </r>
  </si>
  <si>
    <t>QTYSK</t>
  </si>
  <si>
    <r>
      <rPr>
        <sz val="12"/>
        <rFont val="宋体"/>
        <charset val="134"/>
      </rPr>
      <t>报表周期</t>
    </r>
  </si>
  <si>
    <t>BBZQ</t>
  </si>
  <si>
    <r>
      <rPr>
        <sz val="12"/>
        <rFont val="宋体"/>
        <charset val="134"/>
      </rPr>
      <t>集团客户表</t>
    </r>
  </si>
  <si>
    <t>JTBH</t>
  </si>
  <si>
    <r>
      <rPr>
        <sz val="12"/>
        <rFont val="宋体"/>
        <charset val="134"/>
      </rPr>
      <t>集团名称</t>
    </r>
  </si>
  <si>
    <t>JTMC</t>
  </si>
  <si>
    <r>
      <rPr>
        <sz val="12"/>
        <rFont val="宋体"/>
        <charset val="134"/>
      </rPr>
      <t>母公司客户统一编号</t>
    </r>
  </si>
  <si>
    <t>MGSKHTYBH</t>
  </si>
  <si>
    <r>
      <rPr>
        <sz val="12"/>
        <rFont val="宋体"/>
        <charset val="134"/>
      </rPr>
      <t>对于没有母公司的集团，母公司允许为空。关联数据项：对公客户信息表</t>
    </r>
    <r>
      <rPr>
        <sz val="12"/>
        <rFont val="Times New Roman"/>
        <charset val="134"/>
      </rPr>
      <t>.</t>
    </r>
    <r>
      <rPr>
        <sz val="12"/>
        <rFont val="宋体"/>
        <charset val="134"/>
      </rPr>
      <t>客户统一编号</t>
    </r>
  </si>
  <si>
    <r>
      <rPr>
        <sz val="12"/>
        <rFont val="宋体"/>
        <charset val="134"/>
      </rPr>
      <t>母公司名称</t>
    </r>
  </si>
  <si>
    <t>MGSMC</t>
  </si>
  <si>
    <r>
      <rPr>
        <sz val="12"/>
        <rFont val="宋体"/>
        <charset val="134"/>
      </rPr>
      <t>供应链融资情况下</t>
    </r>
    <r>
      <rPr>
        <sz val="12"/>
        <rFont val="Times New Roman"/>
        <charset val="134"/>
      </rPr>
      <t>“</t>
    </r>
    <r>
      <rPr>
        <sz val="12"/>
        <rFont val="宋体"/>
        <charset val="134"/>
      </rPr>
      <t>母公司名称</t>
    </r>
    <r>
      <rPr>
        <sz val="12"/>
        <rFont val="Times New Roman"/>
        <charset val="134"/>
      </rPr>
      <t>”</t>
    </r>
    <r>
      <rPr>
        <sz val="12"/>
        <rFont val="宋体"/>
        <charset val="134"/>
      </rPr>
      <t>填报为核心企业客户。对于没有母公司的集团，母公司允许为空。关联数据项：对公客户信息表</t>
    </r>
    <r>
      <rPr>
        <sz val="12"/>
        <rFont val="Times New Roman"/>
        <charset val="134"/>
      </rPr>
      <t>.</t>
    </r>
    <r>
      <rPr>
        <sz val="12"/>
        <rFont val="宋体"/>
        <charset val="134"/>
      </rPr>
      <t>客户名称。</t>
    </r>
  </si>
  <si>
    <r>
      <rPr>
        <sz val="12"/>
        <rFont val="宋体"/>
        <charset val="134"/>
      </rPr>
      <t>实控人名称</t>
    </r>
  </si>
  <si>
    <t>SKRMC</t>
  </si>
  <si>
    <r>
      <rPr>
        <sz val="12"/>
        <rFont val="宋体"/>
        <charset val="134"/>
      </rPr>
      <t>供应链融资情况下</t>
    </r>
    <r>
      <rPr>
        <sz val="12"/>
        <rFont val="Times New Roman"/>
        <charset val="134"/>
      </rPr>
      <t>“</t>
    </r>
    <r>
      <rPr>
        <sz val="12"/>
        <rFont val="宋体"/>
        <charset val="134"/>
      </rPr>
      <t>实控人名称</t>
    </r>
    <r>
      <rPr>
        <sz val="12"/>
        <rFont val="Times New Roman"/>
        <charset val="134"/>
      </rPr>
      <t>”</t>
    </r>
    <r>
      <rPr>
        <sz val="12"/>
        <rFont val="宋体"/>
        <charset val="134"/>
      </rPr>
      <t>填报为核心企业客户。</t>
    </r>
  </si>
  <si>
    <r>
      <rPr>
        <sz val="12"/>
        <rFont val="宋体"/>
        <charset val="134"/>
      </rPr>
      <t>实控人类型</t>
    </r>
  </si>
  <si>
    <t>SKRLX</t>
  </si>
  <si>
    <r>
      <rPr>
        <sz val="12"/>
        <rFont val="宋体"/>
        <charset val="134"/>
      </rPr>
      <t>集团资产总额</t>
    </r>
  </si>
  <si>
    <t>JTZCZE</t>
  </si>
  <si>
    <r>
      <rPr>
        <sz val="12"/>
        <rFont val="宋体"/>
        <charset val="134"/>
      </rPr>
      <t>指集团合并报表资产总额，以最近一次财报披露的信息填报。供应链客户无合并报表的，填报本部报表资产。</t>
    </r>
  </si>
  <si>
    <r>
      <rPr>
        <sz val="12"/>
        <rFont val="宋体"/>
        <charset val="134"/>
      </rPr>
      <t>集团负债总额</t>
    </r>
  </si>
  <si>
    <t>JTFZZE</t>
  </si>
  <si>
    <r>
      <rPr>
        <sz val="12"/>
        <rFont val="宋体"/>
        <charset val="134"/>
      </rPr>
      <t>指集团合并报表负债总额，以最近一次财报披露的信息填报。供应链客户无合并报表的，填报本部报表负债金额。</t>
    </r>
  </si>
  <si>
    <r>
      <rPr>
        <sz val="12"/>
        <rFont val="宋体"/>
        <charset val="134"/>
      </rPr>
      <t>集团授信额度</t>
    </r>
  </si>
  <si>
    <t>JTSXED</t>
  </si>
  <si>
    <r>
      <rPr>
        <sz val="12"/>
        <rFont val="宋体"/>
        <charset val="134"/>
      </rPr>
      <t>指集团敞口授信总额度。</t>
    </r>
  </si>
  <si>
    <r>
      <rPr>
        <sz val="12"/>
        <rFont val="宋体"/>
        <charset val="134"/>
      </rPr>
      <t>集团已用额度</t>
    </r>
  </si>
  <si>
    <t>JTYYED</t>
  </si>
  <si>
    <r>
      <rPr>
        <sz val="12"/>
        <rFont val="宋体"/>
        <charset val="134"/>
      </rPr>
      <t>指集团敞口授信已用额度。</t>
    </r>
  </si>
  <si>
    <r>
      <rPr>
        <sz val="12"/>
        <rFont val="宋体"/>
        <charset val="134"/>
      </rPr>
      <t>成员客户统一编号</t>
    </r>
  </si>
  <si>
    <t>CYKHTYBH</t>
  </si>
  <si>
    <r>
      <rPr>
        <sz val="12"/>
        <rFont val="Times New Roman"/>
        <charset val="134"/>
      </rPr>
      <t>PK</t>
    </r>
    <r>
      <rPr>
        <sz val="12"/>
        <rFont val="宋体"/>
        <charset val="134"/>
      </rPr>
      <t>。关联数据项：对公客户信息表</t>
    </r>
    <r>
      <rPr>
        <sz val="12"/>
        <rFont val="Times New Roman"/>
        <charset val="134"/>
      </rPr>
      <t>.</t>
    </r>
    <r>
      <rPr>
        <sz val="12"/>
        <rFont val="宋体"/>
        <charset val="134"/>
      </rPr>
      <t>客户统一编号</t>
    </r>
  </si>
  <si>
    <r>
      <rPr>
        <sz val="12"/>
        <rFont val="宋体"/>
        <charset val="134"/>
      </rPr>
      <t>成员名称</t>
    </r>
  </si>
  <si>
    <t>CYMC</t>
  </si>
  <si>
    <r>
      <rPr>
        <sz val="12"/>
        <rFont val="宋体"/>
        <charset val="134"/>
      </rPr>
      <t>关联数据项：对公客户信息表</t>
    </r>
    <r>
      <rPr>
        <sz val="12"/>
        <rFont val="Times New Roman"/>
        <charset val="134"/>
      </rPr>
      <t>.</t>
    </r>
    <r>
      <rPr>
        <sz val="12"/>
        <rFont val="宋体"/>
        <charset val="134"/>
      </rPr>
      <t>客户名称</t>
    </r>
  </si>
  <si>
    <r>
      <rPr>
        <sz val="12"/>
        <rFont val="宋体"/>
        <charset val="134"/>
      </rPr>
      <t>成员已用额度</t>
    </r>
  </si>
  <si>
    <t>CYYYED</t>
  </si>
  <si>
    <r>
      <rPr>
        <sz val="12"/>
        <rFont val="宋体"/>
        <charset val="134"/>
      </rPr>
      <t>关联关系表</t>
    </r>
  </si>
  <si>
    <r>
      <rPr>
        <sz val="12"/>
        <rFont val="宋体"/>
        <charset val="134"/>
      </rPr>
      <t>调整数据项位置，删除主键</t>
    </r>
  </si>
  <si>
    <r>
      <rPr>
        <sz val="12"/>
        <rFont val="宋体"/>
        <charset val="134"/>
      </rPr>
      <t>客户证件类别</t>
    </r>
  </si>
  <si>
    <t>KHZJLB</t>
  </si>
  <si>
    <r>
      <rPr>
        <sz val="12"/>
        <rFont val="宋体"/>
        <charset val="134"/>
      </rPr>
      <t>客户证件号码</t>
    </r>
  </si>
  <si>
    <t>KHZJHM</t>
  </si>
  <si>
    <r>
      <rPr>
        <sz val="12"/>
        <rFont val="Times New Roman"/>
        <charset val="134"/>
      </rPr>
      <t>PK</t>
    </r>
    <r>
      <rPr>
        <sz val="12"/>
        <rFont val="宋体"/>
        <charset val="134"/>
      </rPr>
      <t>。对公统一社会信用代码（组织机构代码）或对私个人身份证件号码。如是个人身份证件号码，则为隐私，银行机构需做变形，变形规则见《采集技术接口说明》。</t>
    </r>
  </si>
  <si>
    <r>
      <rPr>
        <sz val="12"/>
        <rFont val="宋体"/>
        <charset val="134"/>
      </rPr>
      <t>新增主键</t>
    </r>
  </si>
  <si>
    <r>
      <rPr>
        <sz val="12"/>
        <rFont val="Times New Roman"/>
        <charset val="134"/>
      </rPr>
      <t>PK</t>
    </r>
    <r>
      <rPr>
        <sz val="12"/>
        <rFont val="宋体"/>
        <charset val="134"/>
      </rPr>
      <t>。同一关联人具有多重关联关系的，以多条分别填报。</t>
    </r>
  </si>
  <si>
    <r>
      <rPr>
        <sz val="12"/>
        <rFont val="宋体"/>
        <charset val="134"/>
      </rPr>
      <t>关联人客户统一编号</t>
    </r>
  </si>
  <si>
    <t>GLRKHTYBH</t>
  </si>
  <si>
    <r>
      <rPr>
        <sz val="12"/>
        <rFont val="宋体"/>
        <charset val="134"/>
      </rPr>
      <t>关联人如果不是本行客户，则填空。</t>
    </r>
  </si>
  <si>
    <r>
      <rPr>
        <sz val="12"/>
        <rFont val="宋体"/>
        <charset val="134"/>
      </rPr>
      <t>关联人名称</t>
    </r>
  </si>
  <si>
    <t>GLRMC</t>
  </si>
  <si>
    <r>
      <rPr>
        <sz val="12"/>
        <rFont val="宋体"/>
        <charset val="134"/>
      </rPr>
      <t>若关系人类别为个人，则为隐私，银行机构变形，变形规则见《采集技术接口说明》。若关系人类别为对公，则非隐私，不作变形。</t>
    </r>
  </si>
  <si>
    <r>
      <rPr>
        <sz val="12"/>
        <rFont val="宋体"/>
        <charset val="134"/>
      </rPr>
      <t>删除主键</t>
    </r>
  </si>
  <si>
    <t>GLRLB</t>
  </si>
  <si>
    <r>
      <rPr>
        <sz val="12"/>
        <rFont val="宋体"/>
        <charset val="134"/>
      </rPr>
      <t>关联人证件类别</t>
    </r>
  </si>
  <si>
    <t>GLRZJLB</t>
  </si>
  <si>
    <r>
      <rPr>
        <sz val="12"/>
        <rFont val="宋体"/>
        <charset val="134"/>
      </rPr>
      <t>不可为空。如未收集证件号码，可以填写为其他任意能识别关联人的编号</t>
    </r>
    <r>
      <rPr>
        <sz val="12"/>
        <rFont val="Times New Roman"/>
        <charset val="134"/>
      </rPr>
      <t>,</t>
    </r>
    <r>
      <rPr>
        <sz val="12"/>
        <rFont val="宋体"/>
        <charset val="134"/>
      </rPr>
      <t>如</t>
    </r>
    <r>
      <rPr>
        <sz val="12"/>
        <rFont val="Times New Roman"/>
        <charset val="134"/>
      </rPr>
      <t>“</t>
    </r>
    <r>
      <rPr>
        <sz val="12"/>
        <rFont val="宋体"/>
        <charset val="134"/>
      </rPr>
      <t>其他</t>
    </r>
    <r>
      <rPr>
        <sz val="12"/>
        <rFont val="Times New Roman"/>
        <charset val="134"/>
      </rPr>
      <t>-</t>
    </r>
    <r>
      <rPr>
        <sz val="12"/>
        <rFont val="宋体"/>
        <charset val="134"/>
      </rPr>
      <t>客户编号</t>
    </r>
    <r>
      <rPr>
        <sz val="12"/>
        <rFont val="Times New Roman"/>
        <charset val="134"/>
      </rPr>
      <t>”</t>
    </r>
    <r>
      <rPr>
        <sz val="12"/>
        <rFont val="宋体"/>
        <charset val="134"/>
      </rPr>
      <t>。</t>
    </r>
  </si>
  <si>
    <r>
      <rPr>
        <sz val="12"/>
        <rFont val="宋体"/>
        <charset val="134"/>
      </rPr>
      <t>关联人证件号码</t>
    </r>
  </si>
  <si>
    <t>GLRZJHM</t>
  </si>
  <si>
    <r>
      <rPr>
        <sz val="12"/>
        <rFont val="宋体"/>
        <charset val="134"/>
      </rPr>
      <t>表示该条关系是否已经失效。标记为失效状态的关联关系在次月不再报送。</t>
    </r>
  </si>
  <si>
    <r>
      <rPr>
        <sz val="14"/>
        <rFont val="宋体"/>
        <charset val="134"/>
      </rPr>
      <t>卡片信息</t>
    </r>
  </si>
  <si>
    <r>
      <rPr>
        <sz val="12"/>
        <rFont val="宋体"/>
        <charset val="134"/>
      </rPr>
      <t>借记卡信息表</t>
    </r>
  </si>
  <si>
    <r>
      <rPr>
        <sz val="12"/>
        <rFont val="宋体"/>
        <charset val="134"/>
      </rPr>
      <t>填报卡片归属的银行机构。营业机构、管理机构必须填报</t>
    </r>
    <r>
      <rPr>
        <sz val="12"/>
        <rFont val="Times New Roman"/>
        <charset val="134"/>
      </rPr>
      <t>“</t>
    </r>
    <r>
      <rPr>
        <sz val="12"/>
        <rFont val="宋体"/>
        <charset val="134"/>
      </rPr>
      <t>金融许可证号</t>
    </r>
    <r>
      <rPr>
        <sz val="12"/>
        <rFont val="Times New Roman"/>
        <charset val="134"/>
      </rPr>
      <t>”</t>
    </r>
    <r>
      <rPr>
        <sz val="12"/>
        <rFont val="宋体"/>
        <charset val="134"/>
      </rPr>
      <t>，内设机构、虚拟机构及营业部取本级或上一级管理机构的金融许可证号，优先取本级。</t>
    </r>
  </si>
  <si>
    <r>
      <rPr>
        <sz val="12"/>
        <rFont val="宋体"/>
        <charset val="134"/>
      </rPr>
      <t>填报卡片归属的银行机构。关联数据项：机构信息表</t>
    </r>
    <r>
      <rPr>
        <sz val="12"/>
        <rFont val="Times New Roman"/>
        <charset val="134"/>
      </rPr>
      <t>.</t>
    </r>
    <r>
      <rPr>
        <sz val="12"/>
        <rFont val="宋体"/>
        <charset val="134"/>
      </rPr>
      <t>内部机构号</t>
    </r>
  </si>
  <si>
    <r>
      <rPr>
        <sz val="12"/>
        <rFont val="宋体"/>
        <charset val="134"/>
      </rPr>
      <t>如果是对公客户，则为非隐私，不做变形。如果是个人客户，则为隐私，银行机构变形，变形规则见《采集技术接口说明》。</t>
    </r>
  </si>
  <si>
    <r>
      <rPr>
        <sz val="12"/>
        <rFont val="宋体"/>
        <charset val="134"/>
      </rPr>
      <t>如为个人身份证件号码，则为隐私，银行机构需做变形，变形规则见《采集技术接口说明》。</t>
    </r>
  </si>
  <si>
    <t>KH</t>
  </si>
  <si>
    <r>
      <rPr>
        <sz val="12"/>
        <rFont val="宋体"/>
        <charset val="134"/>
      </rPr>
      <t>活期存款账号</t>
    </r>
  </si>
  <si>
    <t>HQCKZH</t>
  </si>
  <si>
    <r>
      <rPr>
        <sz val="12"/>
        <rFont val="Times New Roman"/>
        <charset val="134"/>
      </rPr>
      <t>PK</t>
    </r>
    <r>
      <rPr>
        <sz val="12"/>
        <rFont val="宋体"/>
        <charset val="134"/>
      </rPr>
      <t>。银行个人客户开立活期存款账户的账号；无关联活期存款账号时不填；关联多个活期账号，每一个活期存款账号填一条记录。有多个账号时填多条记录</t>
    </r>
  </si>
  <si>
    <t>JJKCPMC</t>
  </si>
  <si>
    <r>
      <rPr>
        <sz val="12"/>
        <rFont val="宋体"/>
        <charset val="134"/>
      </rPr>
      <t>虚拟卡标志</t>
    </r>
  </si>
  <si>
    <t>XNKBZ</t>
  </si>
  <si>
    <r>
      <rPr>
        <sz val="12"/>
        <rFont val="宋体"/>
        <charset val="134"/>
      </rPr>
      <t>若为虚拟卡，则填写</t>
    </r>
    <r>
      <rPr>
        <sz val="12"/>
        <rFont val="Times New Roman"/>
        <charset val="134"/>
      </rPr>
      <t>“</t>
    </r>
    <r>
      <rPr>
        <sz val="12"/>
        <rFont val="宋体"/>
        <charset val="134"/>
      </rPr>
      <t>是</t>
    </r>
    <r>
      <rPr>
        <sz val="12"/>
        <rFont val="Times New Roman"/>
        <charset val="134"/>
      </rPr>
      <t>”</t>
    </r>
    <r>
      <rPr>
        <sz val="12"/>
        <rFont val="宋体"/>
        <charset val="134"/>
      </rPr>
      <t>；若为实体卡，则填写</t>
    </r>
    <r>
      <rPr>
        <sz val="12"/>
        <rFont val="Times New Roman"/>
        <charset val="134"/>
      </rPr>
      <t>“</t>
    </r>
    <r>
      <rPr>
        <sz val="12"/>
        <rFont val="宋体"/>
        <charset val="134"/>
      </rPr>
      <t>否</t>
    </r>
    <r>
      <rPr>
        <sz val="12"/>
        <rFont val="Times New Roman"/>
        <charset val="134"/>
      </rPr>
      <t>”</t>
    </r>
    <r>
      <rPr>
        <sz val="12"/>
        <rFont val="宋体"/>
        <charset val="134"/>
      </rPr>
      <t>。</t>
    </r>
  </si>
  <si>
    <r>
      <rPr>
        <sz val="12"/>
        <rFont val="宋体"/>
        <charset val="134"/>
      </rPr>
      <t>员工卡标志</t>
    </r>
  </si>
  <si>
    <t>YGKBZ</t>
  </si>
  <si>
    <r>
      <rPr>
        <sz val="12"/>
        <rFont val="宋体"/>
        <charset val="134"/>
      </rPr>
      <t>若为员工卡，则填写</t>
    </r>
    <r>
      <rPr>
        <sz val="12"/>
        <rFont val="Times New Roman"/>
        <charset val="134"/>
      </rPr>
      <t>“</t>
    </r>
    <r>
      <rPr>
        <sz val="12"/>
        <rFont val="宋体"/>
        <charset val="134"/>
      </rPr>
      <t>是</t>
    </r>
    <r>
      <rPr>
        <sz val="12"/>
        <rFont val="Times New Roman"/>
        <charset val="134"/>
      </rPr>
      <t>”</t>
    </r>
    <r>
      <rPr>
        <sz val="12"/>
        <rFont val="宋体"/>
        <charset val="134"/>
      </rPr>
      <t>。</t>
    </r>
  </si>
  <si>
    <r>
      <rPr>
        <sz val="12"/>
        <rFont val="宋体"/>
        <charset val="134"/>
      </rPr>
      <t>开卡日期</t>
    </r>
  </si>
  <si>
    <t>KKRQ</t>
  </si>
  <si>
    <r>
      <rPr>
        <sz val="12"/>
        <rFont val="宋体"/>
        <charset val="134"/>
      </rPr>
      <t>开卡柜员号</t>
    </r>
  </si>
  <si>
    <t>KKGYH</t>
  </si>
  <si>
    <r>
      <rPr>
        <sz val="12"/>
        <rFont val="宋体"/>
        <charset val="134"/>
      </rPr>
      <t>关联数据项：柜员表</t>
    </r>
    <r>
      <rPr>
        <sz val="12"/>
        <rFont val="Times New Roman"/>
        <charset val="134"/>
      </rPr>
      <t>.</t>
    </r>
    <r>
      <rPr>
        <sz val="12"/>
        <rFont val="宋体"/>
        <charset val="134"/>
      </rPr>
      <t>柜员号，自动办理的柜员号允许为空。</t>
    </r>
  </si>
  <si>
    <t>KPZT</t>
  </si>
  <si>
    <r>
      <rPr>
        <sz val="12"/>
        <rFont val="宋体"/>
        <charset val="134"/>
      </rPr>
      <t>以枚举类型填报，如果无法以枚举类型填报的，以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为银行自定义的卡片状态。</t>
    </r>
  </si>
  <si>
    <r>
      <rPr>
        <sz val="12"/>
        <rFont val="宋体"/>
        <charset val="134"/>
      </rPr>
      <t>存折信息表</t>
    </r>
  </si>
  <si>
    <r>
      <rPr>
        <sz val="12"/>
        <rFont val="宋体"/>
        <charset val="134"/>
      </rPr>
      <t>填报存折归属的银行机构。营业机构、管理机构必须填报</t>
    </r>
    <r>
      <rPr>
        <sz val="12"/>
        <rFont val="Times New Roman"/>
        <charset val="134"/>
      </rPr>
      <t>“</t>
    </r>
    <r>
      <rPr>
        <sz val="12"/>
        <rFont val="宋体"/>
        <charset val="134"/>
      </rPr>
      <t>金融许可证号</t>
    </r>
    <r>
      <rPr>
        <sz val="12"/>
        <rFont val="Times New Roman"/>
        <charset val="134"/>
      </rPr>
      <t>”</t>
    </r>
    <r>
      <rPr>
        <sz val="12"/>
        <rFont val="宋体"/>
        <charset val="134"/>
      </rPr>
      <t>，内设机构、虚拟机构及营业部取本级或上一级管理机构的金融许可证号，优先取本级。</t>
    </r>
  </si>
  <si>
    <r>
      <rPr>
        <sz val="12"/>
        <rFont val="宋体"/>
        <charset val="134"/>
      </rPr>
      <t>填报存折归属的银行机构。关联数据项：机构信息表</t>
    </r>
    <r>
      <rPr>
        <sz val="12"/>
        <rFont val="Times New Roman"/>
        <charset val="134"/>
      </rPr>
      <t>.</t>
    </r>
    <r>
      <rPr>
        <sz val="12"/>
        <rFont val="宋体"/>
        <charset val="134"/>
      </rPr>
      <t>内部机构号</t>
    </r>
  </si>
  <si>
    <r>
      <rPr>
        <sz val="12"/>
        <rFont val="宋体"/>
        <charset val="134"/>
      </rPr>
      <t>存折号</t>
    </r>
  </si>
  <si>
    <t>CZH</t>
  </si>
  <si>
    <r>
      <rPr>
        <sz val="12"/>
        <rFont val="Times New Roman"/>
        <charset val="134"/>
      </rPr>
      <t>PK</t>
    </r>
    <r>
      <rPr>
        <sz val="12"/>
        <rFont val="宋体"/>
        <charset val="134"/>
      </rPr>
      <t>。无存折号时填存款账号</t>
    </r>
  </si>
  <si>
    <r>
      <rPr>
        <sz val="12"/>
        <rFont val="宋体"/>
        <charset val="134"/>
      </rPr>
      <t>存款账号</t>
    </r>
  </si>
  <si>
    <r>
      <rPr>
        <sz val="12"/>
        <rFont val="Times New Roman"/>
        <charset val="134"/>
      </rPr>
      <t>PK</t>
    </r>
    <r>
      <rPr>
        <sz val="12"/>
        <rFont val="宋体"/>
        <charset val="134"/>
      </rPr>
      <t>。银行个人客户开立活期或定期存款账户的账号，一个定期存折下面有多个存单的情况，每一个形成一条记录。</t>
    </r>
  </si>
  <si>
    <t>CZLX</t>
  </si>
  <si>
    <r>
      <rPr>
        <sz val="12"/>
        <rFont val="宋体"/>
        <charset val="134"/>
      </rPr>
      <t>员工标志</t>
    </r>
  </si>
  <si>
    <t>YGBZ</t>
  </si>
  <si>
    <r>
      <rPr>
        <sz val="12"/>
        <rFont val="宋体"/>
        <charset val="134"/>
      </rPr>
      <t>若为员工存折，则填写</t>
    </r>
    <r>
      <rPr>
        <sz val="12"/>
        <rFont val="Times New Roman"/>
        <charset val="134"/>
      </rPr>
      <t>“</t>
    </r>
    <r>
      <rPr>
        <sz val="12"/>
        <rFont val="宋体"/>
        <charset val="134"/>
      </rPr>
      <t>是</t>
    </r>
    <r>
      <rPr>
        <sz val="12"/>
        <rFont val="Times New Roman"/>
        <charset val="134"/>
      </rPr>
      <t>”</t>
    </r>
    <r>
      <rPr>
        <sz val="12"/>
        <rFont val="宋体"/>
        <charset val="134"/>
      </rPr>
      <t>。</t>
    </r>
  </si>
  <si>
    <r>
      <rPr>
        <sz val="12"/>
        <rFont val="宋体"/>
        <charset val="134"/>
      </rPr>
      <t>启用日期</t>
    </r>
  </si>
  <si>
    <t>QYRQ</t>
  </si>
  <si>
    <r>
      <rPr>
        <sz val="12"/>
        <rFont val="宋体"/>
        <charset val="134"/>
      </rPr>
      <t>启用存折日期。</t>
    </r>
  </si>
  <si>
    <r>
      <rPr>
        <sz val="12"/>
        <rFont val="宋体"/>
        <charset val="134"/>
      </rPr>
      <t>启用柜员号</t>
    </r>
  </si>
  <si>
    <t>QYGYH</t>
  </si>
  <si>
    <r>
      <rPr>
        <sz val="12"/>
        <rFont val="宋体"/>
        <charset val="134"/>
      </rPr>
      <t>启用存折柜员号。关联数据项：柜员表</t>
    </r>
    <r>
      <rPr>
        <sz val="12"/>
        <rFont val="Times New Roman"/>
        <charset val="134"/>
      </rPr>
      <t>.</t>
    </r>
    <r>
      <rPr>
        <sz val="12"/>
        <rFont val="宋体"/>
        <charset val="134"/>
      </rPr>
      <t>柜员号，自动办理的柜员号允许为空。</t>
    </r>
  </si>
  <si>
    <t>CZZT</t>
  </si>
  <si>
    <r>
      <rPr>
        <sz val="12"/>
        <rFont val="宋体"/>
        <charset val="134"/>
      </rPr>
      <t>收单商户信息表</t>
    </r>
  </si>
  <si>
    <r>
      <rPr>
        <sz val="12"/>
        <rFont val="宋体"/>
        <charset val="134"/>
      </rPr>
      <t>填报收集该商户的银行机构。营业机构、管理机构必须填报</t>
    </r>
    <r>
      <rPr>
        <sz val="12"/>
        <rFont val="Times New Roman"/>
        <charset val="134"/>
      </rPr>
      <t>“</t>
    </r>
    <r>
      <rPr>
        <sz val="12"/>
        <rFont val="宋体"/>
        <charset val="134"/>
      </rPr>
      <t>金融许可证号</t>
    </r>
    <r>
      <rPr>
        <sz val="12"/>
        <rFont val="Times New Roman"/>
        <charset val="134"/>
      </rPr>
      <t>”</t>
    </r>
    <r>
      <rPr>
        <sz val="12"/>
        <rFont val="宋体"/>
        <charset val="134"/>
      </rPr>
      <t>，内设机构、虚拟机构及营业部取本级或上一级管理机构的金融许可证号，优先取本级。</t>
    </r>
  </si>
  <si>
    <r>
      <rPr>
        <sz val="12"/>
        <rFont val="宋体"/>
        <charset val="134"/>
      </rPr>
      <t>填报收集该商户的银行机构。关联数据项：机构信息表</t>
    </r>
    <r>
      <rPr>
        <sz val="12"/>
        <rFont val="Times New Roman"/>
        <charset val="134"/>
      </rPr>
      <t>.</t>
    </r>
    <r>
      <rPr>
        <sz val="12"/>
        <rFont val="宋体"/>
        <charset val="134"/>
      </rPr>
      <t>内部机构号。填写商户归属的的银行机构。</t>
    </r>
  </si>
  <si>
    <t>SHBH</t>
  </si>
  <si>
    <t>PK.</t>
  </si>
  <si>
    <t>SHMC</t>
  </si>
  <si>
    <r>
      <rPr>
        <sz val="12"/>
        <rFont val="宋体"/>
        <charset val="134"/>
      </rPr>
      <t>对公客户填报商户注册登记证件上记载的法定名称全称。个人客户若未收集商户注册登记证件信息的，允许填报客户名称。</t>
    </r>
  </si>
  <si>
    <r>
      <rPr>
        <sz val="12"/>
        <rFont val="宋体"/>
        <charset val="134"/>
      </rPr>
      <t>是否</t>
    </r>
    <r>
      <rPr>
        <sz val="12"/>
        <rFont val="Times New Roman"/>
        <charset val="134"/>
      </rPr>
      <t>POS</t>
    </r>
    <r>
      <rPr>
        <sz val="12"/>
        <rFont val="宋体"/>
        <charset val="134"/>
      </rPr>
      <t>商户</t>
    </r>
  </si>
  <si>
    <t>SFPOS</t>
  </si>
  <si>
    <r>
      <rPr>
        <sz val="12"/>
        <rFont val="宋体"/>
        <charset val="134"/>
      </rPr>
      <t>若为</t>
    </r>
    <r>
      <rPr>
        <sz val="12"/>
        <rFont val="Times New Roman"/>
        <charset val="134"/>
      </rPr>
      <t>POS</t>
    </r>
    <r>
      <rPr>
        <sz val="12"/>
        <rFont val="宋体"/>
        <charset val="134"/>
      </rPr>
      <t>商户填报为是，其他情况无</t>
    </r>
    <r>
      <rPr>
        <sz val="12"/>
        <rFont val="Times New Roman"/>
        <charset val="134"/>
      </rPr>
      <t>pos</t>
    </r>
    <r>
      <rPr>
        <sz val="12"/>
        <rFont val="宋体"/>
        <charset val="134"/>
      </rPr>
      <t>终端的填报为否。</t>
    </r>
  </si>
  <si>
    <t>ZDH</t>
  </si>
  <si>
    <r>
      <rPr>
        <sz val="12"/>
        <rFont val="Times New Roman"/>
        <charset val="134"/>
      </rPr>
      <t>PK</t>
    </r>
    <r>
      <rPr>
        <sz val="12"/>
        <rFont val="宋体"/>
        <charset val="134"/>
      </rPr>
      <t>。若为商户，填报终端号，其他情况允许为空。存在多个终端的，以多条报送。</t>
    </r>
  </si>
  <si>
    <t>SHMCCM</t>
  </si>
  <si>
    <r>
      <rPr>
        <sz val="12"/>
        <rFont val="宋体"/>
        <charset val="134"/>
      </rPr>
      <t>特指银联</t>
    </r>
    <r>
      <rPr>
        <sz val="12"/>
        <rFont val="Times New Roman"/>
        <charset val="134"/>
      </rPr>
      <t>MCC</t>
    </r>
    <r>
      <rPr>
        <sz val="12"/>
        <rFont val="宋体"/>
        <charset val="134"/>
      </rPr>
      <t>码，用于标明银联卡交易环境、所在商户的主营业务范围和行业归属的商户类别码。</t>
    </r>
  </si>
  <si>
    <t>SHMCCMC</t>
  </si>
  <si>
    <r>
      <rPr>
        <sz val="12"/>
        <rFont val="宋体"/>
        <charset val="134"/>
      </rPr>
      <t>商户地区</t>
    </r>
  </si>
  <si>
    <t>SHDQ</t>
  </si>
  <si>
    <r>
      <rPr>
        <sz val="12"/>
        <rFont val="宋体"/>
        <charset val="134"/>
      </rPr>
      <t>清算账号</t>
    </r>
  </si>
  <si>
    <t>QSZH</t>
  </si>
  <si>
    <r>
      <rPr>
        <sz val="12"/>
        <rFont val="Times New Roman"/>
        <charset val="134"/>
      </rPr>
      <t>PK</t>
    </r>
    <r>
      <rPr>
        <sz val="12"/>
        <rFont val="宋体"/>
        <charset val="134"/>
      </rPr>
      <t>。商户绑定的收款账号，以外部账号报送。外部账号报送规则参考个人活期存款分户账明细</t>
    </r>
    <r>
      <rPr>
        <sz val="12"/>
        <rFont val="Times New Roman"/>
        <charset val="134"/>
      </rPr>
      <t>.</t>
    </r>
    <r>
      <rPr>
        <sz val="12"/>
        <rFont val="宋体"/>
        <charset val="134"/>
      </rPr>
      <t>对方账号。</t>
    </r>
  </si>
  <si>
    <t>QSZHLX</t>
  </si>
  <si>
    <r>
      <rPr>
        <sz val="12"/>
        <rFont val="宋体"/>
        <charset val="134"/>
      </rPr>
      <t>清算账户名称</t>
    </r>
  </si>
  <si>
    <t>QSZHMC</t>
  </si>
  <si>
    <r>
      <rPr>
        <sz val="12"/>
        <rFont val="宋体"/>
        <charset val="134"/>
      </rPr>
      <t>指</t>
    </r>
    <r>
      <rPr>
        <sz val="12"/>
        <rFont val="Times New Roman"/>
        <charset val="134"/>
      </rPr>
      <t>POS</t>
    </r>
    <r>
      <rPr>
        <sz val="12"/>
        <rFont val="宋体"/>
        <charset val="134"/>
      </rPr>
      <t>绑定的商户收款账户名称</t>
    </r>
  </si>
  <si>
    <r>
      <rPr>
        <sz val="12"/>
        <rFont val="宋体"/>
        <charset val="134"/>
      </rPr>
      <t>清算账号开户行名称</t>
    </r>
  </si>
  <si>
    <t>QSZHKHHMC</t>
  </si>
  <si>
    <r>
      <rPr>
        <sz val="12"/>
        <rFont val="宋体"/>
        <charset val="134"/>
      </rPr>
      <t>填报清算账号所属行名。第三方支付平台填写第三方支付平台名称。</t>
    </r>
  </si>
  <si>
    <r>
      <rPr>
        <sz val="12"/>
        <rFont val="宋体"/>
        <charset val="134"/>
      </rPr>
      <t>起效日期</t>
    </r>
  </si>
  <si>
    <t>QXRQ</t>
  </si>
  <si>
    <r>
      <rPr>
        <sz val="12"/>
        <rFont val="宋体"/>
        <charset val="134"/>
      </rPr>
      <t>商户生效日期</t>
    </r>
  </si>
  <si>
    <r>
      <rPr>
        <sz val="12"/>
        <rFont val="宋体"/>
        <charset val="134"/>
      </rPr>
      <t>失效日期</t>
    </r>
  </si>
  <si>
    <t>SXRQ</t>
  </si>
  <si>
    <r>
      <rPr>
        <sz val="12"/>
        <rFont val="宋体"/>
        <charset val="134"/>
      </rPr>
      <t>商户失效或不可用的日期</t>
    </r>
  </si>
  <si>
    <r>
      <rPr>
        <sz val="12"/>
        <rFont val="宋体"/>
        <charset val="134"/>
      </rPr>
      <t>商户状态</t>
    </r>
  </si>
  <si>
    <t>SHZT</t>
  </si>
  <si>
    <r>
      <rPr>
        <sz val="12"/>
        <rFont val="宋体"/>
        <charset val="134"/>
      </rPr>
      <t>采集日期指该期（批次）数据报送的期末日期，例如：按日采集的表，采集日期应为每日；按月采集的表，采集日期应为月末最后一天；以此类推。有特殊报送要求的，应以报送要求的截至日期为采集日期。</t>
    </r>
  </si>
  <si>
    <r>
      <rPr>
        <sz val="14"/>
        <rFont val="宋体"/>
        <charset val="134"/>
      </rPr>
      <t>会计记账信息</t>
    </r>
  </si>
  <si>
    <r>
      <rPr>
        <sz val="12"/>
        <rFont val="宋体"/>
        <charset val="134"/>
      </rPr>
      <t>总账会计全科目表</t>
    </r>
  </si>
  <si>
    <r>
      <rPr>
        <sz val="12"/>
        <rFont val="Times New Roman"/>
        <charset val="134"/>
      </rPr>
      <t>PK</t>
    </r>
    <r>
      <rPr>
        <sz val="12"/>
        <rFont val="宋体"/>
        <charset val="134"/>
      </rPr>
      <t>。该列中的值应与机构信息表中的</t>
    </r>
    <r>
      <rPr>
        <sz val="12"/>
        <rFont val="Times New Roman"/>
        <charset val="134"/>
      </rPr>
      <t>[</t>
    </r>
    <r>
      <rPr>
        <sz val="12"/>
        <rFont val="宋体"/>
        <charset val="134"/>
      </rPr>
      <t>内部机构号</t>
    </r>
    <r>
      <rPr>
        <sz val="12"/>
        <rFont val="Times New Roman"/>
        <charset val="134"/>
      </rPr>
      <t>]</t>
    </r>
    <r>
      <rPr>
        <sz val="12"/>
        <rFont val="宋体"/>
        <charset val="134"/>
      </rPr>
      <t>字段保持一致。填报的各机构层级应为总分各级机构汇总及其下属作为独立核算单位的各营业机构（法人汇总、省级和地市分行汇总、支行汇总及下属网点，如内部机构号标识某省分行的数据应为该级汇总，包括本级和下属机构）。关联数据项：机构信息表</t>
    </r>
    <r>
      <rPr>
        <sz val="12"/>
        <rFont val="Times New Roman"/>
        <charset val="134"/>
      </rPr>
      <t>.</t>
    </r>
    <r>
      <rPr>
        <sz val="12"/>
        <rFont val="宋体"/>
        <charset val="134"/>
      </rPr>
      <t>内部机构号</t>
    </r>
  </si>
  <si>
    <t>KJKMBH</t>
  </si>
  <si>
    <r>
      <rPr>
        <sz val="12"/>
        <rFont val="Times New Roman"/>
        <charset val="134"/>
      </rPr>
      <t>PK</t>
    </r>
    <r>
      <rPr>
        <sz val="12"/>
        <rFont val="宋体"/>
        <charset val="134"/>
      </rPr>
      <t>。该列应包含机构设置的全部级次会计科目，其他会计类表中的</t>
    </r>
    <r>
      <rPr>
        <sz val="12"/>
        <rFont val="Times New Roman"/>
        <charset val="134"/>
      </rPr>
      <t>[</t>
    </r>
    <r>
      <rPr>
        <sz val="12"/>
        <rFont val="宋体"/>
        <charset val="134"/>
      </rPr>
      <t>明细科目编号</t>
    </r>
    <r>
      <rPr>
        <sz val="12"/>
        <rFont val="Times New Roman"/>
        <charset val="134"/>
      </rPr>
      <t>]</t>
    </r>
    <r>
      <rPr>
        <sz val="12"/>
        <rFont val="宋体"/>
        <charset val="134"/>
      </rPr>
      <t>字段填列的值应与本表中最底层科目的编号保持一致。关联数据项：内部科目对照表</t>
    </r>
    <r>
      <rPr>
        <sz val="12"/>
        <rFont val="Times New Roman"/>
        <charset val="134"/>
      </rPr>
      <t>.</t>
    </r>
    <r>
      <rPr>
        <sz val="12"/>
        <rFont val="宋体"/>
        <charset val="134"/>
      </rPr>
      <t>总账会计科目编号</t>
    </r>
  </si>
  <si>
    <t>KJKMMC</t>
  </si>
  <si>
    <r>
      <rPr>
        <sz val="12"/>
        <rFont val="宋体"/>
        <charset val="134"/>
      </rPr>
      <t>关联数据项：内部科目对照表</t>
    </r>
    <r>
      <rPr>
        <sz val="12"/>
        <rFont val="Times New Roman"/>
        <charset val="134"/>
      </rPr>
      <t>.</t>
    </r>
    <r>
      <rPr>
        <sz val="12"/>
        <rFont val="宋体"/>
        <charset val="134"/>
      </rPr>
      <t>总账会计科目名称</t>
    </r>
  </si>
  <si>
    <r>
      <rPr>
        <sz val="12"/>
        <rFont val="宋体"/>
        <charset val="134"/>
      </rPr>
      <t>期初借方余额</t>
    </r>
  </si>
  <si>
    <t>QCJFYE</t>
  </si>
  <si>
    <r>
      <rPr>
        <sz val="12"/>
        <rFont val="宋体"/>
        <charset val="134"/>
      </rPr>
      <t>当前科目本期期初余额</t>
    </r>
  </si>
  <si>
    <r>
      <rPr>
        <sz val="12"/>
        <rFont val="宋体"/>
        <charset val="134"/>
      </rPr>
      <t>期初贷方余额</t>
    </r>
  </si>
  <si>
    <t>QCDFYE</t>
  </si>
  <si>
    <r>
      <rPr>
        <sz val="12"/>
        <rFont val="宋体"/>
        <charset val="134"/>
      </rPr>
      <t>本期借方发生额</t>
    </r>
  </si>
  <si>
    <t>JFFSE</t>
  </si>
  <si>
    <r>
      <rPr>
        <sz val="12"/>
        <rFont val="宋体"/>
        <charset val="134"/>
      </rPr>
      <t>本期借方发生额。最底层科目的借方发生额应为对应的其他会计类分户账发生明细表中</t>
    </r>
    <r>
      <rPr>
        <sz val="12"/>
        <rFont val="Times New Roman"/>
        <charset val="134"/>
      </rPr>
      <t>[</t>
    </r>
    <r>
      <rPr>
        <sz val="12"/>
        <rFont val="宋体"/>
        <charset val="134"/>
      </rPr>
      <t>明细科目编号</t>
    </r>
    <r>
      <rPr>
        <sz val="12"/>
        <rFont val="Times New Roman"/>
        <charset val="134"/>
      </rPr>
      <t>]</t>
    </r>
    <r>
      <rPr>
        <sz val="12"/>
        <rFont val="宋体"/>
        <charset val="134"/>
      </rPr>
      <t>等于该</t>
    </r>
    <r>
      <rPr>
        <sz val="12"/>
        <rFont val="Times New Roman"/>
        <charset val="134"/>
      </rPr>
      <t>[</t>
    </r>
    <r>
      <rPr>
        <sz val="12"/>
        <rFont val="宋体"/>
        <charset val="134"/>
      </rPr>
      <t>总账会计科目编号</t>
    </r>
    <r>
      <rPr>
        <sz val="12"/>
        <rFont val="Times New Roman"/>
        <charset val="134"/>
      </rPr>
      <t>]</t>
    </r>
    <r>
      <rPr>
        <sz val="12"/>
        <rFont val="宋体"/>
        <charset val="134"/>
      </rPr>
      <t>的所有交易记录的借方发生额的汇总。</t>
    </r>
  </si>
  <si>
    <r>
      <rPr>
        <sz val="12"/>
        <rFont val="宋体"/>
        <charset val="134"/>
      </rPr>
      <t>本期贷方发生额</t>
    </r>
  </si>
  <si>
    <t>DFFSE</t>
  </si>
  <si>
    <r>
      <rPr>
        <sz val="12"/>
        <rFont val="宋体"/>
        <charset val="134"/>
      </rPr>
      <t>本期贷方发生额。最底层科目的贷方发生额应为对应的其他会计类分户账发生明细表中</t>
    </r>
    <r>
      <rPr>
        <sz val="12"/>
        <rFont val="Times New Roman"/>
        <charset val="134"/>
      </rPr>
      <t>[</t>
    </r>
    <r>
      <rPr>
        <sz val="12"/>
        <rFont val="宋体"/>
        <charset val="134"/>
      </rPr>
      <t>明细科目编号</t>
    </r>
    <r>
      <rPr>
        <sz val="12"/>
        <rFont val="Times New Roman"/>
        <charset val="134"/>
      </rPr>
      <t>]</t>
    </r>
    <r>
      <rPr>
        <sz val="12"/>
        <rFont val="宋体"/>
        <charset val="134"/>
      </rPr>
      <t>等于该</t>
    </r>
    <r>
      <rPr>
        <sz val="12"/>
        <rFont val="Times New Roman"/>
        <charset val="134"/>
      </rPr>
      <t>[</t>
    </r>
    <r>
      <rPr>
        <sz val="12"/>
        <rFont val="宋体"/>
        <charset val="134"/>
      </rPr>
      <t>总账会计科目编号</t>
    </r>
    <r>
      <rPr>
        <sz val="12"/>
        <rFont val="Times New Roman"/>
        <charset val="134"/>
      </rPr>
      <t>]</t>
    </r>
    <r>
      <rPr>
        <sz val="12"/>
        <rFont val="宋体"/>
        <charset val="134"/>
      </rPr>
      <t>的所有交易记录的贷方发生额的汇总。</t>
    </r>
  </si>
  <si>
    <r>
      <rPr>
        <sz val="12"/>
        <rFont val="宋体"/>
        <charset val="134"/>
      </rPr>
      <t>期末借方余额</t>
    </r>
  </si>
  <si>
    <t>QMJFYE</t>
  </si>
  <si>
    <r>
      <rPr>
        <sz val="12"/>
        <rFont val="宋体"/>
        <charset val="134"/>
      </rPr>
      <t>当前科目本期期末余额</t>
    </r>
  </si>
  <si>
    <r>
      <rPr>
        <sz val="12"/>
        <rFont val="宋体"/>
        <charset val="134"/>
      </rPr>
      <t>期末贷方余额</t>
    </r>
  </si>
  <si>
    <t>QMDFYE</t>
  </si>
  <si>
    <r>
      <rPr>
        <sz val="12"/>
        <rFont val="宋体"/>
        <charset val="134"/>
      </rPr>
      <t>报送周期</t>
    </r>
  </si>
  <si>
    <t>BSZQ</t>
  </si>
  <si>
    <r>
      <rPr>
        <sz val="12"/>
        <rFont val="宋体"/>
        <charset val="134"/>
      </rPr>
      <t>会计日期</t>
    </r>
  </si>
  <si>
    <t>KJRQ</t>
  </si>
  <si>
    <r>
      <rPr>
        <sz val="12"/>
        <rFont val="Times New Roman"/>
        <charset val="134"/>
      </rPr>
      <t>PK</t>
    </r>
    <r>
      <rPr>
        <sz val="12"/>
        <rFont val="宋体"/>
        <charset val="134"/>
      </rPr>
      <t>。会计记账日期</t>
    </r>
  </si>
  <si>
    <r>
      <rPr>
        <sz val="12"/>
        <rFont val="宋体"/>
        <charset val="134"/>
      </rPr>
      <t>内部科目对照表</t>
    </r>
  </si>
  <si>
    <r>
      <rPr>
        <sz val="12"/>
        <rFont val="Times New Roman"/>
        <charset val="134"/>
      </rPr>
      <t>PK</t>
    </r>
    <r>
      <rPr>
        <sz val="12"/>
        <rFont val="宋体"/>
        <charset val="134"/>
      </rPr>
      <t>。关联数据项：总账会计全科目表</t>
    </r>
    <r>
      <rPr>
        <sz val="12"/>
        <rFont val="Times New Roman"/>
        <charset val="134"/>
      </rPr>
      <t>.</t>
    </r>
    <r>
      <rPr>
        <sz val="12"/>
        <rFont val="宋体"/>
        <charset val="134"/>
      </rPr>
      <t>会计科目编号。</t>
    </r>
  </si>
  <si>
    <r>
      <rPr>
        <sz val="12"/>
        <rFont val="宋体"/>
        <charset val="134"/>
      </rPr>
      <t>数据项代码、备注</t>
    </r>
  </si>
  <si>
    <r>
      <rPr>
        <sz val="12"/>
        <rFont val="宋体"/>
        <charset val="134"/>
      </rPr>
      <t>关联数据项：总账会计全科目表</t>
    </r>
    <r>
      <rPr>
        <sz val="12"/>
        <rFont val="Times New Roman"/>
        <charset val="134"/>
      </rPr>
      <t>.</t>
    </r>
    <r>
      <rPr>
        <sz val="12"/>
        <rFont val="宋体"/>
        <charset val="134"/>
      </rPr>
      <t>会计科目名称。</t>
    </r>
  </si>
  <si>
    <t>KJKMJC</t>
  </si>
  <si>
    <r>
      <rPr>
        <sz val="12"/>
        <rFont val="宋体"/>
        <charset val="134"/>
      </rPr>
      <t>允许按实际科目级次填，长度不可超过</t>
    </r>
    <r>
      <rPr>
        <sz val="12"/>
        <rFont val="Times New Roman"/>
        <charset val="134"/>
      </rPr>
      <t>2</t>
    </r>
    <r>
      <rPr>
        <sz val="12"/>
        <rFont val="宋体"/>
        <charset val="134"/>
      </rPr>
      <t>位</t>
    </r>
    <r>
      <rPr>
        <sz val="12"/>
        <rFont val="Times New Roman"/>
        <charset val="134"/>
      </rPr>
      <t>/</t>
    </r>
    <r>
      <rPr>
        <sz val="12"/>
        <rFont val="宋体"/>
        <charset val="134"/>
      </rPr>
      <t>总账系统是树形或扁平设置的会计科目模式</t>
    </r>
    <r>
      <rPr>
        <sz val="12"/>
        <rFont val="Times New Roman"/>
        <charset val="134"/>
      </rPr>
      <t>,</t>
    </r>
    <r>
      <rPr>
        <sz val="12"/>
        <rFont val="宋体"/>
        <charset val="134"/>
      </rPr>
      <t>按实际情况填报</t>
    </r>
  </si>
  <si>
    <r>
      <rPr>
        <sz val="12"/>
        <rFont val="宋体"/>
        <charset val="134"/>
      </rPr>
      <t>上级科目编号</t>
    </r>
  </si>
  <si>
    <t>SJKMBH</t>
  </si>
  <si>
    <r>
      <rPr>
        <sz val="12"/>
        <rFont val="宋体"/>
        <charset val="134"/>
      </rPr>
      <t>上级科目的编号与名称必须一致，一级科目的上级科目填报为</t>
    </r>
    <r>
      <rPr>
        <sz val="12"/>
        <rFont val="Times New Roman"/>
        <charset val="134"/>
      </rPr>
      <t>0</t>
    </r>
    <r>
      <rPr>
        <sz val="12"/>
        <rFont val="宋体"/>
        <charset val="134"/>
      </rPr>
      <t>。非一级科目的上级科目编号需关联数据项：总账会计全科目表</t>
    </r>
    <r>
      <rPr>
        <sz val="12"/>
        <rFont val="Times New Roman"/>
        <charset val="134"/>
      </rPr>
      <t>.</t>
    </r>
    <r>
      <rPr>
        <sz val="12"/>
        <rFont val="宋体"/>
        <charset val="134"/>
      </rPr>
      <t>会计科目编号。</t>
    </r>
  </si>
  <si>
    <r>
      <rPr>
        <sz val="12"/>
        <rFont val="宋体"/>
        <charset val="134"/>
      </rPr>
      <t>上级科目名称</t>
    </r>
  </si>
  <si>
    <t>SJKMMC</t>
  </si>
  <si>
    <r>
      <rPr>
        <sz val="12"/>
        <rFont val="宋体"/>
        <charset val="134"/>
      </rPr>
      <t>上级科目的编号与名称必须一致，一级科目的上级科目为空。非一级科目的上级科目名称关联数据项：总账会计全科目表</t>
    </r>
    <r>
      <rPr>
        <sz val="12"/>
        <rFont val="Times New Roman"/>
        <charset val="134"/>
      </rPr>
      <t>.</t>
    </r>
    <r>
      <rPr>
        <sz val="12"/>
        <rFont val="宋体"/>
        <charset val="134"/>
      </rPr>
      <t>会计科目名称。</t>
    </r>
  </si>
  <si>
    <r>
      <rPr>
        <sz val="12"/>
        <rFont val="宋体"/>
        <charset val="134"/>
      </rPr>
      <t>科目借贷标志</t>
    </r>
  </si>
  <si>
    <t>KMJDBZ</t>
  </si>
  <si>
    <r>
      <rPr>
        <sz val="12"/>
        <rFont val="宋体"/>
        <charset val="134"/>
      </rPr>
      <t>借方科目填借，贷方科目填贷。</t>
    </r>
  </si>
  <si>
    <r>
      <rPr>
        <sz val="12"/>
        <rFont val="宋体"/>
        <charset val="134"/>
      </rPr>
      <t>归属业务大类</t>
    </r>
  </si>
  <si>
    <t>GSYWDL</t>
  </si>
  <si>
    <r>
      <rPr>
        <sz val="12"/>
        <rFont val="宋体"/>
        <charset val="134"/>
      </rPr>
      <t>必填项。按七大类业务填报类型名称，不得重复填报。</t>
    </r>
  </si>
  <si>
    <r>
      <rPr>
        <sz val="12"/>
        <rFont val="宋体"/>
        <charset val="134"/>
      </rPr>
      <t>归属业务子类</t>
    </r>
  </si>
  <si>
    <t>GSYWZL</t>
  </si>
  <si>
    <r>
      <rPr>
        <sz val="12"/>
        <rFont val="宋体"/>
        <charset val="134"/>
      </rPr>
      <t>与</t>
    </r>
    <r>
      <rPr>
        <sz val="12"/>
        <rFont val="Times New Roman"/>
        <charset val="134"/>
      </rPr>
      <t>1104</t>
    </r>
    <r>
      <rPr>
        <sz val="12"/>
        <rFont val="宋体"/>
        <charset val="134"/>
      </rPr>
      <t>报表</t>
    </r>
    <r>
      <rPr>
        <sz val="12"/>
        <rFont val="Times New Roman"/>
        <charset val="134"/>
      </rPr>
      <t>G01</t>
    </r>
    <r>
      <rPr>
        <sz val="12"/>
        <rFont val="宋体"/>
        <charset val="134"/>
      </rPr>
      <t>、</t>
    </r>
    <r>
      <rPr>
        <sz val="12"/>
        <rFont val="Times New Roman"/>
        <charset val="134"/>
      </rPr>
      <t>G04</t>
    </r>
    <r>
      <rPr>
        <sz val="12"/>
        <rFont val="宋体"/>
        <charset val="134"/>
      </rPr>
      <t>、</t>
    </r>
    <r>
      <rPr>
        <sz val="12"/>
        <rFont val="Times New Roman"/>
        <charset val="134"/>
      </rPr>
      <t>G01_I</t>
    </r>
    <r>
      <rPr>
        <sz val="12"/>
        <rFont val="宋体"/>
        <charset val="134"/>
      </rPr>
      <t>的科目和填报口径一致，按照</t>
    </r>
    <r>
      <rPr>
        <sz val="12"/>
        <rFont val="Times New Roman"/>
        <charset val="134"/>
      </rPr>
      <t>[</t>
    </r>
    <r>
      <rPr>
        <sz val="12"/>
        <rFont val="宋体"/>
        <charset val="134"/>
      </rPr>
      <t>序号</t>
    </r>
    <r>
      <rPr>
        <sz val="12"/>
        <rFont val="Times New Roman"/>
        <charset val="134"/>
      </rPr>
      <t>+</t>
    </r>
    <r>
      <rPr>
        <sz val="12"/>
        <rFont val="宋体"/>
        <charset val="134"/>
      </rPr>
      <t>中文名称</t>
    </r>
    <r>
      <rPr>
        <sz val="12"/>
        <rFont val="Times New Roman"/>
        <charset val="134"/>
      </rPr>
      <t>]</t>
    </r>
    <r>
      <rPr>
        <sz val="12"/>
        <rFont val="宋体"/>
        <charset val="134"/>
      </rPr>
      <t>的格式报送，例：</t>
    </r>
    <r>
      <rPr>
        <sz val="12"/>
        <rFont val="Times New Roman"/>
        <charset val="134"/>
      </rPr>
      <t>1</t>
    </r>
    <r>
      <rPr>
        <sz val="12"/>
        <rFont val="宋体"/>
        <charset val="134"/>
      </rPr>
      <t>现金。</t>
    </r>
    <r>
      <rPr>
        <sz val="12"/>
        <rFont val="Times New Roman"/>
        <charset val="134"/>
      </rPr>
      <t>1104</t>
    </r>
    <r>
      <rPr>
        <sz val="12"/>
        <rFont val="宋体"/>
        <charset val="134"/>
      </rPr>
      <t>无对应科目的可以为空。</t>
    </r>
  </si>
  <si>
    <r>
      <rPr>
        <sz val="12"/>
        <rFont val="宋体"/>
        <charset val="134"/>
      </rPr>
      <t>个人存款分户账</t>
    </r>
  </si>
  <si>
    <r>
      <rPr>
        <sz val="12"/>
        <rFont val="宋体"/>
        <charset val="134"/>
      </rPr>
      <t>填报账户归属的银行机构。营业机构、管理机构必须填报</t>
    </r>
    <r>
      <rPr>
        <sz val="12"/>
        <rFont val="Times New Roman"/>
        <charset val="134"/>
      </rPr>
      <t>“</t>
    </r>
    <r>
      <rPr>
        <sz val="12"/>
        <rFont val="宋体"/>
        <charset val="134"/>
      </rPr>
      <t>金融许可证号</t>
    </r>
    <r>
      <rPr>
        <sz val="12"/>
        <rFont val="Times New Roman"/>
        <charset val="134"/>
      </rPr>
      <t>”</t>
    </r>
    <r>
      <rPr>
        <sz val="12"/>
        <rFont val="宋体"/>
        <charset val="134"/>
      </rPr>
      <t>，内设机构、虚拟机构及营业部取本级或上一级管理机构的金融许可证号，优先取本级。</t>
    </r>
  </si>
  <si>
    <r>
      <rPr>
        <sz val="12"/>
        <rFont val="宋体"/>
        <charset val="134"/>
      </rPr>
      <t>填报账户归属的银行机构。关联数据项：机构信息表</t>
    </r>
    <r>
      <rPr>
        <sz val="12"/>
        <rFont val="Times New Roman"/>
        <charset val="134"/>
      </rPr>
      <t>.</t>
    </r>
    <r>
      <rPr>
        <sz val="12"/>
        <rFont val="宋体"/>
        <charset val="134"/>
      </rPr>
      <t>内部机构号</t>
    </r>
  </si>
  <si>
    <r>
      <rPr>
        <sz val="12"/>
        <rFont val="宋体"/>
        <charset val="134"/>
      </rPr>
      <t>填报账户归属的银行机构。关联数据项：机构信息表</t>
    </r>
    <r>
      <rPr>
        <sz val="12"/>
        <rFont val="Times New Roman"/>
        <charset val="134"/>
      </rPr>
      <t>.</t>
    </r>
    <r>
      <rPr>
        <sz val="12"/>
        <rFont val="宋体"/>
        <charset val="134"/>
      </rPr>
      <t>银行机构名称</t>
    </r>
  </si>
  <si>
    <r>
      <rPr>
        <sz val="12"/>
        <rFont val="宋体"/>
        <charset val="134"/>
      </rPr>
      <t>明细科目编号</t>
    </r>
  </si>
  <si>
    <t>MXKMBH</t>
  </si>
  <si>
    <r>
      <rPr>
        <sz val="12"/>
        <rFont val="宋体"/>
        <charset val="134"/>
      </rPr>
      <t>同一条数据涉及多个明细科目的，仅填报该笔业务指向的主要科目。关联数据项：总账会计全科目表</t>
    </r>
    <r>
      <rPr>
        <sz val="12"/>
        <rFont val="Times New Roman"/>
        <charset val="134"/>
      </rPr>
      <t>.</t>
    </r>
    <r>
      <rPr>
        <sz val="12"/>
        <rFont val="宋体"/>
        <charset val="134"/>
      </rPr>
      <t>会计科目编号。</t>
    </r>
  </si>
  <si>
    <r>
      <rPr>
        <sz val="12"/>
        <rFont val="宋体"/>
        <charset val="134"/>
      </rPr>
      <t>明细科目名称</t>
    </r>
  </si>
  <si>
    <t>MXKMMC</t>
  </si>
  <si>
    <r>
      <rPr>
        <sz val="12"/>
        <rFont val="宋体"/>
        <charset val="134"/>
      </rPr>
      <t>如包含个人身份证件号码，则为隐私，银行机构需做变形，变形规则见《采集技术接口说明》。关联数据项：个人基础信息表</t>
    </r>
    <r>
      <rPr>
        <sz val="12"/>
        <rFont val="Times New Roman"/>
        <charset val="134"/>
      </rPr>
      <t>.</t>
    </r>
    <r>
      <rPr>
        <sz val="12"/>
        <rFont val="宋体"/>
        <charset val="134"/>
      </rPr>
      <t>客户统一编号</t>
    </r>
  </si>
  <si>
    <t>ZHMC</t>
  </si>
  <si>
    <r>
      <rPr>
        <sz val="12"/>
        <rFont val="宋体"/>
        <charset val="134"/>
      </rPr>
      <t>账户归属者的名称。隐私，银行机构变形，变形规则见《采集技术接口说明》。</t>
    </r>
  </si>
  <si>
    <r>
      <rPr>
        <sz val="12"/>
        <rFont val="宋体"/>
        <charset val="134"/>
      </rPr>
      <t>个人存款账号</t>
    </r>
  </si>
  <si>
    <t>GRCKZH</t>
  </si>
  <si>
    <r>
      <rPr>
        <sz val="12"/>
        <rFont val="宋体"/>
        <charset val="134"/>
      </rPr>
      <t>数据项</t>
    </r>
  </si>
  <si>
    <t>GRCKZHLX</t>
  </si>
  <si>
    <r>
      <rPr>
        <sz val="12"/>
        <rFont val="宋体"/>
        <charset val="134"/>
      </rPr>
      <t>与</t>
    </r>
    <r>
      <rPr>
        <sz val="12"/>
        <rFont val="Times New Roman"/>
        <charset val="134"/>
      </rPr>
      <t>1104</t>
    </r>
    <r>
      <rPr>
        <sz val="12"/>
        <rFont val="宋体"/>
        <charset val="134"/>
      </rPr>
      <t>报表</t>
    </r>
    <r>
      <rPr>
        <sz val="12"/>
        <rFont val="Times New Roman"/>
        <charset val="134"/>
      </rPr>
      <t>G01_III</t>
    </r>
    <r>
      <rPr>
        <sz val="12"/>
        <rFont val="宋体"/>
        <charset val="134"/>
      </rPr>
      <t>中</t>
    </r>
    <r>
      <rPr>
        <sz val="12"/>
        <rFont val="Times New Roman"/>
        <charset val="134"/>
      </rPr>
      <t xml:space="preserve">[2.2 </t>
    </r>
    <r>
      <rPr>
        <sz val="12"/>
        <rFont val="宋体"/>
        <charset val="134"/>
      </rPr>
      <t>个人存款</t>
    </r>
    <r>
      <rPr>
        <sz val="12"/>
        <rFont val="Times New Roman"/>
        <charset val="134"/>
      </rPr>
      <t>]</t>
    </r>
    <r>
      <rPr>
        <sz val="12"/>
        <rFont val="宋体"/>
        <charset val="134"/>
      </rPr>
      <t>的分类保持一致。</t>
    </r>
  </si>
  <si>
    <r>
      <rPr>
        <sz val="12"/>
        <rFont val="宋体"/>
        <charset val="134"/>
      </rPr>
      <t>保证金账户标志</t>
    </r>
  </si>
  <si>
    <t>BZJZHBZ</t>
  </si>
  <si>
    <t>LL</t>
  </si>
  <si>
    <r>
      <rPr>
        <sz val="12"/>
        <rFont val="宋体"/>
        <charset val="134"/>
      </rPr>
      <t>存款余额</t>
    </r>
  </si>
  <si>
    <t>CKYE</t>
  </si>
  <si>
    <r>
      <rPr>
        <sz val="12"/>
        <rFont val="宋体"/>
        <charset val="134"/>
      </rPr>
      <t>存款账户到采集日期为止的余额。</t>
    </r>
  </si>
  <si>
    <r>
      <rPr>
        <sz val="12"/>
        <rFont val="宋体"/>
        <charset val="134"/>
      </rPr>
      <t>开户日期</t>
    </r>
  </si>
  <si>
    <t>KHRQ</t>
  </si>
  <si>
    <r>
      <rPr>
        <sz val="12"/>
        <rFont val="宋体"/>
        <charset val="134"/>
      </rPr>
      <t>办理开户的日期</t>
    </r>
  </si>
  <si>
    <r>
      <rPr>
        <sz val="12"/>
        <rFont val="宋体"/>
        <charset val="134"/>
      </rPr>
      <t>开户柜员号</t>
    </r>
  </si>
  <si>
    <t>KHGYH</t>
  </si>
  <si>
    <r>
      <rPr>
        <sz val="12"/>
        <rFont val="宋体"/>
        <charset val="134"/>
      </rPr>
      <t>上次动户日期</t>
    </r>
  </si>
  <si>
    <t>SCDHRQ</t>
  </si>
  <si>
    <r>
      <rPr>
        <sz val="12"/>
        <rFont val="宋体"/>
        <charset val="134"/>
      </rPr>
      <t>销户日期</t>
    </r>
  </si>
  <si>
    <t>XHRQ</t>
  </si>
  <si>
    <r>
      <rPr>
        <sz val="12"/>
        <rFont val="宋体"/>
        <charset val="134"/>
      </rPr>
      <t>账户销户的日期。账户状态正常时，填默认值。</t>
    </r>
  </si>
  <si>
    <t>CHLB</t>
  </si>
  <si>
    <t>ZHZT</t>
  </si>
  <si>
    <r>
      <rPr>
        <sz val="12"/>
        <rFont val="宋体"/>
        <charset val="134"/>
      </rPr>
      <t>个人存款分户账明细记录</t>
    </r>
  </si>
  <si>
    <t>JYXLH</t>
  </si>
  <si>
    <r>
      <rPr>
        <sz val="12"/>
        <rFont val="宋体"/>
        <charset val="134"/>
      </rPr>
      <t>业务办理机构号</t>
    </r>
  </si>
  <si>
    <t>YWBLJGH</t>
  </si>
  <si>
    <r>
      <rPr>
        <sz val="12"/>
        <rFont val="宋体"/>
        <charset val="134"/>
      </rPr>
      <t>填报办理业务的银行机构。关联数据项：机构信息表</t>
    </r>
    <r>
      <rPr>
        <sz val="12"/>
        <rFont val="Times New Roman"/>
        <charset val="134"/>
      </rPr>
      <t>.</t>
    </r>
    <r>
      <rPr>
        <sz val="12"/>
        <rFont val="宋体"/>
        <charset val="134"/>
      </rPr>
      <t>内部机构号</t>
    </r>
  </si>
  <si>
    <r>
      <rPr>
        <sz val="12"/>
        <rFont val="Times New Roman"/>
        <charset val="134"/>
      </rPr>
      <t>PK</t>
    </r>
    <r>
      <rPr>
        <sz val="12"/>
        <rFont val="宋体"/>
        <charset val="134"/>
      </rPr>
      <t>。如为个人身份证件号码，则为隐私，银行机构需做变形，变形规则见《采集技术接口说明》。</t>
    </r>
  </si>
  <si>
    <r>
      <rPr>
        <sz val="12"/>
        <rFont val="Times New Roman"/>
        <charset val="134"/>
      </rPr>
      <t>PK</t>
    </r>
    <r>
      <rPr>
        <sz val="12"/>
        <rFont val="宋体"/>
        <charset val="134"/>
      </rPr>
      <t>。关联数据项：个人存款分户账</t>
    </r>
    <r>
      <rPr>
        <sz val="12"/>
        <rFont val="Times New Roman"/>
        <charset val="134"/>
      </rPr>
      <t>.</t>
    </r>
    <r>
      <rPr>
        <sz val="12"/>
        <rFont val="宋体"/>
        <charset val="134"/>
      </rPr>
      <t>个人存款账号</t>
    </r>
  </si>
  <si>
    <t>WBZH</t>
  </si>
  <si>
    <t>JYLX</t>
  </si>
  <si>
    <t>JYJDBZ</t>
  </si>
  <si>
    <r>
      <rPr>
        <sz val="12"/>
        <rFont val="宋体"/>
        <charset val="134"/>
      </rPr>
      <t>核心交易日期</t>
    </r>
  </si>
  <si>
    <t>HXJYRQ</t>
  </si>
  <si>
    <r>
      <rPr>
        <sz val="12"/>
        <rFont val="Times New Roman"/>
        <charset val="134"/>
      </rPr>
      <t>PK</t>
    </r>
    <r>
      <rPr>
        <sz val="12"/>
        <rFont val="宋体"/>
        <charset val="134"/>
      </rPr>
      <t>。本笔交易在核心系统的交易日期。</t>
    </r>
  </si>
  <si>
    <r>
      <rPr>
        <sz val="12"/>
        <rFont val="宋体"/>
        <charset val="134"/>
      </rPr>
      <t>核心交易时间</t>
    </r>
  </si>
  <si>
    <t>HXJYSJ</t>
  </si>
  <si>
    <r>
      <rPr>
        <sz val="12"/>
        <rFont val="Times New Roman"/>
        <charset val="134"/>
      </rPr>
      <t>PK</t>
    </r>
    <r>
      <rPr>
        <sz val="12"/>
        <rFont val="宋体"/>
        <charset val="134"/>
      </rPr>
      <t>。本笔交易在核心系统的交易时间。</t>
    </r>
  </si>
  <si>
    <r>
      <rPr>
        <sz val="12"/>
        <rFont val="宋体"/>
        <charset val="134"/>
      </rPr>
      <t>交易金额</t>
    </r>
  </si>
  <si>
    <t>JYJE</t>
  </si>
  <si>
    <r>
      <rPr>
        <sz val="12"/>
        <rFont val="宋体"/>
        <charset val="134"/>
      </rPr>
      <t>账户余额</t>
    </r>
  </si>
  <si>
    <t>ZHYE</t>
  </si>
  <si>
    <r>
      <rPr>
        <sz val="12"/>
        <rFont val="宋体"/>
        <charset val="134"/>
      </rPr>
      <t>本笔交易时点完成后该时点的账户余额。</t>
    </r>
  </si>
  <si>
    <r>
      <rPr>
        <sz val="12"/>
        <rFont val="宋体"/>
        <charset val="134"/>
      </rPr>
      <t>对方账号</t>
    </r>
  </si>
  <si>
    <t>DFZH</t>
  </si>
  <si>
    <r>
      <rPr>
        <sz val="12"/>
        <rFont val="宋体"/>
        <charset val="134"/>
      </rPr>
      <t>客户往账业务对应传票上记载的最终交易对手信息。</t>
    </r>
    <r>
      <rPr>
        <sz val="12"/>
        <rFont val="Times New Roman"/>
        <charset val="134"/>
      </rPr>
      <t xml:space="preserve">
1. </t>
    </r>
    <r>
      <rPr>
        <sz val="12"/>
        <rFont val="宋体"/>
        <charset val="134"/>
      </rPr>
      <t>现转标志为</t>
    </r>
    <r>
      <rPr>
        <sz val="12"/>
        <rFont val="Times New Roman"/>
        <charset val="134"/>
      </rPr>
      <t>“</t>
    </r>
    <r>
      <rPr>
        <sz val="12"/>
        <rFont val="宋体"/>
        <charset val="134"/>
      </rPr>
      <t>转</t>
    </r>
    <r>
      <rPr>
        <sz val="12"/>
        <rFont val="Times New Roman"/>
        <charset val="134"/>
      </rPr>
      <t>”</t>
    </r>
    <r>
      <rPr>
        <sz val="12"/>
        <rFont val="宋体"/>
        <charset val="134"/>
      </rPr>
      <t>时，交易对手信息必填，不可为空。</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对于代收、代扣、代缴等交易的，对方账号和对方户名必须填实际收款人或付款人，不可填中间过渡账户或清算账户；对于代发等代付业务，交易对手为多个的，允许交易对手可以登记为中间过渡账户。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贷款还息、贷款还本、手续费、系统转存等交易，交易对手填实际转入的信贷分户账或内部分户账，并在摘要中注明，不可为空。</t>
    </r>
  </si>
  <si>
    <r>
      <rPr>
        <sz val="12"/>
        <rFont val="宋体"/>
        <charset val="134"/>
      </rPr>
      <t>对方户名</t>
    </r>
  </si>
  <si>
    <t>DFHM</t>
  </si>
  <si>
    <r>
      <rPr>
        <sz val="12"/>
        <rFont val="宋体"/>
        <charset val="134"/>
      </rPr>
      <t>对方行号</t>
    </r>
  </si>
  <si>
    <t>DFXH</t>
  </si>
  <si>
    <r>
      <rPr>
        <sz val="12"/>
        <rFont val="宋体"/>
        <charset val="134"/>
      </rPr>
      <t>对方行名</t>
    </r>
  </si>
  <si>
    <t>DFXM</t>
  </si>
  <si>
    <t>FY</t>
  </si>
  <si>
    <t>CBMBZ</t>
  </si>
  <si>
    <r>
      <rPr>
        <sz val="12"/>
        <rFont val="宋体"/>
        <charset val="134"/>
      </rPr>
      <t>冲正，补账，抹账交易统一填报</t>
    </r>
    <r>
      <rPr>
        <sz val="12"/>
        <rFont val="Times New Roman"/>
        <charset val="134"/>
      </rPr>
      <t>“</t>
    </r>
    <r>
      <rPr>
        <sz val="12"/>
        <rFont val="宋体"/>
        <charset val="134"/>
      </rPr>
      <t>冲补抹</t>
    </r>
    <r>
      <rPr>
        <sz val="12"/>
        <rFont val="Times New Roman"/>
        <charset val="134"/>
      </rPr>
      <t>”</t>
    </r>
    <r>
      <rPr>
        <sz val="12"/>
        <rFont val="宋体"/>
        <charset val="134"/>
      </rPr>
      <t>，被撤销的交易无需在本表报送。</t>
    </r>
  </si>
  <si>
    <t>XZBZ</t>
  </si>
  <si>
    <r>
      <rPr>
        <sz val="12"/>
        <rFont val="宋体"/>
        <charset val="134"/>
      </rPr>
      <t>把现金交易识别出来放入</t>
    </r>
    <r>
      <rPr>
        <sz val="12"/>
        <rFont val="Times New Roman"/>
        <charset val="134"/>
      </rPr>
      <t>“</t>
    </r>
    <r>
      <rPr>
        <sz val="12"/>
        <rFont val="宋体"/>
        <charset val="134"/>
      </rPr>
      <t>现</t>
    </r>
    <r>
      <rPr>
        <sz val="12"/>
        <rFont val="Times New Roman"/>
        <charset val="134"/>
      </rPr>
      <t>”</t>
    </r>
    <r>
      <rPr>
        <sz val="12"/>
        <rFont val="宋体"/>
        <charset val="134"/>
      </rPr>
      <t>，其他都放入</t>
    </r>
    <r>
      <rPr>
        <sz val="12"/>
        <rFont val="Times New Roman"/>
        <charset val="134"/>
      </rPr>
      <t>“</t>
    </r>
    <r>
      <rPr>
        <sz val="12"/>
        <rFont val="宋体"/>
        <charset val="134"/>
      </rPr>
      <t>转</t>
    </r>
    <r>
      <rPr>
        <sz val="12"/>
        <rFont val="Times New Roman"/>
        <charset val="134"/>
      </rPr>
      <t>”</t>
    </r>
    <r>
      <rPr>
        <sz val="12"/>
        <rFont val="宋体"/>
        <charset val="134"/>
      </rPr>
      <t>。</t>
    </r>
  </si>
  <si>
    <t>JYQD</t>
  </si>
  <si>
    <r>
      <rPr>
        <sz val="12"/>
        <rFont val="宋体"/>
        <charset val="134"/>
      </rPr>
      <t>交易类型为第三方支付的，以</t>
    </r>
    <r>
      <rPr>
        <sz val="12"/>
        <rFont val="Times New Roman"/>
        <charset val="134"/>
      </rPr>
      <t>“</t>
    </r>
    <r>
      <rPr>
        <sz val="12"/>
        <rFont val="宋体"/>
        <charset val="134"/>
      </rPr>
      <t>第三方支付</t>
    </r>
    <r>
      <rPr>
        <sz val="12"/>
        <rFont val="Times New Roman"/>
        <charset val="134"/>
      </rPr>
      <t>-XX”</t>
    </r>
    <r>
      <rPr>
        <sz val="12"/>
        <rFont val="宋体"/>
        <charset val="134"/>
      </rPr>
      <t>填报，其中</t>
    </r>
    <r>
      <rPr>
        <sz val="12"/>
        <rFont val="Times New Roman"/>
        <charset val="134"/>
      </rPr>
      <t>“XX”</t>
    </r>
    <r>
      <rPr>
        <sz val="12"/>
        <rFont val="宋体"/>
        <charset val="134"/>
      </rPr>
      <t>为第三方支付平台名称。</t>
    </r>
  </si>
  <si>
    <t>IPDZ</t>
  </si>
  <si>
    <r>
      <rPr>
        <sz val="12"/>
        <rFont val="宋体"/>
        <charset val="134"/>
      </rPr>
      <t>若交易渠道为网银、手机银行，填写交易发起终端的</t>
    </r>
    <r>
      <rPr>
        <sz val="12"/>
        <rFont val="Times New Roman"/>
        <charset val="134"/>
      </rPr>
      <t>IP</t>
    </r>
    <r>
      <rPr>
        <sz val="12"/>
        <rFont val="宋体"/>
        <charset val="134"/>
      </rPr>
      <t>地址。其他情况允许为空。</t>
    </r>
  </si>
  <si>
    <t>MACDZ</t>
  </si>
  <si>
    <r>
      <rPr>
        <sz val="12"/>
        <rFont val="宋体"/>
        <charset val="134"/>
      </rPr>
      <t>若交易渠道为网银、手机银行，需填写交易发起终端的设备地址，其他情况允许为空。</t>
    </r>
  </si>
  <si>
    <r>
      <rPr>
        <sz val="12"/>
        <rFont val="宋体"/>
        <charset val="134"/>
      </rPr>
      <t>代办人姓名</t>
    </r>
  </si>
  <si>
    <t>DBRXM</t>
  </si>
  <si>
    <r>
      <rPr>
        <sz val="12"/>
        <rFont val="宋体"/>
        <charset val="134"/>
      </rPr>
      <t>隐私，银行机构变形，个人变性规则见《采集技术接口说明》。无代办人的，可以为空。</t>
    </r>
  </si>
  <si>
    <r>
      <rPr>
        <sz val="12"/>
        <rFont val="宋体"/>
        <charset val="134"/>
      </rPr>
      <t>代办人证件类别</t>
    </r>
  </si>
  <si>
    <t>DBRZJLB</t>
  </si>
  <si>
    <r>
      <rPr>
        <sz val="12"/>
        <rFont val="宋体"/>
        <charset val="134"/>
      </rPr>
      <t>无代办人的，可以为空</t>
    </r>
  </si>
  <si>
    <r>
      <rPr>
        <sz val="12"/>
        <rFont val="宋体"/>
        <charset val="134"/>
      </rPr>
      <t>代办人证件号码</t>
    </r>
  </si>
  <si>
    <t>DBRZJHM</t>
  </si>
  <si>
    <r>
      <rPr>
        <sz val="12"/>
        <rFont val="宋体"/>
        <charset val="134"/>
      </rPr>
      <t>如为个人身份证件号码，则为隐私，银行机构变形。变形规则见《采集技术接口说明》。无代办人的，可以为空</t>
    </r>
  </si>
  <si>
    <r>
      <rPr>
        <sz val="12"/>
        <rFont val="宋体"/>
        <charset val="134"/>
      </rPr>
      <t>备注、格式</t>
    </r>
  </si>
  <si>
    <r>
      <rPr>
        <sz val="12"/>
        <rFont val="宋体"/>
        <charset val="134"/>
      </rPr>
      <t>交易柜员号</t>
    </r>
  </si>
  <si>
    <t>JYGYH</t>
  </si>
  <si>
    <r>
      <rPr>
        <sz val="12"/>
        <rFont val="宋体"/>
        <charset val="134"/>
      </rPr>
      <t>授权柜员号</t>
    </r>
  </si>
  <si>
    <t>SQGYH</t>
  </si>
  <si>
    <r>
      <rPr>
        <sz val="12"/>
        <rFont val="宋体"/>
        <charset val="134"/>
      </rPr>
      <t>关联数据项：柜员表</t>
    </r>
    <r>
      <rPr>
        <sz val="12"/>
        <rFont val="Times New Roman"/>
        <charset val="134"/>
      </rPr>
      <t>.</t>
    </r>
    <r>
      <rPr>
        <sz val="12"/>
        <rFont val="宋体"/>
        <charset val="134"/>
      </rPr>
      <t>柜员号，无需授权的柜员号允许为空。</t>
    </r>
  </si>
  <si>
    <r>
      <rPr>
        <sz val="12"/>
        <rFont val="宋体"/>
        <charset val="134"/>
      </rPr>
      <t>对公存款分户账</t>
    </r>
  </si>
  <si>
    <r>
      <rPr>
        <sz val="12"/>
        <rFont val="宋体"/>
        <charset val="134"/>
      </rPr>
      <t>关联数据项：对公客户信息表</t>
    </r>
    <r>
      <rPr>
        <sz val="12"/>
        <rFont val="Times New Roman"/>
        <charset val="134"/>
      </rPr>
      <t>.</t>
    </r>
    <r>
      <rPr>
        <sz val="12"/>
        <rFont val="宋体"/>
        <charset val="134"/>
      </rPr>
      <t>客户统一编号</t>
    </r>
  </si>
  <si>
    <r>
      <rPr>
        <sz val="12"/>
        <rFont val="宋体"/>
        <charset val="134"/>
      </rPr>
      <t>对公存款账号</t>
    </r>
  </si>
  <si>
    <t>DGCKZH</t>
  </si>
  <si>
    <t>DGCKZHLX</t>
  </si>
  <si>
    <r>
      <rPr>
        <sz val="12"/>
        <rFont val="宋体"/>
        <charset val="134"/>
      </rPr>
      <t>存款账户到采集日期为止的余额的金额。</t>
    </r>
  </si>
  <si>
    <r>
      <rPr>
        <sz val="12"/>
        <rFont val="宋体"/>
        <charset val="134"/>
      </rPr>
      <t>对公存款分户账明细记录</t>
    </r>
  </si>
  <si>
    <r>
      <rPr>
        <sz val="12"/>
        <rFont val="宋体"/>
        <charset val="134"/>
      </rPr>
      <t>同一条数据涉及多个明细科目的，仅填报该笔业务指向的主要科目，如：一笔贷款仅包含正常本金时，填报正常本金科目，如一笔贷款既包含正常本金也包含逾期本金时，填报逾期本金科目。关联数据项：总账会计全科目表</t>
    </r>
    <r>
      <rPr>
        <sz val="12"/>
        <rFont val="Times New Roman"/>
        <charset val="134"/>
      </rPr>
      <t>.</t>
    </r>
    <r>
      <rPr>
        <sz val="12"/>
        <rFont val="宋体"/>
        <charset val="134"/>
      </rPr>
      <t>会计科目编号。</t>
    </r>
  </si>
  <si>
    <r>
      <rPr>
        <sz val="12"/>
        <rFont val="Times New Roman"/>
        <charset val="134"/>
      </rPr>
      <t>PK</t>
    </r>
    <r>
      <rPr>
        <sz val="12"/>
        <rFont val="宋体"/>
        <charset val="134"/>
      </rPr>
      <t>。关联数据项：对公存款分户账</t>
    </r>
    <r>
      <rPr>
        <sz val="12"/>
        <rFont val="Times New Roman"/>
        <charset val="134"/>
      </rPr>
      <t>.</t>
    </r>
    <r>
      <rPr>
        <sz val="12"/>
        <rFont val="宋体"/>
        <charset val="134"/>
      </rPr>
      <t>对公存款账号</t>
    </r>
  </si>
  <si>
    <r>
      <rPr>
        <sz val="12"/>
        <rFont val="宋体"/>
        <charset val="134"/>
      </rPr>
      <t>交易类型为三方支付的，以</t>
    </r>
    <r>
      <rPr>
        <sz val="12"/>
        <rFont val="Times New Roman"/>
        <charset val="134"/>
      </rPr>
      <t>“</t>
    </r>
    <r>
      <rPr>
        <sz val="12"/>
        <rFont val="宋体"/>
        <charset val="134"/>
      </rPr>
      <t>三方支付</t>
    </r>
    <r>
      <rPr>
        <sz val="12"/>
        <rFont val="Times New Roman"/>
        <charset val="134"/>
      </rPr>
      <t>-XX”</t>
    </r>
    <r>
      <rPr>
        <sz val="12"/>
        <rFont val="宋体"/>
        <charset val="134"/>
      </rPr>
      <t>填报，其中</t>
    </r>
    <r>
      <rPr>
        <sz val="12"/>
        <rFont val="Times New Roman"/>
        <charset val="134"/>
      </rPr>
      <t>“XX”</t>
    </r>
    <r>
      <rPr>
        <sz val="12"/>
        <rFont val="宋体"/>
        <charset val="134"/>
      </rPr>
      <t>为第三方支付平台名称。</t>
    </r>
  </si>
  <si>
    <r>
      <rPr>
        <sz val="12"/>
        <rFont val="宋体"/>
        <charset val="134"/>
      </rPr>
      <t>内部分户账</t>
    </r>
  </si>
  <si>
    <r>
      <rPr>
        <sz val="12"/>
        <rFont val="宋体"/>
        <charset val="134"/>
      </rPr>
      <t>非隐私，不做变形。如果为境内涉密机构的，填报为</t>
    </r>
    <r>
      <rPr>
        <sz val="12"/>
        <rFont val="Times New Roman"/>
        <charset val="134"/>
      </rPr>
      <t>“*********”</t>
    </r>
    <r>
      <rPr>
        <sz val="12"/>
        <rFont val="宋体"/>
        <charset val="134"/>
      </rPr>
      <t>。</t>
    </r>
  </si>
  <si>
    <r>
      <rPr>
        <sz val="12"/>
        <rFont val="宋体"/>
        <charset val="134"/>
      </rPr>
      <t>内部分户账账号</t>
    </r>
  </si>
  <si>
    <t>NBFHZZH</t>
  </si>
  <si>
    <t>JDBZ</t>
  </si>
  <si>
    <r>
      <rPr>
        <sz val="12"/>
        <rFont val="宋体"/>
        <charset val="134"/>
      </rPr>
      <t>借方余额</t>
    </r>
  </si>
  <si>
    <t>JFYE</t>
  </si>
  <si>
    <r>
      <rPr>
        <sz val="12"/>
        <rFont val="宋体"/>
        <charset val="134"/>
      </rPr>
      <t>贷方余额</t>
    </r>
  </si>
  <si>
    <t>DFYE</t>
  </si>
  <si>
    <r>
      <rPr>
        <sz val="12"/>
        <rFont val="宋体"/>
        <charset val="134"/>
      </rPr>
      <t>计息标志</t>
    </r>
  </si>
  <si>
    <t>JXBZ</t>
  </si>
  <si>
    <t>JXFS</t>
  </si>
  <si>
    <r>
      <rPr>
        <sz val="12"/>
        <rFont val="宋体"/>
        <charset val="134"/>
      </rPr>
      <t>无法按枚举类型填报的，填写</t>
    </r>
    <r>
      <rPr>
        <sz val="12"/>
        <rFont val="Times New Roman"/>
        <charset val="134"/>
      </rPr>
      <t>“XX”</t>
    </r>
    <r>
      <rPr>
        <sz val="12"/>
        <rFont val="宋体"/>
        <charset val="134"/>
      </rPr>
      <t>，</t>
    </r>
    <r>
      <rPr>
        <sz val="12"/>
        <rFont val="Times New Roman"/>
        <charset val="134"/>
      </rPr>
      <t>XX</t>
    </r>
    <r>
      <rPr>
        <sz val="12"/>
        <rFont val="宋体"/>
        <charset val="134"/>
      </rPr>
      <t>为银行自定义的计息方式</t>
    </r>
  </si>
  <si>
    <r>
      <rPr>
        <sz val="12"/>
        <rFont val="宋体"/>
        <charset val="134"/>
      </rPr>
      <t>内部分户账明细记录</t>
    </r>
  </si>
  <si>
    <r>
      <rPr>
        <sz val="12"/>
        <rFont val="宋体"/>
        <charset val="134"/>
      </rPr>
      <t>填报账号归属的银行机构。营业机构、管理机构必须填报</t>
    </r>
    <r>
      <rPr>
        <sz val="12"/>
        <rFont val="Times New Roman"/>
        <charset val="134"/>
      </rPr>
      <t>“</t>
    </r>
    <r>
      <rPr>
        <sz val="12"/>
        <rFont val="宋体"/>
        <charset val="134"/>
      </rPr>
      <t>金融许可证号</t>
    </r>
    <r>
      <rPr>
        <sz val="12"/>
        <rFont val="Times New Roman"/>
        <charset val="134"/>
      </rPr>
      <t>”</t>
    </r>
    <r>
      <rPr>
        <sz val="12"/>
        <rFont val="宋体"/>
        <charset val="134"/>
      </rPr>
      <t>，内设机构、虚拟机构及营业部取本级或上一级管理机构的金融许可证号，优先取本级。</t>
    </r>
  </si>
  <si>
    <r>
      <rPr>
        <sz val="12"/>
        <rFont val="宋体"/>
        <charset val="134"/>
      </rPr>
      <t>填报账号归属的银行机构。关联数据项：机构信息表</t>
    </r>
    <r>
      <rPr>
        <sz val="12"/>
        <rFont val="Times New Roman"/>
        <charset val="134"/>
      </rPr>
      <t>.</t>
    </r>
    <r>
      <rPr>
        <sz val="12"/>
        <rFont val="宋体"/>
        <charset val="134"/>
      </rPr>
      <t>内部机构号</t>
    </r>
  </si>
  <si>
    <r>
      <rPr>
        <sz val="12"/>
        <rFont val="宋体"/>
        <charset val="134"/>
      </rPr>
      <t>填报账号归属的银行机构。关联数据项：机构信息表</t>
    </r>
    <r>
      <rPr>
        <sz val="12"/>
        <rFont val="Times New Roman"/>
        <charset val="134"/>
      </rPr>
      <t>.</t>
    </r>
    <r>
      <rPr>
        <sz val="12"/>
        <rFont val="宋体"/>
        <charset val="134"/>
      </rPr>
      <t>银行机构名称</t>
    </r>
  </si>
  <si>
    <r>
      <rPr>
        <sz val="12"/>
        <rFont val="Times New Roman"/>
        <charset val="134"/>
      </rPr>
      <t>PK</t>
    </r>
    <r>
      <rPr>
        <sz val="12"/>
        <rFont val="宋体"/>
        <charset val="134"/>
      </rPr>
      <t>。关联数据项：内部分户账</t>
    </r>
    <r>
      <rPr>
        <sz val="12"/>
        <rFont val="Times New Roman"/>
        <charset val="134"/>
      </rPr>
      <t>.</t>
    </r>
    <r>
      <rPr>
        <sz val="12"/>
        <rFont val="宋体"/>
        <charset val="134"/>
      </rPr>
      <t>内部分户账账号</t>
    </r>
  </si>
  <si>
    <r>
      <rPr>
        <sz val="12"/>
        <rFont val="宋体"/>
        <charset val="134"/>
      </rPr>
      <t>交易对手的账号，优先填报外部账号。</t>
    </r>
    <r>
      <rPr>
        <sz val="12"/>
        <rFont val="Times New Roman"/>
        <charset val="134"/>
      </rPr>
      <t xml:space="preserve">
1. </t>
    </r>
    <r>
      <rPr>
        <sz val="12"/>
        <rFont val="宋体"/>
        <charset val="134"/>
      </rPr>
      <t>现转标志为</t>
    </r>
    <r>
      <rPr>
        <sz val="12"/>
        <rFont val="Times New Roman"/>
        <charset val="134"/>
      </rPr>
      <t>“</t>
    </r>
    <r>
      <rPr>
        <sz val="12"/>
        <rFont val="宋体"/>
        <charset val="134"/>
      </rPr>
      <t>转</t>
    </r>
    <r>
      <rPr>
        <sz val="12"/>
        <rFont val="Times New Roman"/>
        <charset val="134"/>
      </rPr>
      <t>”</t>
    </r>
    <r>
      <rPr>
        <sz val="12"/>
        <rFont val="宋体"/>
        <charset val="134"/>
      </rPr>
      <t>时，交易对手信息必填，不可为空。</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贷款还息、贷款还本、手续费、系统转存等交易，交易对手填实际转入的信贷分户账或内部分户账，并在摘要中注明，不可为空。</t>
    </r>
  </si>
  <si>
    <r>
      <rPr>
        <sz val="12"/>
        <rFont val="宋体"/>
        <charset val="134"/>
      </rPr>
      <t>对方科目编号</t>
    </r>
  </si>
  <si>
    <t>DFKMBH</t>
  </si>
  <si>
    <r>
      <rPr>
        <sz val="12"/>
        <rFont val="宋体"/>
        <charset val="134"/>
      </rPr>
      <t>仅当交易对手是本行账户时填写，其他情况允许为空。对方科目编号经常是一对多，多对多的关系，填报的时候填主要的科目，例如，资金交易类的填本金科目</t>
    </r>
  </si>
  <si>
    <r>
      <rPr>
        <sz val="12"/>
        <rFont val="宋体"/>
        <charset val="134"/>
      </rPr>
      <t>对方科目名称</t>
    </r>
  </si>
  <si>
    <t>DFKMMC</t>
  </si>
  <si>
    <r>
      <rPr>
        <sz val="12"/>
        <rFont val="宋体"/>
        <charset val="134"/>
      </rPr>
      <t>仅当交易对手是本行账户时填写，其他情况允许为空。同一条数据涉及多个明细科目的，仅填报主要科目，如：一笔贷款仅包含正常本金时，填报正常本金科目，如一笔贷款既包含正常本金也包含逾期本金时，填报逾期本金科目。关联数据项：总账会计全科目表</t>
    </r>
    <r>
      <rPr>
        <sz val="12"/>
        <rFont val="Times New Roman"/>
        <charset val="134"/>
      </rPr>
      <t>.</t>
    </r>
    <r>
      <rPr>
        <sz val="12"/>
        <rFont val="宋体"/>
        <charset val="134"/>
      </rPr>
      <t>会计科目名称。</t>
    </r>
  </si>
  <si>
    <r>
      <rPr>
        <sz val="12"/>
        <rFont val="宋体"/>
        <charset val="134"/>
      </rPr>
      <t>交易对手的开户名称。若交易对手为个人，则为隐私，银行机构变形，填写个人姓名最后一个字。其他情况则为非隐私，不做变形。</t>
    </r>
    <r>
      <rPr>
        <sz val="12"/>
        <rFont val="Times New Roman"/>
        <charset val="134"/>
      </rPr>
      <t xml:space="preserve">
1. </t>
    </r>
    <r>
      <rPr>
        <sz val="12"/>
        <rFont val="宋体"/>
        <charset val="134"/>
      </rPr>
      <t>现转标志为</t>
    </r>
    <r>
      <rPr>
        <sz val="12"/>
        <rFont val="Times New Roman"/>
        <charset val="134"/>
      </rPr>
      <t>“</t>
    </r>
    <r>
      <rPr>
        <sz val="12"/>
        <rFont val="宋体"/>
        <charset val="134"/>
      </rPr>
      <t>转</t>
    </r>
    <r>
      <rPr>
        <sz val="12"/>
        <rFont val="Times New Roman"/>
        <charset val="134"/>
      </rPr>
      <t>”</t>
    </r>
    <r>
      <rPr>
        <sz val="12"/>
        <rFont val="宋体"/>
        <charset val="134"/>
      </rPr>
      <t>时，交易对手信息必填，不可为空。</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贷款还息、贷款还本、手续费、系统转存等交易，交易对手填实际转入的信贷分户账或内部分户账，并在摘要中注明，不可为空。</t>
    </r>
  </si>
  <si>
    <r>
      <rPr>
        <sz val="12"/>
        <rFont val="宋体"/>
        <charset val="134"/>
      </rPr>
      <t>交易对手的银行机构代码。</t>
    </r>
    <r>
      <rPr>
        <sz val="12"/>
        <rFont val="Times New Roman"/>
        <charset val="134"/>
      </rPr>
      <t xml:space="preserve">
1. </t>
    </r>
    <r>
      <rPr>
        <sz val="12"/>
        <rFont val="宋体"/>
        <charset val="134"/>
      </rPr>
      <t>交易对手为境外账户时，对方行号可填</t>
    </r>
    <r>
      <rPr>
        <sz val="12"/>
        <rFont val="Times New Roman"/>
        <charset val="134"/>
      </rPr>
      <t>SWIFT</t>
    </r>
    <r>
      <rPr>
        <sz val="12"/>
        <rFont val="宋体"/>
        <charset val="134"/>
      </rPr>
      <t>编码。</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贷款还息、贷款还本、手续费、系统转存等交易，交易对手填实际转入的信贷分户账或内部分户账，并在摘要中注明，不可为空。</t>
    </r>
  </si>
  <si>
    <r>
      <rPr>
        <sz val="12"/>
        <rFont val="宋体"/>
        <charset val="134"/>
      </rPr>
      <t>交易对手的银行机构名称。</t>
    </r>
    <r>
      <rPr>
        <sz val="12"/>
        <rFont val="Times New Roman"/>
        <charset val="134"/>
      </rPr>
      <t xml:space="preserve">
1. </t>
    </r>
    <r>
      <rPr>
        <sz val="12"/>
        <rFont val="宋体"/>
        <charset val="134"/>
      </rPr>
      <t>交易对手为境外账户时，对方行名可填报英文名称。</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贷款还息、贷款还本、手续费、系统转存等交易，交易对手填实际转入的信贷分户账或内部分户账，并在摘要中注明，不可为空。</t>
    </r>
  </si>
  <si>
    <r>
      <rPr>
        <sz val="12"/>
        <rFont val="宋体"/>
        <charset val="134"/>
      </rPr>
      <t>进账日期</t>
    </r>
  </si>
  <si>
    <t>JZRQ</t>
  </si>
  <si>
    <r>
      <rPr>
        <sz val="12"/>
        <rFont val="宋体"/>
        <charset val="134"/>
      </rPr>
      <t>销账日期</t>
    </r>
  </si>
  <si>
    <t>XZRQ</t>
  </si>
  <si>
    <r>
      <rPr>
        <sz val="12"/>
        <rFont val="宋体"/>
        <charset val="134"/>
      </rPr>
      <t>个人信贷分户账</t>
    </r>
  </si>
  <si>
    <r>
      <rPr>
        <sz val="12"/>
        <rFont val="宋体"/>
        <charset val="134"/>
      </rPr>
      <t>贷款分户账号</t>
    </r>
  </si>
  <si>
    <t>DKFHZH</t>
  </si>
  <si>
    <r>
      <rPr>
        <sz val="12"/>
        <rFont val="宋体"/>
        <charset val="134"/>
      </rPr>
      <t>信贷合同号</t>
    </r>
  </si>
  <si>
    <t>XDHTH</t>
  </si>
  <si>
    <r>
      <rPr>
        <sz val="12"/>
        <rFont val="宋体"/>
        <charset val="134"/>
      </rPr>
      <t>关联数据项：信贷合同表</t>
    </r>
    <r>
      <rPr>
        <sz val="12"/>
        <rFont val="Times New Roman"/>
        <charset val="134"/>
      </rPr>
      <t>.</t>
    </r>
    <r>
      <rPr>
        <sz val="12"/>
        <rFont val="宋体"/>
        <charset val="134"/>
      </rPr>
      <t>信贷合同号</t>
    </r>
  </si>
  <si>
    <r>
      <rPr>
        <sz val="12"/>
        <rFont val="宋体"/>
        <charset val="134"/>
      </rPr>
      <t>信贷借据号</t>
    </r>
  </si>
  <si>
    <t>XDJJH</t>
  </si>
  <si>
    <r>
      <rPr>
        <sz val="12"/>
        <rFont val="Times New Roman"/>
        <charset val="134"/>
      </rPr>
      <t>PK</t>
    </r>
    <r>
      <rPr>
        <sz val="12"/>
        <rFont val="宋体"/>
        <charset val="134"/>
      </rPr>
      <t>。关联数据项：个人信贷业务借据表</t>
    </r>
    <r>
      <rPr>
        <sz val="12"/>
        <rFont val="Times New Roman"/>
        <charset val="134"/>
      </rPr>
      <t>.</t>
    </r>
    <r>
      <rPr>
        <sz val="12"/>
        <rFont val="宋体"/>
        <charset val="134"/>
      </rPr>
      <t>信贷借据号</t>
    </r>
  </si>
  <si>
    <r>
      <rPr>
        <sz val="12"/>
        <rFont val="宋体"/>
        <charset val="134"/>
      </rPr>
      <t>实际利率</t>
    </r>
  </si>
  <si>
    <t>DKLL</t>
  </si>
  <si>
    <r>
      <rPr>
        <sz val="12"/>
        <rFont val="宋体"/>
        <charset val="134"/>
      </rPr>
      <t>按业务实际填写，利率类型为</t>
    </r>
    <r>
      <rPr>
        <sz val="12"/>
        <rFont val="Times New Roman"/>
        <charset val="134"/>
      </rPr>
      <t>LPR</t>
    </r>
    <r>
      <rPr>
        <sz val="12"/>
        <rFont val="宋体"/>
        <charset val="134"/>
      </rPr>
      <t>时填报最新执行利率。百分比为单位，即</t>
    </r>
    <r>
      <rPr>
        <sz val="12"/>
        <rFont val="Times New Roman"/>
        <charset val="134"/>
      </rPr>
      <t>1/100</t>
    </r>
    <r>
      <rPr>
        <sz val="12"/>
        <rFont val="宋体"/>
        <charset val="134"/>
      </rPr>
      <t>，为年利，精确到小数点后</t>
    </r>
    <r>
      <rPr>
        <sz val="12"/>
        <rFont val="Times New Roman"/>
        <charset val="134"/>
      </rPr>
      <t>4</t>
    </r>
    <r>
      <rPr>
        <sz val="12"/>
        <rFont val="宋体"/>
        <charset val="134"/>
      </rPr>
      <t>位。若利率为</t>
    </r>
    <r>
      <rPr>
        <sz val="12"/>
        <rFont val="Times New Roman"/>
        <charset val="134"/>
      </rPr>
      <t>0</t>
    </r>
    <r>
      <rPr>
        <sz val="12"/>
        <rFont val="宋体"/>
        <charset val="134"/>
      </rPr>
      <t>，允许填报为</t>
    </r>
    <r>
      <rPr>
        <sz val="12"/>
        <rFont val="Times New Roman"/>
        <charset val="134"/>
      </rPr>
      <t>0</t>
    </r>
    <r>
      <rPr>
        <sz val="12"/>
        <rFont val="宋体"/>
        <charset val="134"/>
      </rPr>
      <t>。</t>
    </r>
  </si>
  <si>
    <r>
      <rPr>
        <sz val="12"/>
        <rFont val="宋体"/>
        <charset val="134"/>
      </rPr>
      <t>贷款金额</t>
    </r>
  </si>
  <si>
    <t>DKJE</t>
  </si>
  <si>
    <r>
      <rPr>
        <sz val="12"/>
        <rFont val="宋体"/>
        <charset val="134"/>
      </rPr>
      <t>借款人应还本金总额。票据填报票面金额，信用证填报信用证金额。</t>
    </r>
  </si>
  <si>
    <r>
      <rPr>
        <sz val="12"/>
        <rFont val="宋体"/>
        <charset val="134"/>
      </rPr>
      <t>贷款余额</t>
    </r>
  </si>
  <si>
    <t>DKYE</t>
  </si>
  <si>
    <r>
      <rPr>
        <sz val="12"/>
        <rFont val="宋体"/>
        <charset val="134"/>
      </rPr>
      <t>贷款账户截止到目前未还的本金余额，包括逾期未还本金，已转让</t>
    </r>
    <r>
      <rPr>
        <sz val="12"/>
        <rFont val="Times New Roman"/>
        <charset val="134"/>
      </rPr>
      <t>/</t>
    </r>
    <r>
      <rPr>
        <sz val="12"/>
        <rFont val="宋体"/>
        <charset val="134"/>
      </rPr>
      <t>核销贷款余额为</t>
    </r>
    <r>
      <rPr>
        <sz val="12"/>
        <rFont val="Times New Roman"/>
        <charset val="134"/>
      </rPr>
      <t>0</t>
    </r>
    <r>
      <rPr>
        <sz val="12"/>
        <rFont val="宋体"/>
        <charset val="134"/>
      </rPr>
      <t>。</t>
    </r>
  </si>
  <si>
    <r>
      <rPr>
        <sz val="12"/>
        <rFont val="宋体"/>
        <charset val="134"/>
      </rPr>
      <t>发放日期</t>
    </r>
  </si>
  <si>
    <t>FFRQ</t>
  </si>
  <si>
    <r>
      <rPr>
        <sz val="12"/>
        <rFont val="宋体"/>
        <charset val="134"/>
      </rPr>
      <t>填写贷款实际发放日期，</t>
    </r>
    <r>
      <rPr>
        <sz val="12"/>
        <rFont val="Times New Roman"/>
        <charset val="134"/>
      </rPr>
      <t>YYYYMMDD</t>
    </r>
    <r>
      <rPr>
        <sz val="12"/>
        <rFont val="宋体"/>
        <charset val="134"/>
      </rPr>
      <t>。</t>
    </r>
  </si>
  <si>
    <r>
      <rPr>
        <sz val="12"/>
        <rFont val="宋体"/>
        <charset val="134"/>
      </rPr>
      <t>到期日期</t>
    </r>
  </si>
  <si>
    <t>DQRQ</t>
  </si>
  <si>
    <r>
      <rPr>
        <sz val="12"/>
        <rFont val="宋体"/>
        <charset val="134"/>
      </rPr>
      <t>填写贷款合同约定的到期日期（包含展期），</t>
    </r>
    <r>
      <rPr>
        <sz val="12"/>
        <rFont val="Times New Roman"/>
        <charset val="134"/>
      </rPr>
      <t>YYYYMMDD</t>
    </r>
    <r>
      <rPr>
        <sz val="12"/>
        <rFont val="宋体"/>
        <charset val="134"/>
      </rPr>
      <t>。</t>
    </r>
  </si>
  <si>
    <t>DKZT</t>
  </si>
  <si>
    <r>
      <rPr>
        <sz val="12"/>
        <rFont val="宋体"/>
        <charset val="134"/>
      </rPr>
      <t>个人信贷分户账明细记录</t>
    </r>
  </si>
  <si>
    <r>
      <rPr>
        <sz val="12"/>
        <rFont val="宋体"/>
        <charset val="134"/>
      </rPr>
      <t>填报经办的银行机构。营业机构、管理机构必须填报</t>
    </r>
    <r>
      <rPr>
        <sz val="12"/>
        <rFont val="Times New Roman"/>
        <charset val="134"/>
      </rPr>
      <t>“</t>
    </r>
    <r>
      <rPr>
        <sz val="12"/>
        <rFont val="宋体"/>
        <charset val="134"/>
      </rPr>
      <t>金融许可证号</t>
    </r>
    <r>
      <rPr>
        <sz val="12"/>
        <rFont val="Times New Roman"/>
        <charset val="134"/>
      </rPr>
      <t>”</t>
    </r>
    <r>
      <rPr>
        <sz val="12"/>
        <rFont val="宋体"/>
        <charset val="134"/>
      </rPr>
      <t>，内设机构、虚拟机构及营业部取本级或上一级管理机构的金融许可证号，优先取本级。</t>
    </r>
  </si>
  <si>
    <r>
      <rPr>
        <sz val="12"/>
        <rFont val="宋体"/>
        <charset val="134"/>
      </rPr>
      <t>填报经办的银行机构。关联数据项：机构信息表</t>
    </r>
    <r>
      <rPr>
        <sz val="12"/>
        <rFont val="Times New Roman"/>
        <charset val="134"/>
      </rPr>
      <t>.</t>
    </r>
    <r>
      <rPr>
        <sz val="12"/>
        <rFont val="宋体"/>
        <charset val="134"/>
      </rPr>
      <t>内部机构号</t>
    </r>
  </si>
  <si>
    <r>
      <rPr>
        <sz val="12"/>
        <rFont val="宋体"/>
        <charset val="134"/>
      </rPr>
      <t>填报经办的银行机构。关联数据项：机构信息表</t>
    </r>
    <r>
      <rPr>
        <sz val="12"/>
        <rFont val="Times New Roman"/>
        <charset val="134"/>
      </rPr>
      <t>.</t>
    </r>
    <r>
      <rPr>
        <sz val="12"/>
        <rFont val="宋体"/>
        <charset val="134"/>
      </rPr>
      <t>银行机构名称</t>
    </r>
  </si>
  <si>
    <r>
      <rPr>
        <sz val="12"/>
        <rFont val="Times New Roman"/>
        <charset val="134"/>
      </rPr>
      <t>PK</t>
    </r>
    <r>
      <rPr>
        <sz val="12"/>
        <rFont val="宋体"/>
        <charset val="134"/>
      </rPr>
      <t>。关联数据项：个人信贷分户账</t>
    </r>
    <r>
      <rPr>
        <sz val="12"/>
        <rFont val="Times New Roman"/>
        <charset val="134"/>
      </rPr>
      <t>.</t>
    </r>
    <r>
      <rPr>
        <sz val="12"/>
        <rFont val="宋体"/>
        <charset val="134"/>
      </rPr>
      <t>贷款分户账号</t>
    </r>
  </si>
  <si>
    <r>
      <rPr>
        <sz val="12"/>
        <rFont val="宋体"/>
        <charset val="134"/>
      </rPr>
      <t>贷款核销或者转让（包括资产证券化）时，交易金额为核销或转让前本金余额。</t>
    </r>
  </si>
  <si>
    <r>
      <rPr>
        <sz val="12"/>
        <rFont val="宋体"/>
        <charset val="134"/>
      </rPr>
      <t>本笔交易时点完成后贷款剩余未还本金总额（不含利息），统一用正数填报。贷款核销或者转让（包括资产证券化）时，账户余额为</t>
    </r>
    <r>
      <rPr>
        <sz val="12"/>
        <rFont val="Times New Roman"/>
        <charset val="134"/>
      </rPr>
      <t>0</t>
    </r>
    <r>
      <rPr>
        <sz val="12"/>
        <rFont val="宋体"/>
        <charset val="134"/>
      </rPr>
      <t>。</t>
    </r>
  </si>
  <si>
    <r>
      <rPr>
        <sz val="12"/>
        <rFont val="宋体"/>
        <charset val="134"/>
      </rPr>
      <t>客户往账业务对应传票上记载的最终交易对手信息。</t>
    </r>
    <r>
      <rPr>
        <sz val="12"/>
        <rFont val="Times New Roman"/>
        <charset val="134"/>
      </rPr>
      <t xml:space="preserve">
1. </t>
    </r>
    <r>
      <rPr>
        <sz val="12"/>
        <rFont val="宋体"/>
        <charset val="134"/>
      </rPr>
      <t>现转标志为</t>
    </r>
    <r>
      <rPr>
        <sz val="12"/>
        <rFont val="Times New Roman"/>
        <charset val="134"/>
      </rPr>
      <t>“</t>
    </r>
    <r>
      <rPr>
        <sz val="12"/>
        <rFont val="宋体"/>
        <charset val="134"/>
      </rPr>
      <t>转</t>
    </r>
    <r>
      <rPr>
        <sz val="12"/>
        <rFont val="Times New Roman"/>
        <charset val="134"/>
      </rPr>
      <t>”</t>
    </r>
    <r>
      <rPr>
        <sz val="12"/>
        <rFont val="宋体"/>
        <charset val="134"/>
      </rPr>
      <t>时，交易对手信息必填，不可为空。</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贷款还息、贷款还本、手续费、系统转存等交易，交易对手填实际转入的信贷分户账或内部分户账，并在摘要中注明，不可为空。</t>
    </r>
  </si>
  <si>
    <r>
      <rPr>
        <sz val="12"/>
        <rFont val="宋体"/>
        <charset val="134"/>
      </rPr>
      <t>交易对手的开户名称。若交易对手为个人，则为隐私，银行机构变形，变形规则见《采集技术接口说明》。其他情况则为非隐私，不做变形。</t>
    </r>
    <r>
      <rPr>
        <sz val="12"/>
        <rFont val="Times New Roman"/>
        <charset val="134"/>
      </rPr>
      <t xml:space="preserve">
1. </t>
    </r>
    <r>
      <rPr>
        <sz val="12"/>
        <rFont val="宋体"/>
        <charset val="134"/>
      </rPr>
      <t>现转标志为</t>
    </r>
    <r>
      <rPr>
        <sz val="12"/>
        <rFont val="Times New Roman"/>
        <charset val="134"/>
      </rPr>
      <t>“</t>
    </r>
    <r>
      <rPr>
        <sz val="12"/>
        <rFont val="宋体"/>
        <charset val="134"/>
      </rPr>
      <t>转</t>
    </r>
    <r>
      <rPr>
        <sz val="12"/>
        <rFont val="Times New Roman"/>
        <charset val="134"/>
      </rPr>
      <t>”</t>
    </r>
    <r>
      <rPr>
        <sz val="12"/>
        <rFont val="宋体"/>
        <charset val="134"/>
      </rPr>
      <t>时，交易对手信息必填，不可为空。</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贷款还息、贷款还本、手续费、系统转存等交易，交易对手填实际转入的信贷分户账或内部分户账，并在摘要中注明，不可为空。</t>
    </r>
  </si>
  <si>
    <r>
      <rPr>
        <sz val="12"/>
        <rFont val="宋体"/>
        <charset val="134"/>
      </rPr>
      <t>隐私，银行机构变形，变形规则见《采集技术接口说明》。无代办人情况，可以为空</t>
    </r>
  </si>
  <si>
    <r>
      <rPr>
        <sz val="12"/>
        <rFont val="宋体"/>
        <charset val="134"/>
      </rPr>
      <t>无代办人的，允许为空</t>
    </r>
  </si>
  <si>
    <r>
      <rPr>
        <sz val="12"/>
        <rFont val="宋体"/>
        <charset val="134"/>
      </rPr>
      <t>如为个人身份证件号码，则为隐私，银行机构变形。变形规则见《采集技术接口说明》。无代办人的，允许为空</t>
    </r>
  </si>
  <si>
    <r>
      <rPr>
        <sz val="12"/>
        <rFont val="宋体"/>
        <charset val="134"/>
      </rPr>
      <t>对公信贷分户账</t>
    </r>
  </si>
  <si>
    <r>
      <rPr>
        <sz val="12"/>
        <rFont val="Times New Roman"/>
        <charset val="134"/>
      </rPr>
      <t>PK</t>
    </r>
    <r>
      <rPr>
        <sz val="12"/>
        <rFont val="宋体"/>
        <charset val="134"/>
      </rPr>
      <t>。关联数据项：对公信贷业务借据表</t>
    </r>
    <r>
      <rPr>
        <sz val="12"/>
        <rFont val="Times New Roman"/>
        <charset val="134"/>
      </rPr>
      <t>.</t>
    </r>
    <r>
      <rPr>
        <sz val="12"/>
        <rFont val="宋体"/>
        <charset val="134"/>
      </rPr>
      <t>信贷借据号</t>
    </r>
  </si>
  <si>
    <t>SJLL</t>
  </si>
  <si>
    <r>
      <rPr>
        <sz val="12"/>
        <rFont val="宋体"/>
        <charset val="134"/>
      </rPr>
      <t>数据项代码、数据</t>
    </r>
  </si>
  <si>
    <r>
      <rPr>
        <sz val="12"/>
        <rFont val="宋体"/>
        <charset val="134"/>
      </rPr>
      <t>对公信贷分户账明细记录</t>
    </r>
  </si>
  <si>
    <r>
      <rPr>
        <sz val="12"/>
        <rFont val="Times New Roman"/>
        <charset val="134"/>
      </rPr>
      <t>PK</t>
    </r>
    <r>
      <rPr>
        <sz val="12"/>
        <rFont val="宋体"/>
        <charset val="134"/>
      </rPr>
      <t>。关联数据项：对公信贷分户账</t>
    </r>
    <r>
      <rPr>
        <sz val="12"/>
        <rFont val="Times New Roman"/>
        <charset val="134"/>
      </rPr>
      <t>.</t>
    </r>
    <r>
      <rPr>
        <sz val="12"/>
        <rFont val="宋体"/>
        <charset val="134"/>
      </rPr>
      <t>贷款分户账号</t>
    </r>
  </si>
  <si>
    <r>
      <rPr>
        <sz val="12"/>
        <rFont val="宋体"/>
        <charset val="134"/>
      </rPr>
      <t>交易对手的银行机构名称。</t>
    </r>
    <r>
      <rPr>
        <sz val="12"/>
        <rFont val="Times New Roman"/>
        <charset val="134"/>
      </rPr>
      <t xml:space="preserve">
1. </t>
    </r>
    <r>
      <rPr>
        <sz val="12"/>
        <rFont val="宋体"/>
        <charset val="134"/>
      </rPr>
      <t>交易对手为境外账户时，对方行名可填报英文名称。</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贷款还息、贷款还本、手续费、系统转存等交易，交易对手填实际转入的信贷分户账或内部分户账，并在摘要中注明，不可为空。</t>
    </r>
  </si>
  <si>
    <r>
      <rPr>
        <sz val="14"/>
        <rFont val="宋体"/>
        <charset val="134"/>
      </rPr>
      <t>各项贷款</t>
    </r>
  </si>
  <si>
    <r>
      <rPr>
        <sz val="12"/>
        <rFont val="宋体"/>
        <charset val="134"/>
      </rPr>
      <t>信贷合同表</t>
    </r>
  </si>
  <si>
    <r>
      <rPr>
        <sz val="12"/>
        <rFont val="宋体"/>
        <charset val="134"/>
      </rPr>
      <t>关联数据项：个人基础信息表</t>
    </r>
    <r>
      <rPr>
        <sz val="12"/>
        <rFont val="Times New Roman"/>
        <charset val="134"/>
      </rPr>
      <t>.</t>
    </r>
    <r>
      <rPr>
        <sz val="12"/>
        <rFont val="宋体"/>
        <charset val="134"/>
      </rPr>
      <t>客户姓名</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对公客户信息表</t>
    </r>
    <r>
      <rPr>
        <sz val="12"/>
        <rFont val="Times New Roman"/>
        <charset val="134"/>
      </rPr>
      <t>.</t>
    </r>
    <r>
      <rPr>
        <sz val="12"/>
        <rFont val="宋体"/>
        <charset val="134"/>
      </rPr>
      <t>客户名称</t>
    </r>
  </si>
  <si>
    <r>
      <rPr>
        <sz val="12"/>
        <rFont val="Times New Roman"/>
        <charset val="134"/>
      </rPr>
      <t>PK</t>
    </r>
    <r>
      <rPr>
        <sz val="12"/>
        <rFont val="宋体"/>
        <charset val="134"/>
      </rPr>
      <t>。当业务为票据贴现和买断式转贴现时，可以填报为信贷合同号</t>
    </r>
    <r>
      <rPr>
        <sz val="12"/>
        <rFont val="Times New Roman"/>
        <charset val="134"/>
      </rPr>
      <t>=</t>
    </r>
    <r>
      <rPr>
        <sz val="12"/>
        <rFont val="宋体"/>
        <charset val="134"/>
      </rPr>
      <t>信贷借据号</t>
    </r>
    <r>
      <rPr>
        <sz val="12"/>
        <rFont val="Times New Roman"/>
        <charset val="134"/>
      </rPr>
      <t>=</t>
    </r>
    <r>
      <rPr>
        <sz val="12"/>
        <rFont val="宋体"/>
        <charset val="134"/>
      </rPr>
      <t>票据号码；对于其他若没有对应合同号的业务，可以填报为信贷合同号</t>
    </r>
    <r>
      <rPr>
        <sz val="12"/>
        <rFont val="Times New Roman"/>
        <charset val="134"/>
      </rPr>
      <t>=</t>
    </r>
    <r>
      <rPr>
        <sz val="12"/>
        <rFont val="宋体"/>
        <charset val="134"/>
      </rPr>
      <t>信贷借据号</t>
    </r>
    <r>
      <rPr>
        <sz val="12"/>
        <rFont val="Times New Roman"/>
        <charset val="134"/>
      </rPr>
      <t>=</t>
    </r>
    <r>
      <rPr>
        <sz val="12"/>
        <rFont val="宋体"/>
        <charset val="134"/>
      </rPr>
      <t>业务编号</t>
    </r>
  </si>
  <si>
    <r>
      <rPr>
        <sz val="12"/>
        <rFont val="宋体"/>
        <charset val="134"/>
      </rPr>
      <t>主合同号</t>
    </r>
  </si>
  <si>
    <t>ZHTH</t>
  </si>
  <si>
    <r>
      <rPr>
        <sz val="12"/>
        <rFont val="宋体"/>
        <charset val="134"/>
      </rPr>
      <t>此项填写信贷合同对应的主合同号，如果没有主合同则填报此记录的信贷合同号，不可为空。</t>
    </r>
  </si>
  <si>
    <t>HTMC</t>
  </si>
  <si>
    <r>
      <rPr>
        <sz val="12"/>
        <rFont val="宋体"/>
        <charset val="134"/>
      </rPr>
      <t>必填项。</t>
    </r>
  </si>
  <si>
    <t>XDYWZL</t>
  </si>
  <si>
    <r>
      <rPr>
        <sz val="12"/>
        <rFont val="宋体"/>
        <charset val="134"/>
      </rPr>
      <t>一般固定资产贷款指除了项目贷款外的固定资产贷款。个人经营性贷款不包括个人商用房贷款，消费贷款不包括住房按揭贷款、汽车贷款、助学贷款。</t>
    </r>
  </si>
  <si>
    <r>
      <rPr>
        <sz val="12"/>
        <rFont val="宋体"/>
        <charset val="134"/>
      </rPr>
      <t>合同金额</t>
    </r>
  </si>
  <si>
    <t>HTJE</t>
  </si>
  <si>
    <r>
      <rPr>
        <sz val="12"/>
        <rFont val="宋体"/>
        <charset val="134"/>
      </rPr>
      <t>合同起始日期</t>
    </r>
  </si>
  <si>
    <t>HTQSRQ</t>
  </si>
  <si>
    <r>
      <rPr>
        <sz val="12"/>
        <rFont val="宋体"/>
        <charset val="134"/>
      </rPr>
      <t>若合同约定签订日生效，则填写签订日日期，若合同约定非签订日生效，则填写约定的生效日期。</t>
    </r>
  </si>
  <si>
    <r>
      <rPr>
        <sz val="12"/>
        <rFont val="宋体"/>
        <charset val="134"/>
      </rPr>
      <t>合同到期日期</t>
    </r>
  </si>
  <si>
    <t>HTDQRQ</t>
  </si>
  <si>
    <r>
      <rPr>
        <sz val="12"/>
        <rFont val="宋体"/>
        <charset val="134"/>
      </rPr>
      <t>合同原始到期日期。</t>
    </r>
  </si>
  <si>
    <t>DBLX</t>
  </si>
  <si>
    <r>
      <rPr>
        <sz val="12"/>
        <rFont val="宋体"/>
        <charset val="134"/>
      </rPr>
      <t>合同贷款用途</t>
    </r>
  </si>
  <si>
    <t>HTDKYT</t>
  </si>
  <si>
    <r>
      <rPr>
        <sz val="12"/>
        <rFont val="宋体"/>
        <charset val="134"/>
      </rPr>
      <t>填报信贷合同中约定的贷款用途，非借据贷款用途。票据、信用证等填报贸易交易内容。</t>
    </r>
  </si>
  <si>
    <r>
      <rPr>
        <sz val="12"/>
        <rFont val="宋体"/>
        <charset val="134"/>
      </rPr>
      <t>客户经理工号</t>
    </r>
  </si>
  <si>
    <t>KHJLGH</t>
  </si>
  <si>
    <r>
      <rPr>
        <sz val="12"/>
        <rFont val="宋体"/>
        <charset val="134"/>
      </rPr>
      <t>关联数据项：员工表</t>
    </r>
    <r>
      <rPr>
        <sz val="12"/>
        <rFont val="Times New Roman"/>
        <charset val="134"/>
      </rPr>
      <t>.</t>
    </r>
    <r>
      <rPr>
        <sz val="12"/>
        <rFont val="宋体"/>
        <charset val="134"/>
      </rPr>
      <t>工号。</t>
    </r>
  </si>
  <si>
    <t>HTZT</t>
  </si>
  <si>
    <r>
      <rPr>
        <sz val="12"/>
        <rFont val="宋体"/>
        <charset val="134"/>
      </rPr>
      <t>互联网贷款合同附加表</t>
    </r>
  </si>
  <si>
    <r>
      <rPr>
        <sz val="12"/>
        <rFont val="宋体"/>
        <charset val="134"/>
      </rPr>
      <t>合同所属机构金融许可证号。</t>
    </r>
  </si>
  <si>
    <r>
      <rPr>
        <sz val="12"/>
        <rFont val="宋体"/>
        <charset val="134"/>
      </rPr>
      <t>关联数据项：机构信息表</t>
    </r>
    <r>
      <rPr>
        <sz val="12"/>
        <rFont val="Times New Roman"/>
        <charset val="134"/>
      </rPr>
      <t>.</t>
    </r>
    <r>
      <rPr>
        <sz val="12"/>
        <rFont val="宋体"/>
        <charset val="134"/>
      </rPr>
      <t>银行机构名称</t>
    </r>
  </si>
  <si>
    <r>
      <rPr>
        <sz val="12"/>
        <rFont val="宋体"/>
        <charset val="134"/>
      </rPr>
      <t>业务模式</t>
    </r>
  </si>
  <si>
    <t>YWMS</t>
  </si>
  <si>
    <r>
      <rPr>
        <sz val="12"/>
        <rFont val="宋体"/>
        <charset val="134"/>
      </rPr>
      <t>签订了互联网贷款合作协议的，填</t>
    </r>
    <r>
      <rPr>
        <sz val="12"/>
        <rFont val="Times New Roman"/>
        <charset val="134"/>
      </rPr>
      <t>“</t>
    </r>
    <r>
      <rPr>
        <sz val="12"/>
        <rFont val="宋体"/>
        <charset val="134"/>
      </rPr>
      <t>合作</t>
    </r>
    <r>
      <rPr>
        <sz val="12"/>
        <rFont val="Times New Roman"/>
        <charset val="134"/>
      </rPr>
      <t>”</t>
    </r>
    <r>
      <rPr>
        <sz val="12"/>
        <rFont val="宋体"/>
        <charset val="134"/>
      </rPr>
      <t>，未签订填</t>
    </r>
    <r>
      <rPr>
        <sz val="12"/>
        <rFont val="Times New Roman"/>
        <charset val="134"/>
      </rPr>
      <t>“</t>
    </r>
    <r>
      <rPr>
        <sz val="12"/>
        <rFont val="宋体"/>
        <charset val="134"/>
      </rPr>
      <t>独立</t>
    </r>
    <r>
      <rPr>
        <sz val="12"/>
        <rFont val="Times New Roman"/>
        <charset val="134"/>
      </rPr>
      <t>”</t>
    </r>
    <r>
      <rPr>
        <sz val="12"/>
        <rFont val="宋体"/>
        <charset val="134"/>
      </rPr>
      <t>。</t>
    </r>
  </si>
  <si>
    <r>
      <rPr>
        <sz val="12"/>
        <rFont val="宋体"/>
        <charset val="134"/>
      </rPr>
      <t>合作协议编号</t>
    </r>
  </si>
  <si>
    <t>HZXYBH</t>
  </si>
  <si>
    <r>
      <rPr>
        <sz val="12"/>
        <rFont val="宋体"/>
        <charset val="134"/>
      </rPr>
      <t>关联数据项：互联网贷款合作协议信息表</t>
    </r>
    <r>
      <rPr>
        <sz val="12"/>
        <rFont val="Times New Roman"/>
        <charset val="134"/>
      </rPr>
      <t>.</t>
    </r>
    <r>
      <rPr>
        <sz val="12"/>
        <rFont val="宋体"/>
        <charset val="134"/>
      </rPr>
      <t>合作协议编号。</t>
    </r>
  </si>
  <si>
    <r>
      <rPr>
        <sz val="12"/>
        <rFont val="Times New Roman"/>
        <charset val="134"/>
      </rPr>
      <t>PK</t>
    </r>
    <r>
      <rPr>
        <sz val="12"/>
        <rFont val="宋体"/>
        <charset val="134"/>
      </rPr>
      <t>。业务模式为</t>
    </r>
    <r>
      <rPr>
        <sz val="12"/>
        <rFont val="Times New Roman"/>
        <charset val="134"/>
      </rPr>
      <t>“</t>
    </r>
    <r>
      <rPr>
        <sz val="12"/>
        <rFont val="宋体"/>
        <charset val="134"/>
      </rPr>
      <t>独立</t>
    </r>
    <r>
      <rPr>
        <sz val="12"/>
        <rFont val="Times New Roman"/>
        <charset val="134"/>
      </rPr>
      <t>”</t>
    </r>
    <r>
      <rPr>
        <sz val="12"/>
        <rFont val="宋体"/>
        <charset val="134"/>
      </rPr>
      <t>时填</t>
    </r>
    <r>
      <rPr>
        <sz val="12"/>
        <rFont val="Times New Roman"/>
        <charset val="134"/>
      </rPr>
      <t>“</t>
    </r>
    <r>
      <rPr>
        <sz val="12"/>
        <rFont val="宋体"/>
        <charset val="134"/>
      </rPr>
      <t>无</t>
    </r>
    <r>
      <rPr>
        <sz val="12"/>
        <rFont val="Times New Roman"/>
        <charset val="134"/>
      </rPr>
      <t>”</t>
    </r>
    <r>
      <rPr>
        <sz val="12"/>
        <rFont val="宋体"/>
        <charset val="134"/>
      </rPr>
      <t>，为</t>
    </r>
    <r>
      <rPr>
        <sz val="12"/>
        <rFont val="Times New Roman"/>
        <charset val="134"/>
      </rPr>
      <t>“</t>
    </r>
    <r>
      <rPr>
        <sz val="12"/>
        <rFont val="宋体"/>
        <charset val="134"/>
      </rPr>
      <t>合作</t>
    </r>
    <r>
      <rPr>
        <sz val="12"/>
        <rFont val="Times New Roman"/>
        <charset val="134"/>
      </rPr>
      <t>”</t>
    </r>
    <r>
      <rPr>
        <sz val="12"/>
        <rFont val="宋体"/>
        <charset val="134"/>
      </rPr>
      <t>时填合作协议编号。</t>
    </r>
  </si>
  <si>
    <r>
      <rPr>
        <sz val="12"/>
        <rFont val="宋体"/>
        <charset val="134"/>
      </rPr>
      <t>合作方责任金额</t>
    </r>
  </si>
  <si>
    <t>HZFZRJE</t>
  </si>
  <si>
    <r>
      <rPr>
        <sz val="12"/>
        <rFont val="宋体"/>
        <charset val="134"/>
      </rPr>
      <t>在该笔互联网贷款合同中约定（或经合作协议相关条款换算），该合作协议编号对应的一个或多个合作方负有出资、担保责任的总金额。业务模式为</t>
    </r>
    <r>
      <rPr>
        <sz val="12"/>
        <rFont val="Times New Roman"/>
        <charset val="134"/>
      </rPr>
      <t>“</t>
    </r>
    <r>
      <rPr>
        <sz val="12"/>
        <rFont val="宋体"/>
        <charset val="134"/>
      </rPr>
      <t>独立</t>
    </r>
    <r>
      <rPr>
        <sz val="12"/>
        <rFont val="Times New Roman"/>
        <charset val="134"/>
      </rPr>
      <t>”</t>
    </r>
    <r>
      <rPr>
        <sz val="12"/>
        <rFont val="宋体"/>
        <charset val="134"/>
      </rPr>
      <t>时填</t>
    </r>
    <r>
      <rPr>
        <sz val="12"/>
        <rFont val="Times New Roman"/>
        <charset val="134"/>
      </rPr>
      <t>0</t>
    </r>
    <r>
      <rPr>
        <sz val="12"/>
        <rFont val="宋体"/>
        <charset val="134"/>
      </rPr>
      <t>。</t>
    </r>
  </si>
  <si>
    <r>
      <rPr>
        <sz val="12"/>
        <rFont val="宋体"/>
        <charset val="134"/>
      </rPr>
      <t>申请人联系电话</t>
    </r>
  </si>
  <si>
    <r>
      <rPr>
        <sz val="12"/>
        <rFont val="宋体"/>
        <charset val="134"/>
      </rPr>
      <t>非隐私，不做变形。不允许为空。线上申请互联网贷款所留手机号码或者区号</t>
    </r>
    <r>
      <rPr>
        <sz val="12"/>
        <rFont val="Times New Roman"/>
        <charset val="134"/>
      </rPr>
      <t>-</t>
    </r>
    <r>
      <rPr>
        <sz val="12"/>
        <rFont val="宋体"/>
        <charset val="134"/>
      </rPr>
      <t>固定电话号码。</t>
    </r>
  </si>
  <si>
    <t>SQSBH</t>
  </si>
  <si>
    <r>
      <rPr>
        <sz val="12"/>
        <rFont val="宋体"/>
        <charset val="134"/>
      </rPr>
      <t>不允许为空。客户与银行（或合作方）签订的数据授权书编号。数据授权书指各类经客户签署同意，内容标明允许银行（或合作方</t>
    </r>
    <r>
      <rPr>
        <sz val="12"/>
        <rFont val="Times New Roman"/>
        <charset val="134"/>
      </rPr>
      <t>)</t>
    </r>
    <r>
      <rPr>
        <sz val="12"/>
        <rFont val="宋体"/>
        <charset val="134"/>
      </rPr>
      <t>在规定范围内使用客户相关信息的文书。签署多份授权书的，填覆盖该互联网贷款业务线上审批所需授权的、生效期内的最新授权书编号。</t>
    </r>
  </si>
  <si>
    <r>
      <rPr>
        <sz val="12"/>
        <rFont val="宋体"/>
        <charset val="134"/>
      </rPr>
      <t>授权生效日期</t>
    </r>
  </si>
  <si>
    <r>
      <rPr>
        <sz val="12"/>
        <rFont val="宋体"/>
        <charset val="134"/>
      </rPr>
      <t>客户数据授权生效日期。根据银行或合作方授权系统自定义。</t>
    </r>
  </si>
  <si>
    <r>
      <rPr>
        <sz val="12"/>
        <rFont val="宋体"/>
        <charset val="134"/>
      </rPr>
      <t>授权终止日期</t>
    </r>
  </si>
  <si>
    <t>ZZRQ</t>
  </si>
  <si>
    <r>
      <rPr>
        <sz val="12"/>
        <rFont val="宋体"/>
        <charset val="134"/>
      </rPr>
      <t>客户签署的数据授权终止日期。根据银行或合作方授权系统自定义。未签订授权书的填</t>
    </r>
    <r>
      <rPr>
        <sz val="12"/>
        <rFont val="Times New Roman"/>
        <charset val="134"/>
      </rPr>
      <t>00000000</t>
    </r>
    <r>
      <rPr>
        <sz val="12"/>
        <rFont val="宋体"/>
        <charset val="134"/>
      </rPr>
      <t>。协议约定数据授权随相关业务终止而消灭的，填约定业务的最后到期日期；约定业务无最后到期日期的，填</t>
    </r>
    <r>
      <rPr>
        <sz val="12"/>
        <rFont val="Times New Roman"/>
        <charset val="134"/>
      </rPr>
      <t>99991231</t>
    </r>
    <r>
      <rPr>
        <sz val="12"/>
        <rFont val="宋体"/>
        <charset val="134"/>
      </rPr>
      <t>，约定业务已终止的，填</t>
    </r>
    <r>
      <rPr>
        <sz val="12"/>
        <rFont val="Times New Roman"/>
        <charset val="134"/>
      </rPr>
      <t>00000000</t>
    </r>
    <r>
      <rPr>
        <sz val="12"/>
        <rFont val="宋体"/>
        <charset val="134"/>
      </rPr>
      <t>。协议约定永久授权的，填</t>
    </r>
    <r>
      <rPr>
        <sz val="12"/>
        <rFont val="Times New Roman"/>
        <charset val="134"/>
      </rPr>
      <t>99991231</t>
    </r>
    <r>
      <rPr>
        <sz val="12"/>
        <rFont val="宋体"/>
        <charset val="134"/>
      </rPr>
      <t>。</t>
    </r>
  </si>
  <si>
    <r>
      <rPr>
        <sz val="12"/>
        <rFont val="宋体"/>
        <charset val="134"/>
      </rPr>
      <t>互联网贷款合同的状态，与所关联信贷合同表的合同状态一致。</t>
    </r>
  </si>
  <si>
    <r>
      <rPr>
        <sz val="12"/>
        <rFont val="宋体"/>
        <charset val="134"/>
      </rPr>
      <t>个人信贷业务借据表</t>
    </r>
  </si>
  <si>
    <r>
      <rPr>
        <sz val="12"/>
        <rFont val="宋体"/>
        <charset val="134"/>
      </rPr>
      <t>即借款主体（最终债务人）名称，非本行开出的银行承兑汇票借款主体为开票行，非本行开出的信用证借款主体填报为开证行。关联数据项：个人基础信息表</t>
    </r>
    <r>
      <rPr>
        <sz val="12"/>
        <rFont val="Times New Roman"/>
        <charset val="134"/>
      </rPr>
      <t>.</t>
    </r>
    <r>
      <rPr>
        <sz val="12"/>
        <rFont val="宋体"/>
        <charset val="134"/>
      </rPr>
      <t>客户姓名。隐私，银行机构变形，变形规则见《采集技术接口说明》。</t>
    </r>
  </si>
  <si>
    <r>
      <rPr>
        <sz val="12"/>
        <rFont val="宋体"/>
        <charset val="134"/>
      </rPr>
      <t>借款人证件类别。</t>
    </r>
  </si>
  <si>
    <r>
      <rPr>
        <sz val="12"/>
        <rFont val="宋体"/>
        <charset val="134"/>
      </rPr>
      <t>借款人证件号码。隐私，银行机构变形。变形规则见《采集技术接口说明》。</t>
    </r>
  </si>
  <si>
    <r>
      <rPr>
        <sz val="12"/>
        <rFont val="宋体"/>
        <charset val="134"/>
      </rPr>
      <t>个人贷款在会计系统中的记账号。关联数据项：个人信贷分户账</t>
    </r>
    <r>
      <rPr>
        <sz val="12"/>
        <rFont val="Times New Roman"/>
        <charset val="134"/>
      </rPr>
      <t>.</t>
    </r>
    <r>
      <rPr>
        <sz val="12"/>
        <rFont val="宋体"/>
        <charset val="134"/>
      </rPr>
      <t>贷款分户账号</t>
    </r>
  </si>
  <si>
    <t>DKFFLX</t>
  </si>
  <si>
    <r>
      <rPr>
        <sz val="12"/>
        <rFont val="宋体"/>
        <charset val="134"/>
      </rPr>
      <t>票据贴现、转贴现、贸易融资、融资租赁、垫款均填报至</t>
    </r>
    <r>
      <rPr>
        <sz val="12"/>
        <rFont val="Times New Roman"/>
        <charset val="134"/>
      </rPr>
      <t>“</t>
    </r>
    <r>
      <rPr>
        <sz val="12"/>
        <rFont val="宋体"/>
        <charset val="134"/>
      </rPr>
      <t>其他</t>
    </r>
    <r>
      <rPr>
        <sz val="12"/>
        <rFont val="Times New Roman"/>
        <charset val="134"/>
      </rPr>
      <t>”</t>
    </r>
    <r>
      <rPr>
        <sz val="12"/>
        <rFont val="宋体"/>
        <charset val="134"/>
      </rPr>
      <t>项中。</t>
    </r>
  </si>
  <si>
    <r>
      <rPr>
        <sz val="12"/>
        <rFont val="宋体"/>
        <charset val="134"/>
      </rPr>
      <t>数据项名称、数据元说明</t>
    </r>
  </si>
  <si>
    <t>FKFS</t>
  </si>
  <si>
    <r>
      <rPr>
        <sz val="12"/>
        <rFont val="宋体"/>
        <charset val="134"/>
      </rPr>
      <t>贷款实际发放方式</t>
    </r>
  </si>
  <si>
    <r>
      <rPr>
        <sz val="12"/>
        <rFont val="宋体"/>
        <charset val="134"/>
      </rPr>
      <t>对于贴现、福费廷业务，贷款金额填报机构实付金额。</t>
    </r>
  </si>
  <si>
    <r>
      <rPr>
        <sz val="12"/>
        <rFont val="宋体"/>
        <charset val="134"/>
      </rPr>
      <t>数据项名称、备注</t>
    </r>
  </si>
  <si>
    <t>DKWJFL</t>
  </si>
  <si>
    <r>
      <rPr>
        <sz val="12"/>
        <rFont val="宋体"/>
        <charset val="134"/>
      </rPr>
      <t>核销、转让、结清，填报核销、转让、结清前的五级分类。与其他表格中五级分类字段一致。</t>
    </r>
  </si>
  <si>
    <r>
      <rPr>
        <sz val="12"/>
        <rFont val="宋体"/>
        <charset val="134"/>
      </rPr>
      <t>总期数</t>
    </r>
  </si>
  <si>
    <t>ZQS</t>
  </si>
  <si>
    <r>
      <rPr>
        <sz val="12"/>
        <rFont val="宋体"/>
        <charset val="134"/>
      </rPr>
      <t>贷款总期数为计划还款的总次数。</t>
    </r>
  </si>
  <si>
    <r>
      <rPr>
        <sz val="12"/>
        <rFont val="宋体"/>
        <charset val="134"/>
      </rPr>
      <t>当前期数</t>
    </r>
  </si>
  <si>
    <t>DQQS</t>
  </si>
  <si>
    <r>
      <rPr>
        <sz val="12"/>
        <rFont val="宋体"/>
        <charset val="134"/>
      </rPr>
      <t>贷款目前的期数</t>
    </r>
  </si>
  <si>
    <t>ZQCS</t>
  </si>
  <si>
    <r>
      <rPr>
        <sz val="12"/>
        <rFont val="宋体"/>
        <charset val="134"/>
      </rPr>
      <t>贷款发放日期</t>
    </r>
  </si>
  <si>
    <t>DKFFRQ</t>
  </si>
  <si>
    <r>
      <rPr>
        <sz val="12"/>
        <rFont val="宋体"/>
        <charset val="134"/>
      </rPr>
      <t>填写贷款实际发放的日期，非贷款合同日期。</t>
    </r>
  </si>
  <si>
    <r>
      <rPr>
        <sz val="12"/>
        <rFont val="宋体"/>
        <charset val="134"/>
      </rPr>
      <t>贷款到期日期</t>
    </r>
  </si>
  <si>
    <t>DKDQRQ</t>
  </si>
  <si>
    <r>
      <rPr>
        <sz val="12"/>
        <rFont val="宋体"/>
        <charset val="134"/>
      </rPr>
      <t>贷款借据实际到期的日期。如发生展期，则实际到期日期变更为展期后的到期日期。如发生贷款逾期，贷款到期日期仍为约定到期日期。</t>
    </r>
  </si>
  <si>
    <r>
      <rPr>
        <sz val="12"/>
        <rFont val="宋体"/>
        <charset val="134"/>
      </rPr>
      <t>终结日期</t>
    </r>
  </si>
  <si>
    <t>ZJRQ</t>
  </si>
  <si>
    <r>
      <rPr>
        <sz val="12"/>
        <rFont val="宋体"/>
        <charset val="134"/>
      </rPr>
      <t>贷款结清、核销或转让的日期，可以提前还款。若尚未终结，填报默认值。</t>
    </r>
  </si>
  <si>
    <r>
      <rPr>
        <sz val="12"/>
        <rFont val="宋体"/>
        <charset val="134"/>
      </rPr>
      <t>欠本金额</t>
    </r>
  </si>
  <si>
    <t>QBJE</t>
  </si>
  <si>
    <r>
      <rPr>
        <sz val="12"/>
        <rFont val="宋体"/>
        <charset val="134"/>
      </rPr>
      <t>仅当截止报送日贷款仍为逾期状态时填报，若无欠本则填</t>
    </r>
    <r>
      <rPr>
        <sz val="12"/>
        <rFont val="Times New Roman"/>
        <charset val="134"/>
      </rPr>
      <t>0</t>
    </r>
    <r>
      <rPr>
        <sz val="12"/>
        <rFont val="宋体"/>
        <charset val="134"/>
      </rPr>
      <t>。</t>
    </r>
  </si>
  <si>
    <r>
      <rPr>
        <sz val="12"/>
        <rFont val="宋体"/>
        <charset val="134"/>
      </rPr>
      <t>欠本日期</t>
    </r>
  </si>
  <si>
    <t>QBRQ</t>
  </si>
  <si>
    <r>
      <rPr>
        <sz val="12"/>
        <rFont val="宋体"/>
        <charset val="134"/>
      </rPr>
      <t>仅当截止报送日借据仍为逾期状态时填报，如贷款人已将当期应还金额彻底还清，可以将该字段重置为默认日期。</t>
    </r>
  </si>
  <si>
    <r>
      <rPr>
        <sz val="12"/>
        <rFont val="宋体"/>
        <charset val="134"/>
      </rPr>
      <t>表内欠息余额</t>
    </r>
  </si>
  <si>
    <t>BNQXYE</t>
  </si>
  <si>
    <r>
      <rPr>
        <sz val="12"/>
        <rFont val="宋体"/>
        <charset val="134"/>
      </rPr>
      <t>贷款表内的欠息余额，若无则填</t>
    </r>
    <r>
      <rPr>
        <sz val="12"/>
        <rFont val="Times New Roman"/>
        <charset val="134"/>
      </rPr>
      <t>0</t>
    </r>
  </si>
  <si>
    <r>
      <rPr>
        <sz val="12"/>
        <rFont val="宋体"/>
        <charset val="134"/>
      </rPr>
      <t>表外欠息余额</t>
    </r>
  </si>
  <si>
    <t>BWQXYE</t>
  </si>
  <si>
    <r>
      <rPr>
        <sz val="12"/>
        <rFont val="宋体"/>
        <charset val="134"/>
      </rPr>
      <t>贷款表外的欠息余额，若无则填</t>
    </r>
    <r>
      <rPr>
        <sz val="12"/>
        <rFont val="Times New Roman"/>
        <charset val="134"/>
      </rPr>
      <t>0</t>
    </r>
  </si>
  <si>
    <r>
      <rPr>
        <sz val="12"/>
        <rFont val="宋体"/>
        <charset val="134"/>
      </rPr>
      <t>欠息日期</t>
    </r>
  </si>
  <si>
    <r>
      <rPr>
        <sz val="12"/>
        <rFont val="宋体"/>
        <charset val="134"/>
      </rPr>
      <t>仅当截止报送日贷款仍为逾期状态时填报，如贷款人已将当期应还金额彻底还清，可以将该字段重置为默认日期。</t>
    </r>
  </si>
  <si>
    <r>
      <rPr>
        <sz val="12"/>
        <rFont val="宋体"/>
        <charset val="134"/>
      </rPr>
      <t>连续欠款期数</t>
    </r>
  </si>
  <si>
    <t>LXQKQS</t>
  </si>
  <si>
    <r>
      <rPr>
        <sz val="12"/>
        <rFont val="宋体"/>
        <charset val="134"/>
      </rPr>
      <t>连续欠款期数，仅当截止报送日贷款仍为逾期状态时填报，填写与当前期数连续起来的欠款期数，如已归还，重置为</t>
    </r>
    <r>
      <rPr>
        <sz val="12"/>
        <rFont val="Times New Roman"/>
        <charset val="134"/>
      </rPr>
      <t>0</t>
    </r>
    <r>
      <rPr>
        <sz val="12"/>
        <rFont val="宋体"/>
        <charset val="134"/>
      </rPr>
      <t>。</t>
    </r>
  </si>
  <si>
    <r>
      <rPr>
        <sz val="12"/>
        <rFont val="宋体"/>
        <charset val="134"/>
      </rPr>
      <t>累计欠款期数</t>
    </r>
  </si>
  <si>
    <t>LJQKQS</t>
  </si>
  <si>
    <r>
      <rPr>
        <sz val="12"/>
        <rFont val="宋体"/>
        <charset val="134"/>
      </rPr>
      <t>在整个业务期间，已经出现过欠款的的期数的合计，不论是否连续。欠款包括欠息。</t>
    </r>
  </si>
  <si>
    <r>
      <rPr>
        <sz val="12"/>
        <rFont val="宋体"/>
        <charset val="134"/>
      </rPr>
      <t>上笔信贷借据号</t>
    </r>
  </si>
  <si>
    <t>SBXDJJH</t>
  </si>
  <si>
    <r>
      <rPr>
        <sz val="12"/>
        <rFont val="宋体"/>
        <charset val="134"/>
      </rPr>
      <t>当贷款发放类型为借新还旧时，此项必填。其他情况允许为空。归还的上笔借据号为多笔时，用英文半角分号隔开填报。</t>
    </r>
  </si>
  <si>
    <r>
      <rPr>
        <sz val="12"/>
        <rFont val="宋体"/>
        <charset val="134"/>
      </rPr>
      <t>贷款入账账号</t>
    </r>
  </si>
  <si>
    <t>DKRZZH</t>
  </si>
  <si>
    <r>
      <rPr>
        <sz val="12"/>
        <rFont val="宋体"/>
        <charset val="134"/>
      </rPr>
      <t>填写贷款实际入账的账号，不可填中间过渡账户或清算账户，优先填报外部账号。票据转贴现、承兑汇票垫款、二级市场福费廷等业务填写资金转入的银行机构账号；收款人是境外机构的填写</t>
    </r>
    <r>
      <rPr>
        <sz val="12"/>
        <rFont val="Times New Roman"/>
        <charset val="134"/>
      </rPr>
      <t>SWIFT</t>
    </r>
    <r>
      <rPr>
        <sz val="12"/>
        <rFont val="宋体"/>
        <charset val="134"/>
      </rPr>
      <t>代码；收款人是第三方平台账号的，填写第三方平台账号。如果为受托支付，则填报最早一笔放款的支付对象账号，不必多条报送。多条受托支付对象在受托支付信息表中填报。</t>
    </r>
  </si>
  <si>
    <r>
      <rPr>
        <sz val="12"/>
        <rFont val="宋体"/>
        <charset val="134"/>
      </rPr>
      <t>贷款入账户名</t>
    </r>
  </si>
  <si>
    <t>DKRZHM</t>
  </si>
  <si>
    <r>
      <rPr>
        <sz val="12"/>
        <rFont val="宋体"/>
        <charset val="134"/>
      </rPr>
      <t>填写贷款实际入账的户名，不可填中间过渡账户或清算账户。票据转贴现、承兑汇票垫款、二级市场福费廷业务填写交易的同业客户名称。如果为受托支付，则填报最早一笔放款的支付对象户名，不必多条报送。多条受托支付对象在受托支付信息表中填报。</t>
    </r>
  </si>
  <si>
    <r>
      <rPr>
        <sz val="12"/>
        <rFont val="宋体"/>
        <charset val="134"/>
      </rPr>
      <t>入账账号所属行名称</t>
    </r>
  </si>
  <si>
    <t>RZZHSSHMC</t>
  </si>
  <si>
    <r>
      <rPr>
        <sz val="12"/>
        <rFont val="宋体"/>
        <charset val="134"/>
      </rPr>
      <t>填入账账号所属行全称，收款人是第三方平台的，填写第三方平台名称。</t>
    </r>
  </si>
  <si>
    <t>LLLX</t>
  </si>
  <si>
    <t>HKFS</t>
  </si>
  <si>
    <r>
      <rPr>
        <sz val="12"/>
        <rFont val="宋体"/>
        <charset val="134"/>
      </rPr>
      <t>若无法以枚举类型填写，则填报</t>
    </r>
    <r>
      <rPr>
        <sz val="12"/>
        <rFont val="Times New Roman"/>
        <charset val="134"/>
      </rPr>
      <t>“</t>
    </r>
    <r>
      <rPr>
        <sz val="12"/>
        <rFont val="宋体"/>
        <charset val="134"/>
      </rPr>
      <t>其他</t>
    </r>
    <r>
      <rPr>
        <sz val="12"/>
        <rFont val="Times New Roman"/>
        <charset val="134"/>
      </rPr>
      <t>-XX”</t>
    </r>
    <r>
      <rPr>
        <sz val="12"/>
        <rFont val="宋体"/>
        <charset val="134"/>
      </rPr>
      <t>，</t>
    </r>
    <r>
      <rPr>
        <sz val="12"/>
        <rFont val="Times New Roman"/>
        <charset val="134"/>
      </rPr>
      <t>XX</t>
    </r>
    <r>
      <rPr>
        <sz val="12"/>
        <rFont val="宋体"/>
        <charset val="134"/>
      </rPr>
      <t>为银行自定义类型。</t>
    </r>
  </si>
  <si>
    <r>
      <rPr>
        <sz val="12"/>
        <rFont val="宋体"/>
        <charset val="134"/>
      </rPr>
      <t>还款账号</t>
    </r>
  </si>
  <si>
    <t>HKZH</t>
  </si>
  <si>
    <r>
      <rPr>
        <sz val="12"/>
        <rFont val="宋体"/>
        <charset val="134"/>
      </rPr>
      <t>填写贷款当期实际还款的账号，不可填中间过渡账户或清算账户，优先填报外部账号。</t>
    </r>
  </si>
  <si>
    <r>
      <rPr>
        <sz val="12"/>
        <rFont val="宋体"/>
        <charset val="134"/>
      </rPr>
      <t>还款账号所属行名称</t>
    </r>
  </si>
  <si>
    <t>HKZHSSHMC</t>
  </si>
  <si>
    <r>
      <rPr>
        <sz val="12"/>
        <rFont val="宋体"/>
        <charset val="134"/>
      </rPr>
      <t>填还款账号所属行全称，收款人是第三方平台的，填写第三方平台名称。</t>
    </r>
  </si>
  <si>
    <r>
      <rPr>
        <sz val="12"/>
        <rFont val="宋体"/>
        <charset val="134"/>
      </rPr>
      <t>下期还款日期</t>
    </r>
  </si>
  <si>
    <t>XQHKRQ</t>
  </si>
  <si>
    <r>
      <rPr>
        <sz val="12"/>
        <rFont val="宋体"/>
        <charset val="134"/>
      </rPr>
      <t>按照还款计划下期还款的日期。若本期为最后一期，还款日期填写默认值。若如计划下期还款日期的填写默认值。</t>
    </r>
  </si>
  <si>
    <r>
      <rPr>
        <sz val="12"/>
        <rFont val="宋体"/>
        <charset val="134"/>
      </rPr>
      <t>下期应还本金</t>
    </r>
  </si>
  <si>
    <t>XQYHBJ</t>
  </si>
  <si>
    <r>
      <rPr>
        <sz val="12"/>
        <rFont val="宋体"/>
        <charset val="134"/>
      </rPr>
      <t>按照还款计划下期应还的本金总额。若本期为最后一期，还款金额可填写</t>
    </r>
    <r>
      <rPr>
        <sz val="12"/>
        <rFont val="Times New Roman"/>
        <charset val="134"/>
      </rPr>
      <t>0</t>
    </r>
    <r>
      <rPr>
        <sz val="12"/>
        <rFont val="宋体"/>
        <charset val="134"/>
      </rPr>
      <t>。垫款填写实际应还本金总额。若无计划下期应还本金的允许为空。</t>
    </r>
  </si>
  <si>
    <r>
      <rPr>
        <sz val="12"/>
        <rFont val="宋体"/>
        <charset val="134"/>
      </rPr>
      <t>下期应还利息</t>
    </r>
  </si>
  <si>
    <t>XQYHLX</t>
  </si>
  <si>
    <r>
      <rPr>
        <sz val="12"/>
        <rFont val="宋体"/>
        <charset val="134"/>
      </rPr>
      <t>按照还款计划下期应还的利息总额。若本期为最后一期，还款金额可填写</t>
    </r>
    <r>
      <rPr>
        <sz val="12"/>
        <rFont val="Times New Roman"/>
        <charset val="134"/>
      </rPr>
      <t>0</t>
    </r>
    <r>
      <rPr>
        <sz val="12"/>
        <rFont val="宋体"/>
        <charset val="134"/>
      </rPr>
      <t>。垫款填写实际应还利息总额。若无计划下期应还利息的允许为空。</t>
    </r>
  </si>
  <si>
    <r>
      <rPr>
        <sz val="12"/>
        <rFont val="宋体"/>
        <charset val="134"/>
      </rPr>
      <t>借据贷款用途</t>
    </r>
  </si>
  <si>
    <t>JJDKYT</t>
  </si>
  <si>
    <r>
      <rPr>
        <sz val="12"/>
        <rFont val="宋体"/>
        <charset val="134"/>
      </rPr>
      <t>填报该笔借据（放款）下资金使用的具体用途，非信贷合同贷款用途。</t>
    </r>
  </si>
  <si>
    <r>
      <rPr>
        <sz val="12"/>
        <rFont val="宋体"/>
        <charset val="134"/>
      </rPr>
      <t>贷款投向地区</t>
    </r>
  </si>
  <si>
    <t>DKTXDQ</t>
  </si>
  <si>
    <r>
      <rPr>
        <sz val="12"/>
        <rFont val="宋体"/>
        <charset val="134"/>
      </rPr>
      <t>如贷款用于购房，则填报购房所在地。难以判断贷款投向地区的，填报入账账号归属地。投向多个地区的，按比重最多的地区填报。</t>
    </r>
  </si>
  <si>
    <t>DKTXHY</t>
  </si>
  <si>
    <r>
      <rPr>
        <sz val="12"/>
        <rFont val="宋体"/>
        <charset val="134"/>
      </rPr>
      <t>与</t>
    </r>
    <r>
      <rPr>
        <sz val="12"/>
        <rFont val="Times New Roman"/>
        <charset val="134"/>
      </rPr>
      <t>1104</t>
    </r>
    <r>
      <rPr>
        <sz val="12"/>
        <rFont val="宋体"/>
        <charset val="134"/>
      </rPr>
      <t>报表</t>
    </r>
    <r>
      <rPr>
        <sz val="12"/>
        <rFont val="Times New Roman"/>
        <charset val="134"/>
      </rPr>
      <t>G01_VII</t>
    </r>
    <r>
      <rPr>
        <sz val="12"/>
        <rFont val="宋体"/>
        <charset val="134"/>
      </rPr>
      <t>《贷款分行业情况表》口径一致，不可为空。委托贷款也按该规则填报。</t>
    </r>
  </si>
  <si>
    <r>
      <rPr>
        <sz val="12"/>
        <rFont val="宋体"/>
        <charset val="134"/>
      </rPr>
      <t>是否互联网贷款</t>
    </r>
  </si>
  <si>
    <t>SFHLWDK</t>
  </si>
  <si>
    <r>
      <rPr>
        <sz val="12"/>
        <rFont val="宋体"/>
        <charset val="134"/>
      </rPr>
      <t>是否互联网贷款的认定参照《商业银行互联网贷款管理暂行办法》。</t>
    </r>
  </si>
  <si>
    <r>
      <rPr>
        <sz val="12"/>
        <rFont val="宋体"/>
        <charset val="134"/>
      </rPr>
      <t>是否绿色贷款</t>
    </r>
  </si>
  <si>
    <t>SFLSDK</t>
  </si>
  <si>
    <r>
      <rPr>
        <sz val="12"/>
        <rFont val="宋体"/>
        <charset val="134"/>
      </rPr>
      <t>按照《关于绿色融资统计制度有关工作的通知》</t>
    </r>
    <r>
      <rPr>
        <sz val="12"/>
        <rFont val="Times New Roman"/>
        <charset val="134"/>
      </rPr>
      <t>(</t>
    </r>
    <r>
      <rPr>
        <sz val="12"/>
        <rFont val="宋体"/>
        <charset val="134"/>
      </rPr>
      <t>银保监办便函</t>
    </r>
    <r>
      <rPr>
        <sz val="12"/>
        <rFont val="Times New Roman"/>
        <charset val="134"/>
      </rPr>
      <t>[2020]739</t>
    </r>
    <r>
      <rPr>
        <sz val="12"/>
        <rFont val="宋体"/>
        <charset val="134"/>
      </rPr>
      <t>号</t>
    </r>
    <r>
      <rPr>
        <sz val="12"/>
        <rFont val="Times New Roman"/>
        <charset val="134"/>
      </rPr>
      <t>)</t>
    </r>
    <r>
      <rPr>
        <sz val="12"/>
        <rFont val="宋体"/>
        <charset val="134"/>
      </rPr>
      <t>，填报口径与</t>
    </r>
    <r>
      <rPr>
        <sz val="12"/>
        <rFont val="Times New Roman"/>
        <charset val="134"/>
      </rPr>
      <t>T115</t>
    </r>
    <r>
      <rPr>
        <sz val="12"/>
        <rFont val="宋体"/>
        <charset val="134"/>
      </rPr>
      <t>报表一致。</t>
    </r>
  </si>
  <si>
    <r>
      <rPr>
        <sz val="12"/>
        <rFont val="宋体"/>
        <charset val="134"/>
      </rPr>
      <t>是否涉农贷款</t>
    </r>
  </si>
  <si>
    <t>SFSNDK</t>
  </si>
  <si>
    <r>
      <rPr>
        <sz val="12"/>
        <rFont val="宋体"/>
        <charset val="134"/>
      </rPr>
      <t>涉农贷款与人民银行涉农贷款统计口径一致。</t>
    </r>
  </si>
  <si>
    <r>
      <rPr>
        <sz val="12"/>
        <rFont val="宋体"/>
        <charset val="134"/>
      </rPr>
      <t>是否普惠型涉农贷款</t>
    </r>
  </si>
  <si>
    <t>SFPHXSNDK</t>
  </si>
  <si>
    <r>
      <rPr>
        <sz val="12"/>
        <rFont val="宋体"/>
        <charset val="134"/>
      </rPr>
      <t>普惠性涉农贷款参照</t>
    </r>
    <r>
      <rPr>
        <sz val="12"/>
        <rFont val="Times New Roman"/>
        <charset val="134"/>
      </rPr>
      <t>1104</t>
    </r>
    <r>
      <rPr>
        <sz val="12"/>
        <rFont val="宋体"/>
        <charset val="134"/>
      </rPr>
      <t>报表</t>
    </r>
    <r>
      <rPr>
        <sz val="12"/>
        <rFont val="Times New Roman"/>
        <charset val="134"/>
      </rPr>
      <t>S71</t>
    </r>
    <r>
      <rPr>
        <sz val="12"/>
        <rFont val="宋体"/>
        <charset val="134"/>
      </rPr>
      <t>填报口径，包括：单户授信总额</t>
    </r>
    <r>
      <rPr>
        <sz val="12"/>
        <rFont val="Times New Roman"/>
        <charset val="134"/>
      </rPr>
      <t>500</t>
    </r>
    <r>
      <rPr>
        <sz val="12"/>
        <rFont val="宋体"/>
        <charset val="134"/>
      </rPr>
      <t>万元（含）以下的农户经营性贷款和单户授信总额</t>
    </r>
    <r>
      <rPr>
        <sz val="12"/>
        <rFont val="Times New Roman"/>
        <charset val="134"/>
      </rPr>
      <t>1000</t>
    </r>
    <r>
      <rPr>
        <sz val="12"/>
        <rFont val="宋体"/>
        <charset val="134"/>
      </rPr>
      <t>万元（含）以下的涉农小微企业法人贷款（含农村集体经济组织贷款、农民专业合作社贷款。</t>
    </r>
  </si>
  <si>
    <r>
      <rPr>
        <sz val="12"/>
        <rFont val="宋体"/>
        <charset val="134"/>
      </rPr>
      <t>是否普惠型小微企业贷款</t>
    </r>
  </si>
  <si>
    <t>SFPHXXWQYDK</t>
  </si>
  <si>
    <r>
      <rPr>
        <sz val="12"/>
        <rFont val="宋体"/>
        <charset val="134"/>
      </rPr>
      <t>普惠型小微企业贷款参照</t>
    </r>
    <r>
      <rPr>
        <sz val="12"/>
        <rFont val="Times New Roman"/>
        <charset val="134"/>
      </rPr>
      <t>1104</t>
    </r>
    <r>
      <rPr>
        <sz val="12"/>
        <rFont val="宋体"/>
        <charset val="134"/>
      </rPr>
      <t>报表</t>
    </r>
    <r>
      <rPr>
        <sz val="12"/>
        <rFont val="Times New Roman"/>
        <charset val="134"/>
      </rPr>
      <t>S71</t>
    </r>
    <r>
      <rPr>
        <sz val="12"/>
        <rFont val="宋体"/>
        <charset val="134"/>
      </rPr>
      <t>填报口径，包括：向小型微型企业法人、小微企业主、个体工商户发放的、用于从事生产经营活动，单户授信总额</t>
    </r>
    <r>
      <rPr>
        <sz val="12"/>
        <rFont val="Times New Roman"/>
        <charset val="134"/>
      </rPr>
      <t>1000</t>
    </r>
    <r>
      <rPr>
        <sz val="12"/>
        <rFont val="宋体"/>
        <charset val="134"/>
      </rPr>
      <t>万元（含）以下的贷款。</t>
    </r>
  </si>
  <si>
    <r>
      <rPr>
        <sz val="12"/>
        <rFont val="宋体"/>
        <charset val="134"/>
      </rPr>
      <t>是否科技贷款</t>
    </r>
  </si>
  <si>
    <t>SFKJDK</t>
  </si>
  <si>
    <r>
      <rPr>
        <sz val="12"/>
        <rFont val="宋体"/>
        <charset val="134"/>
      </rPr>
      <t>科技金融填报口径参照</t>
    </r>
    <r>
      <rPr>
        <sz val="12"/>
        <rFont val="Times New Roman"/>
        <charset val="134"/>
      </rPr>
      <t>1104</t>
    </r>
    <r>
      <rPr>
        <sz val="12"/>
        <rFont val="宋体"/>
        <charset val="134"/>
      </rPr>
      <t>报表</t>
    </r>
    <r>
      <rPr>
        <sz val="12"/>
        <rFont val="Times New Roman"/>
        <charset val="134"/>
      </rPr>
      <t>S70_I</t>
    </r>
    <r>
      <rPr>
        <sz val="12"/>
        <rFont val="宋体"/>
        <charset val="134"/>
      </rPr>
      <t>《科技金融基本情况表》第</t>
    </r>
    <r>
      <rPr>
        <sz val="12"/>
        <rFont val="Times New Roman"/>
        <charset val="134"/>
      </rPr>
      <t>II</t>
    </r>
    <r>
      <rPr>
        <sz val="12"/>
        <rFont val="宋体"/>
        <charset val="134"/>
      </rPr>
      <t>部分：科技贷款情况表。</t>
    </r>
  </si>
  <si>
    <r>
      <rPr>
        <sz val="12"/>
        <rFont val="宋体"/>
        <charset val="134"/>
      </rPr>
      <t>信贷员工号</t>
    </r>
  </si>
  <si>
    <t>XDYGH</t>
  </si>
  <si>
    <r>
      <rPr>
        <sz val="12"/>
        <rFont val="宋体"/>
        <charset val="134"/>
      </rPr>
      <t>填写该笔信贷业务主办客户经理员工号。关联数据项：员工表</t>
    </r>
    <r>
      <rPr>
        <sz val="12"/>
        <rFont val="Times New Roman"/>
        <charset val="134"/>
      </rPr>
      <t>.</t>
    </r>
    <r>
      <rPr>
        <sz val="12"/>
        <rFont val="宋体"/>
        <charset val="134"/>
      </rPr>
      <t>工号。</t>
    </r>
  </si>
  <si>
    <r>
      <rPr>
        <sz val="12"/>
        <rFont val="宋体"/>
        <charset val="134"/>
      </rPr>
      <t>对公信贷业务借据表</t>
    </r>
  </si>
  <si>
    <r>
      <rPr>
        <sz val="12"/>
        <rFont val="宋体"/>
        <charset val="134"/>
      </rPr>
      <t>如包含个人身份证件号码，则为隐私，银行机构需做变形，变形规则见《采集技术接口说明》。关联数据项：对公客户信息表</t>
    </r>
    <r>
      <rPr>
        <sz val="12"/>
        <rFont val="Times New Roman"/>
        <charset val="134"/>
      </rPr>
      <t>.</t>
    </r>
    <r>
      <rPr>
        <sz val="12"/>
        <rFont val="宋体"/>
        <charset val="134"/>
      </rPr>
      <t>客户统一编号</t>
    </r>
  </si>
  <si>
    <r>
      <rPr>
        <sz val="12"/>
        <rFont val="宋体"/>
        <charset val="134"/>
      </rPr>
      <t>即借款主体（最终债务人）名称，非本行开出的银行承兑汇票借款主体为开票行，非本行开出的信用证借款主体填报为开证行。关联数据项：对公客户信息表</t>
    </r>
    <r>
      <rPr>
        <sz val="12"/>
        <rFont val="Times New Roman"/>
        <charset val="134"/>
      </rPr>
      <t>.</t>
    </r>
    <r>
      <rPr>
        <sz val="12"/>
        <rFont val="宋体"/>
        <charset val="134"/>
      </rPr>
      <t>客户名称。非隐私，不做变形。</t>
    </r>
  </si>
  <si>
    <r>
      <rPr>
        <sz val="12"/>
        <rFont val="宋体"/>
        <charset val="134"/>
      </rPr>
      <t>对公贷款在会计系统中的记账号。关联数据项：对公信贷分户账</t>
    </r>
    <r>
      <rPr>
        <sz val="12"/>
        <rFont val="Times New Roman"/>
        <charset val="134"/>
      </rPr>
      <t>.</t>
    </r>
    <r>
      <rPr>
        <sz val="12"/>
        <rFont val="宋体"/>
        <charset val="134"/>
      </rPr>
      <t>贷款分户账号</t>
    </r>
  </si>
  <si>
    <r>
      <rPr>
        <sz val="12"/>
        <rFont val="宋体"/>
        <charset val="134"/>
      </rPr>
      <t>贷款的总期数</t>
    </r>
  </si>
  <si>
    <r>
      <rPr>
        <sz val="12"/>
        <rFont val="宋体"/>
        <charset val="134"/>
      </rPr>
      <t>连续欠款期数，仅当截止报送日贷款仍为逾期状态时填报，填写与当前期数连续起来的欠款期数，如已归还，重置为</t>
    </r>
    <r>
      <rPr>
        <sz val="12"/>
        <rFont val="Times New Roman"/>
        <charset val="134"/>
      </rPr>
      <t>0</t>
    </r>
  </si>
  <si>
    <r>
      <rPr>
        <sz val="12"/>
        <rFont val="宋体"/>
        <charset val="134"/>
      </rPr>
      <t>填写贷款实际入账的户名，不可填中间过渡账户或清算账户。票据转贴现、承兑汇票垫款、二级市场福费廷业务填写资金转入的银行机构名称。如果为受托支付，则填报最早一笔放款的支付对象户名，不必多条报送。多条受托支付对象在受托支付信息表中填报。</t>
    </r>
  </si>
  <si>
    <r>
      <rPr>
        <sz val="12"/>
        <rFont val="宋体"/>
        <charset val="134"/>
      </rPr>
      <t>委托贷款与</t>
    </r>
    <r>
      <rPr>
        <sz val="12"/>
        <rFont val="Times New Roman"/>
        <charset val="134"/>
      </rPr>
      <t>1104</t>
    </r>
    <r>
      <rPr>
        <sz val="12"/>
        <rFont val="宋体"/>
        <charset val="134"/>
      </rPr>
      <t>报表</t>
    </r>
    <r>
      <rPr>
        <sz val="12"/>
        <rFont val="Times New Roman"/>
        <charset val="134"/>
      </rPr>
      <t>G01_I_2:</t>
    </r>
    <r>
      <rPr>
        <sz val="12"/>
        <rFont val="宋体"/>
        <charset val="134"/>
      </rPr>
      <t>《委托贷款投向统计表》口径一致</t>
    </r>
  </si>
  <si>
    <r>
      <rPr>
        <sz val="12"/>
        <rFont val="宋体"/>
        <charset val="134"/>
      </rPr>
      <t>填写在该笔信贷业务中承担主要责任的员工号。关联数据项：员工表</t>
    </r>
    <r>
      <rPr>
        <sz val="12"/>
        <rFont val="Times New Roman"/>
        <charset val="134"/>
      </rPr>
      <t>.</t>
    </r>
    <r>
      <rPr>
        <sz val="12"/>
        <rFont val="宋体"/>
        <charset val="134"/>
      </rPr>
      <t>工号。</t>
    </r>
  </si>
  <si>
    <r>
      <rPr>
        <sz val="12"/>
        <rFont val="宋体"/>
        <charset val="134"/>
      </rPr>
      <t>受托支付信息表</t>
    </r>
  </si>
  <si>
    <r>
      <rPr>
        <sz val="12"/>
        <rFont val="宋体"/>
        <charset val="134"/>
      </rPr>
      <t>营业机构、管理机构必须填报金融许可证号，内设机构、虚拟机构及营业部取本级或上一级管理机构的金融许可证号，优先取本级。</t>
    </r>
  </si>
  <si>
    <r>
      <rPr>
        <sz val="12"/>
        <rFont val="Times New Roman"/>
        <charset val="134"/>
      </rPr>
      <t>PK</t>
    </r>
    <r>
      <rPr>
        <sz val="12"/>
        <rFont val="宋体"/>
        <charset val="134"/>
      </rPr>
      <t>。关联数据项：个人信贷业务借据表</t>
    </r>
    <r>
      <rPr>
        <sz val="12"/>
        <rFont val="Times New Roman"/>
        <charset val="134"/>
      </rPr>
      <t>.</t>
    </r>
    <r>
      <rPr>
        <sz val="12"/>
        <rFont val="宋体"/>
        <charset val="134"/>
      </rPr>
      <t>信贷借据号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对公信贷业务借据表</t>
    </r>
    <r>
      <rPr>
        <sz val="12"/>
        <rFont val="Times New Roman"/>
        <charset val="134"/>
      </rPr>
      <t>.</t>
    </r>
    <r>
      <rPr>
        <sz val="12"/>
        <rFont val="宋体"/>
        <charset val="134"/>
      </rPr>
      <t>信贷借据号</t>
    </r>
  </si>
  <si>
    <r>
      <rPr>
        <sz val="12"/>
        <rFont val="宋体"/>
        <charset val="134"/>
      </rPr>
      <t>受托支付金额</t>
    </r>
  </si>
  <si>
    <t>STZFJE</t>
  </si>
  <si>
    <r>
      <rPr>
        <sz val="12"/>
        <rFont val="宋体"/>
        <charset val="134"/>
      </rPr>
      <t>填写单笔受托支付金额</t>
    </r>
  </si>
  <si>
    <r>
      <rPr>
        <sz val="12"/>
        <rFont val="宋体"/>
        <charset val="134"/>
      </rPr>
      <t>受托支付日期</t>
    </r>
  </si>
  <si>
    <t>STZFRQ</t>
  </si>
  <si>
    <r>
      <rPr>
        <sz val="12"/>
        <rFont val="宋体"/>
        <charset val="134"/>
      </rPr>
      <t>指该笔受托支付实际划转给交易对手的日期。</t>
    </r>
  </si>
  <si>
    <r>
      <rPr>
        <sz val="12"/>
        <rFont val="宋体"/>
        <charset val="134"/>
      </rPr>
      <t>受托支付对象账号</t>
    </r>
  </si>
  <si>
    <t>STZFDXZH</t>
  </si>
  <si>
    <r>
      <rPr>
        <sz val="12"/>
        <rFont val="Times New Roman"/>
        <charset val="134"/>
      </rPr>
      <t>PK</t>
    </r>
    <r>
      <rPr>
        <sz val="12"/>
        <rFont val="宋体"/>
        <charset val="134"/>
      </rPr>
      <t>。必须填最终支付对象的收款账号，不可填中间过渡账户或清算账户，优先填报外部账号。银团贷款受托支付对象账号可为发起行内部账号</t>
    </r>
  </si>
  <si>
    <r>
      <rPr>
        <sz val="12"/>
        <rFont val="宋体"/>
        <charset val="134"/>
      </rPr>
      <t>受托支付对象户名</t>
    </r>
  </si>
  <si>
    <t>STZFDXHM</t>
  </si>
  <si>
    <r>
      <rPr>
        <sz val="12"/>
        <rFont val="宋体"/>
        <charset val="134"/>
      </rPr>
      <t>必须填最终支付对象的户名，不可填中间过渡账户或清算账户。若交易对手为个人，则为隐私，银行机构变形，变形规则见《采集技术接口说明》。其他情况则为非隐私，不做变形。如果为境内涉密机构的，填报为</t>
    </r>
    <r>
      <rPr>
        <sz val="12"/>
        <rFont val="Times New Roman"/>
        <charset val="134"/>
      </rPr>
      <t>“*********”</t>
    </r>
    <r>
      <rPr>
        <sz val="12"/>
        <rFont val="宋体"/>
        <charset val="134"/>
      </rPr>
      <t>。</t>
    </r>
  </si>
  <si>
    <r>
      <rPr>
        <sz val="12"/>
        <rFont val="宋体"/>
        <charset val="134"/>
      </rPr>
      <t>受托支付对象行号</t>
    </r>
  </si>
  <si>
    <t>STZFDXHH</t>
  </si>
  <si>
    <r>
      <rPr>
        <sz val="12"/>
        <rFont val="宋体"/>
        <charset val="134"/>
      </rPr>
      <t>必须填最终支付对象的</t>
    </r>
    <r>
      <rPr>
        <sz val="12"/>
        <rFont val="Times New Roman"/>
        <charset val="134"/>
      </rPr>
      <t>12</t>
    </r>
    <r>
      <rPr>
        <sz val="12"/>
        <rFont val="宋体"/>
        <charset val="134"/>
      </rPr>
      <t>位人行支付行号，分支机构如没有人行支付行号，可填写最近的上一级管理机构支付行号，不可填中间过渡账户或清算账户。跨境交易行号可填</t>
    </r>
    <r>
      <rPr>
        <sz val="12"/>
        <rFont val="Times New Roman"/>
        <charset val="134"/>
      </rPr>
      <t>SWIFT</t>
    </r>
    <r>
      <rPr>
        <sz val="12"/>
        <rFont val="宋体"/>
        <charset val="134"/>
      </rPr>
      <t>编码。</t>
    </r>
  </si>
  <si>
    <r>
      <rPr>
        <sz val="12"/>
        <rFont val="宋体"/>
        <charset val="134"/>
      </rPr>
      <t>受托支付对象行名</t>
    </r>
  </si>
  <si>
    <t>STZFDXXM</t>
  </si>
  <si>
    <r>
      <rPr>
        <sz val="12"/>
        <rFont val="宋体"/>
        <charset val="134"/>
      </rPr>
      <t>必须填最终支付对象的银行机构名称，跨境交易行名按实际填写</t>
    </r>
    <r>
      <rPr>
        <sz val="12"/>
        <rFont val="Times New Roman"/>
        <charset val="134"/>
      </rPr>
      <t>(</t>
    </r>
    <r>
      <rPr>
        <sz val="12"/>
        <rFont val="宋体"/>
        <charset val="134"/>
      </rPr>
      <t>可接受英文</t>
    </r>
    <r>
      <rPr>
        <sz val="12"/>
        <rFont val="Times New Roman"/>
        <charset val="134"/>
      </rPr>
      <t>)</t>
    </r>
    <r>
      <rPr>
        <sz val="12"/>
        <rFont val="宋体"/>
        <charset val="134"/>
      </rPr>
      <t>，不可填中间过渡账户或清算账户。支付到第三方平台账户的，填写第三方平台名称。</t>
    </r>
  </si>
  <si>
    <r>
      <rPr>
        <sz val="12"/>
        <rFont val="宋体"/>
        <charset val="134"/>
      </rPr>
      <t>项目贷款信息表</t>
    </r>
  </si>
  <si>
    <r>
      <rPr>
        <sz val="12"/>
        <rFont val="宋体"/>
        <charset val="134"/>
      </rPr>
      <t>关联数据项：机构信息表</t>
    </r>
    <r>
      <rPr>
        <sz val="12"/>
        <rFont val="Times New Roman"/>
        <charset val="134"/>
      </rPr>
      <t>.</t>
    </r>
    <r>
      <rPr>
        <sz val="12"/>
        <rFont val="宋体"/>
        <charset val="134"/>
      </rPr>
      <t>金融许可证号</t>
    </r>
  </si>
  <si>
    <r>
      <rPr>
        <sz val="12"/>
        <rFont val="Times New Roman"/>
        <charset val="134"/>
      </rPr>
      <t>PK</t>
    </r>
    <r>
      <rPr>
        <sz val="12"/>
        <rFont val="宋体"/>
        <charset val="134"/>
      </rPr>
      <t>。关联数据项：信贷合同表</t>
    </r>
    <r>
      <rPr>
        <sz val="12"/>
        <rFont val="Times New Roman"/>
        <charset val="134"/>
      </rPr>
      <t>.</t>
    </r>
    <r>
      <rPr>
        <sz val="12"/>
        <rFont val="宋体"/>
        <charset val="134"/>
      </rPr>
      <t>信贷合同号</t>
    </r>
  </si>
  <si>
    <r>
      <rPr>
        <sz val="12"/>
        <rFont val="Times New Roman"/>
        <charset val="134"/>
      </rPr>
      <t>PK</t>
    </r>
    <r>
      <rPr>
        <sz val="12"/>
        <rFont val="宋体"/>
        <charset val="134"/>
      </rPr>
      <t>。关联数据项：个人信贷业务借据表</t>
    </r>
    <r>
      <rPr>
        <sz val="12"/>
        <rFont val="Times New Roman"/>
        <charset val="134"/>
      </rPr>
      <t>.</t>
    </r>
    <r>
      <rPr>
        <sz val="12"/>
        <rFont val="宋体"/>
        <charset val="134"/>
      </rPr>
      <t>信贷借据号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对公信贷业务借据表</t>
    </r>
    <r>
      <rPr>
        <sz val="12"/>
        <rFont val="Times New Roman"/>
        <charset val="134"/>
      </rPr>
      <t>.</t>
    </r>
    <r>
      <rPr>
        <sz val="12"/>
        <rFont val="宋体"/>
        <charset val="134"/>
      </rPr>
      <t>信贷借据号。</t>
    </r>
  </si>
  <si>
    <t>XMLX</t>
  </si>
  <si>
    <t>XMMC</t>
  </si>
  <si>
    <r>
      <rPr>
        <sz val="12"/>
        <rFont val="宋体"/>
        <charset val="134"/>
      </rPr>
      <t>借款人应还本金总额。</t>
    </r>
  </si>
  <si>
    <r>
      <rPr>
        <sz val="12"/>
        <rFont val="宋体"/>
        <charset val="134"/>
      </rPr>
      <t>是否银团</t>
    </r>
  </si>
  <si>
    <t>SFYT</t>
  </si>
  <si>
    <r>
      <rPr>
        <sz val="12"/>
        <rFont val="宋体"/>
        <charset val="134"/>
      </rPr>
      <t>借款人编号</t>
    </r>
  </si>
  <si>
    <t>JKRBH</t>
  </si>
  <si>
    <r>
      <rPr>
        <sz val="12"/>
        <rFont val="宋体"/>
        <charset val="134"/>
      </rPr>
      <t>借款人名称</t>
    </r>
  </si>
  <si>
    <t>JKRMC</t>
  </si>
  <si>
    <r>
      <rPr>
        <sz val="12"/>
        <rFont val="宋体"/>
        <charset val="134"/>
      </rPr>
      <t>项目总投资</t>
    </r>
  </si>
  <si>
    <t>XMZTZ</t>
  </si>
  <si>
    <r>
      <rPr>
        <sz val="12"/>
        <rFont val="宋体"/>
        <charset val="134"/>
      </rPr>
      <t>项目资本金</t>
    </r>
  </si>
  <si>
    <t>XMZBJ</t>
  </si>
  <si>
    <t>PWWH</t>
  </si>
  <si>
    <r>
      <rPr>
        <sz val="12"/>
        <rFont val="宋体"/>
        <charset val="134"/>
      </rPr>
      <t>无相关批文的允许为空。</t>
    </r>
  </si>
  <si>
    <t>LXPW</t>
  </si>
  <si>
    <r>
      <rPr>
        <sz val="12"/>
        <rFont val="宋体"/>
        <charset val="134"/>
      </rPr>
      <t>填报批文标题。无相关批文的允许为空。</t>
    </r>
  </si>
  <si>
    <r>
      <rPr>
        <sz val="12"/>
        <rFont val="宋体"/>
        <charset val="134"/>
      </rPr>
      <t>土地使用证编号</t>
    </r>
  </si>
  <si>
    <t>TDSYZBH</t>
  </si>
  <si>
    <r>
      <rPr>
        <sz val="12"/>
        <rFont val="宋体"/>
        <charset val="134"/>
      </rPr>
      <t>非房地产类项目贷款允许为空。</t>
    </r>
  </si>
  <si>
    <r>
      <rPr>
        <sz val="12"/>
        <rFont val="宋体"/>
        <charset val="134"/>
      </rPr>
      <t>土地使用证日期</t>
    </r>
  </si>
  <si>
    <t>TDSYZRQ</t>
  </si>
  <si>
    <r>
      <rPr>
        <sz val="12"/>
        <rFont val="宋体"/>
        <charset val="134"/>
      </rPr>
      <t>证上标注的发证日期。非房地产类项目贷款允许为空。</t>
    </r>
  </si>
  <si>
    <r>
      <rPr>
        <sz val="12"/>
        <rFont val="宋体"/>
        <charset val="134"/>
      </rPr>
      <t>用地规划许可证编号</t>
    </r>
  </si>
  <si>
    <t>YDGHXKZBH</t>
  </si>
  <si>
    <r>
      <rPr>
        <sz val="12"/>
        <rFont val="宋体"/>
        <charset val="134"/>
      </rPr>
      <t>用地规划许可证日期</t>
    </r>
  </si>
  <si>
    <t>YDGHXKZRQ</t>
  </si>
  <si>
    <r>
      <rPr>
        <sz val="12"/>
        <rFont val="宋体"/>
        <charset val="134"/>
      </rPr>
      <t>工程规划许可证编号</t>
    </r>
  </si>
  <si>
    <t>GCGHXKZBH</t>
  </si>
  <si>
    <r>
      <rPr>
        <sz val="12"/>
        <rFont val="宋体"/>
        <charset val="134"/>
      </rPr>
      <t>工程规划许可证日期</t>
    </r>
  </si>
  <si>
    <t>GCGHXKZRQ</t>
  </si>
  <si>
    <r>
      <rPr>
        <sz val="12"/>
        <rFont val="宋体"/>
        <charset val="134"/>
      </rPr>
      <t>施工许可证编号</t>
    </r>
  </si>
  <si>
    <t>SGXKZBH</t>
  </si>
  <si>
    <r>
      <rPr>
        <sz val="12"/>
        <rFont val="宋体"/>
        <charset val="134"/>
      </rPr>
      <t>施工许可证日期</t>
    </r>
  </si>
  <si>
    <t>SGXKZRQ</t>
  </si>
  <si>
    <r>
      <rPr>
        <sz val="12"/>
        <rFont val="宋体"/>
        <charset val="134"/>
      </rPr>
      <t>其他许可证</t>
    </r>
  </si>
  <si>
    <t>QTXKZ</t>
  </si>
  <si>
    <r>
      <rPr>
        <sz val="12"/>
        <rFont val="宋体"/>
        <charset val="134"/>
      </rPr>
      <t>允许为空。如有多个许可证，按英文半角分号隔开填报。</t>
    </r>
  </si>
  <si>
    <r>
      <rPr>
        <sz val="12"/>
        <rFont val="宋体"/>
        <charset val="134"/>
      </rPr>
      <t>其他许可证编号</t>
    </r>
  </si>
  <si>
    <t>QTXKZBH</t>
  </si>
  <si>
    <r>
      <rPr>
        <sz val="12"/>
        <rFont val="宋体"/>
        <charset val="134"/>
      </rPr>
      <t>开工日期</t>
    </r>
  </si>
  <si>
    <t>KGRQ</t>
  </si>
  <si>
    <r>
      <rPr>
        <sz val="12"/>
        <rFont val="宋体"/>
        <charset val="134"/>
      </rPr>
      <t>银团贷款信息表</t>
    </r>
  </si>
  <si>
    <r>
      <rPr>
        <sz val="12"/>
        <rFont val="Times New Roman"/>
        <charset val="134"/>
      </rPr>
      <t>PK</t>
    </r>
    <r>
      <rPr>
        <sz val="12"/>
        <rFont val="宋体"/>
        <charset val="134"/>
      </rPr>
      <t>。关联数据项：个人信贷业务借据</t>
    </r>
    <r>
      <rPr>
        <sz val="12"/>
        <rFont val="Times New Roman"/>
        <charset val="134"/>
      </rPr>
      <t>.</t>
    </r>
    <r>
      <rPr>
        <sz val="12"/>
        <rFont val="宋体"/>
        <charset val="134"/>
      </rPr>
      <t>信贷借据号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对公信贷业务借据</t>
    </r>
    <r>
      <rPr>
        <sz val="12"/>
        <rFont val="Times New Roman"/>
        <charset val="134"/>
      </rPr>
      <t>.</t>
    </r>
    <r>
      <rPr>
        <sz val="12"/>
        <rFont val="宋体"/>
        <charset val="134"/>
      </rPr>
      <t>信贷借据号。</t>
    </r>
  </si>
  <si>
    <r>
      <rPr>
        <sz val="12"/>
        <rFont val="宋体"/>
        <charset val="134"/>
      </rPr>
      <t>关联数据项：对公客户</t>
    </r>
    <r>
      <rPr>
        <sz val="12"/>
        <rFont val="Times New Roman"/>
        <charset val="134"/>
      </rPr>
      <t>.</t>
    </r>
    <r>
      <rPr>
        <sz val="12"/>
        <rFont val="宋体"/>
        <charset val="134"/>
      </rPr>
      <t>客户统一编号</t>
    </r>
  </si>
  <si>
    <r>
      <rPr>
        <sz val="12"/>
        <rFont val="宋体"/>
        <charset val="134"/>
      </rPr>
      <t>如果借款人为对私客户，则为隐私，银行机构变形，变形规则见《采集技术接口说明》。如果借款人为对公客户，则为非隐私，不做变形。</t>
    </r>
  </si>
  <si>
    <r>
      <rPr>
        <sz val="12"/>
        <rFont val="宋体"/>
        <charset val="134"/>
      </rPr>
      <t>牵头行行号</t>
    </r>
  </si>
  <si>
    <t>QTHHH</t>
  </si>
  <si>
    <r>
      <rPr>
        <sz val="12"/>
        <rFont val="宋体"/>
        <charset val="134"/>
      </rPr>
      <t>填写牵头行行号。有多个牵头行的，逐个填写，使用英文半角分号隔开。没有人行支付行号的，填报</t>
    </r>
    <r>
      <rPr>
        <sz val="12"/>
        <rFont val="Times New Roman"/>
        <charset val="134"/>
      </rPr>
      <t>SWIFT</t>
    </r>
    <r>
      <rPr>
        <sz val="12"/>
        <rFont val="宋体"/>
        <charset val="134"/>
      </rPr>
      <t>行号。</t>
    </r>
  </si>
  <si>
    <r>
      <rPr>
        <sz val="12"/>
        <rFont val="宋体"/>
        <charset val="134"/>
      </rPr>
      <t>格式、数据项代码</t>
    </r>
  </si>
  <si>
    <r>
      <rPr>
        <sz val="12"/>
        <rFont val="宋体"/>
        <charset val="134"/>
      </rPr>
      <t>牵头行行名</t>
    </r>
  </si>
  <si>
    <t>QTHHM</t>
  </si>
  <si>
    <r>
      <rPr>
        <sz val="12"/>
        <rFont val="宋体"/>
        <charset val="134"/>
      </rPr>
      <t>填写牵头行行名。有多个牵头行的，逐个填写，使用英文半角分号隔开。</t>
    </r>
  </si>
  <si>
    <r>
      <rPr>
        <sz val="12"/>
        <rFont val="宋体"/>
        <charset val="134"/>
      </rPr>
      <t>参加行行号</t>
    </r>
  </si>
  <si>
    <t>CJHHH</t>
  </si>
  <si>
    <r>
      <rPr>
        <sz val="12"/>
        <rFont val="宋体"/>
        <charset val="134"/>
      </rPr>
      <t>填写参贷行的人行支付行号。有多个参贷行的，逐个填写，使用英文半角分号隔开。没有人行支付行号的，填报</t>
    </r>
    <r>
      <rPr>
        <sz val="12"/>
        <rFont val="Times New Roman"/>
        <charset val="134"/>
      </rPr>
      <t>SWIFT</t>
    </r>
    <r>
      <rPr>
        <sz val="12"/>
        <rFont val="宋体"/>
        <charset val="134"/>
      </rPr>
      <t>行号。</t>
    </r>
  </si>
  <si>
    <r>
      <rPr>
        <sz val="12"/>
        <rFont val="宋体"/>
        <charset val="134"/>
      </rPr>
      <t>参加行行名</t>
    </r>
  </si>
  <si>
    <t>CJHHM</t>
  </si>
  <si>
    <r>
      <rPr>
        <sz val="12"/>
        <rFont val="宋体"/>
        <charset val="134"/>
      </rPr>
      <t>填写参贷行行名。有多个参贷行的，逐个填写，使用英文半角分号隔开。没有人行支付行号的，填报</t>
    </r>
    <r>
      <rPr>
        <sz val="12"/>
        <rFont val="Times New Roman"/>
        <charset val="134"/>
      </rPr>
      <t>SWIFT</t>
    </r>
    <r>
      <rPr>
        <sz val="12"/>
        <rFont val="宋体"/>
        <charset val="134"/>
      </rPr>
      <t>行号。</t>
    </r>
  </si>
  <si>
    <r>
      <rPr>
        <sz val="12"/>
        <rFont val="宋体"/>
        <charset val="134"/>
      </rPr>
      <t>代理行行号</t>
    </r>
  </si>
  <si>
    <t>DLHHH</t>
  </si>
  <si>
    <r>
      <rPr>
        <sz val="12"/>
        <rFont val="宋体"/>
        <charset val="134"/>
      </rPr>
      <t>填写代理行的人行支付行号。有多个代理行的，逐个填写，使用英文半角分号隔开。没有人行支付行号的，填报</t>
    </r>
    <r>
      <rPr>
        <sz val="12"/>
        <rFont val="Times New Roman"/>
        <charset val="134"/>
      </rPr>
      <t>SWIFT</t>
    </r>
    <r>
      <rPr>
        <sz val="12"/>
        <rFont val="宋体"/>
        <charset val="134"/>
      </rPr>
      <t>行号。</t>
    </r>
  </si>
  <si>
    <r>
      <rPr>
        <sz val="12"/>
        <rFont val="宋体"/>
        <charset val="134"/>
      </rPr>
      <t>代理行行名</t>
    </r>
  </si>
  <si>
    <t>DLHHM</t>
  </si>
  <si>
    <r>
      <rPr>
        <sz val="12"/>
        <rFont val="宋体"/>
        <charset val="134"/>
      </rPr>
      <t>填写代理行行名。有多个代理行的，逐个填写，使用英文半角分号隔开。没有人行支付行号的，填报</t>
    </r>
    <r>
      <rPr>
        <sz val="12"/>
        <rFont val="Times New Roman"/>
        <charset val="134"/>
      </rPr>
      <t>SWIFT</t>
    </r>
    <r>
      <rPr>
        <sz val="12"/>
        <rFont val="宋体"/>
        <charset val="134"/>
      </rPr>
      <t>行号。</t>
    </r>
  </si>
  <si>
    <t>YTCYLX</t>
  </si>
  <si>
    <r>
      <rPr>
        <sz val="12"/>
        <rFont val="宋体"/>
        <charset val="134"/>
      </rPr>
      <t>同时存在除参加行以外的多个银团成员类型的，以英文半角分号分隔填报。</t>
    </r>
  </si>
  <si>
    <r>
      <rPr>
        <sz val="12"/>
        <rFont val="宋体"/>
        <charset val="134"/>
      </rPr>
      <t>银团贷款总金额</t>
    </r>
  </si>
  <si>
    <t>YTDKZJE</t>
  </si>
  <si>
    <r>
      <rPr>
        <sz val="12"/>
        <rFont val="宋体"/>
        <charset val="134"/>
      </rPr>
      <t>填写银团贷款协议总额度。</t>
    </r>
  </si>
  <si>
    <r>
      <rPr>
        <sz val="12"/>
        <rFont val="宋体"/>
        <charset val="134"/>
      </rPr>
      <t>已发放银团贷款金额</t>
    </r>
  </si>
  <si>
    <t>YFFDKJE</t>
  </si>
  <si>
    <r>
      <rPr>
        <sz val="12"/>
        <rFont val="宋体"/>
        <charset val="134"/>
      </rPr>
      <t>填写银团实际已发的贷款金额。当代理参贷标志为</t>
    </r>
    <r>
      <rPr>
        <sz val="12"/>
        <rFont val="Times New Roman"/>
        <charset val="134"/>
      </rPr>
      <t>“</t>
    </r>
    <r>
      <rPr>
        <sz val="12"/>
        <rFont val="宋体"/>
        <charset val="134"/>
      </rPr>
      <t>代理行</t>
    </r>
    <r>
      <rPr>
        <sz val="12"/>
        <rFont val="Times New Roman"/>
        <charset val="134"/>
      </rPr>
      <t>”</t>
    </r>
    <r>
      <rPr>
        <sz val="12"/>
        <rFont val="宋体"/>
        <charset val="134"/>
      </rPr>
      <t>时不可为空。</t>
    </r>
  </si>
  <si>
    <r>
      <rPr>
        <sz val="12"/>
        <rFont val="宋体"/>
        <charset val="134"/>
      </rPr>
      <t>承担贷款金额</t>
    </r>
  </si>
  <si>
    <t>CDDKJE</t>
  </si>
  <si>
    <r>
      <rPr>
        <sz val="12"/>
        <rFont val="宋体"/>
        <charset val="134"/>
      </rPr>
      <t>填写本行承担的银团贷款额度。</t>
    </r>
  </si>
  <si>
    <r>
      <rPr>
        <sz val="12"/>
        <rFont val="宋体"/>
        <charset val="134"/>
      </rPr>
      <t>已发放承担贷款金额</t>
    </r>
  </si>
  <si>
    <t>YFFCDDKJE</t>
  </si>
  <si>
    <r>
      <rPr>
        <sz val="12"/>
        <rFont val="宋体"/>
        <charset val="134"/>
      </rPr>
      <t>填写本行实际已发的贷款金额。填报未结清的贷款总额，不填报循环发放累计金额。</t>
    </r>
  </si>
  <si>
    <r>
      <rPr>
        <sz val="12"/>
        <rFont val="宋体"/>
        <charset val="134"/>
      </rPr>
      <t>借据金额</t>
    </r>
  </si>
  <si>
    <t>JJJE</t>
  </si>
  <si>
    <r>
      <rPr>
        <sz val="12"/>
        <rFont val="宋体"/>
        <charset val="134"/>
      </rPr>
      <t>以借据为最小颗粒，填写本借据放款金额。</t>
    </r>
  </si>
  <si>
    <r>
      <rPr>
        <sz val="12"/>
        <rFont val="宋体"/>
        <charset val="134"/>
      </rPr>
      <t>借据余额</t>
    </r>
  </si>
  <si>
    <t>JJYE</t>
  </si>
  <si>
    <r>
      <rPr>
        <sz val="12"/>
        <rFont val="宋体"/>
        <charset val="134"/>
      </rPr>
      <t>以借据为最小颗粒，填写本借据本金余额（不含利息）。</t>
    </r>
  </si>
  <si>
    <r>
      <rPr>
        <sz val="12"/>
        <rFont val="宋体"/>
        <charset val="134"/>
      </rPr>
      <t>票据贴现表</t>
    </r>
  </si>
  <si>
    <r>
      <rPr>
        <sz val="12"/>
        <rFont val="宋体"/>
        <charset val="134"/>
      </rPr>
      <t>填写经办机构金融许可证号。关联数据项：机构信息表</t>
    </r>
    <r>
      <rPr>
        <sz val="12"/>
        <rFont val="Times New Roman"/>
        <charset val="134"/>
      </rPr>
      <t>.</t>
    </r>
    <r>
      <rPr>
        <sz val="12"/>
        <rFont val="宋体"/>
        <charset val="134"/>
      </rPr>
      <t>金融许可证号</t>
    </r>
  </si>
  <si>
    <r>
      <rPr>
        <sz val="12"/>
        <rFont val="Times New Roman"/>
        <charset val="134"/>
      </rPr>
      <t>PK</t>
    </r>
    <r>
      <rPr>
        <sz val="12"/>
        <rFont val="宋体"/>
        <charset val="134"/>
      </rPr>
      <t>。经办机构内部机构号。关联数据项：机构信息表</t>
    </r>
    <r>
      <rPr>
        <sz val="12"/>
        <rFont val="Times New Roman"/>
        <charset val="134"/>
      </rPr>
      <t>.</t>
    </r>
    <r>
      <rPr>
        <sz val="12"/>
        <rFont val="宋体"/>
        <charset val="134"/>
      </rPr>
      <t>内部机构号</t>
    </r>
  </si>
  <si>
    <r>
      <rPr>
        <sz val="12"/>
        <rFont val="宋体"/>
        <charset val="134"/>
      </rPr>
      <t>经办机构银行机构名称。关联数据项：机构信息表</t>
    </r>
    <r>
      <rPr>
        <sz val="12"/>
        <rFont val="Times New Roman"/>
        <charset val="134"/>
      </rPr>
      <t>.</t>
    </r>
    <r>
      <rPr>
        <sz val="12"/>
        <rFont val="宋体"/>
        <charset val="134"/>
      </rPr>
      <t>银行机构名称</t>
    </r>
  </si>
  <si>
    <r>
      <rPr>
        <sz val="12"/>
        <rFont val="Times New Roman"/>
        <charset val="134"/>
      </rPr>
      <t>PK</t>
    </r>
    <r>
      <rPr>
        <sz val="12"/>
        <rFont val="宋体"/>
        <charset val="134"/>
      </rPr>
      <t>。票据贴现业务没有信贷合同编号的，填报为信贷合同号</t>
    </r>
    <r>
      <rPr>
        <sz val="12"/>
        <rFont val="Times New Roman"/>
        <charset val="134"/>
      </rPr>
      <t>=</t>
    </r>
    <r>
      <rPr>
        <sz val="12"/>
        <rFont val="宋体"/>
        <charset val="134"/>
      </rPr>
      <t>票据号码。关联数据项：信贷合同表</t>
    </r>
    <r>
      <rPr>
        <sz val="12"/>
        <rFont val="Times New Roman"/>
        <charset val="134"/>
      </rPr>
      <t>.</t>
    </r>
    <r>
      <rPr>
        <sz val="12"/>
        <rFont val="宋体"/>
        <charset val="134"/>
      </rPr>
      <t>信贷合同号。</t>
    </r>
  </si>
  <si>
    <r>
      <rPr>
        <sz val="12"/>
        <rFont val="Times New Roman"/>
        <charset val="134"/>
      </rPr>
      <t>PK</t>
    </r>
    <r>
      <rPr>
        <sz val="12"/>
        <rFont val="宋体"/>
        <charset val="134"/>
      </rPr>
      <t>。票据贴现业务没有借据号的，填报为信贷借据号</t>
    </r>
    <r>
      <rPr>
        <sz val="12"/>
        <rFont val="Times New Roman"/>
        <charset val="134"/>
      </rPr>
      <t>=</t>
    </r>
    <r>
      <rPr>
        <sz val="12"/>
        <rFont val="宋体"/>
        <charset val="134"/>
      </rPr>
      <t>票据号码。关联数据项：个人信贷业务借据表</t>
    </r>
    <r>
      <rPr>
        <sz val="12"/>
        <rFont val="Times New Roman"/>
        <charset val="134"/>
      </rPr>
      <t>.</t>
    </r>
    <r>
      <rPr>
        <sz val="12"/>
        <rFont val="宋体"/>
        <charset val="134"/>
      </rPr>
      <t>信贷借据号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对公信贷业务借据表</t>
    </r>
    <r>
      <rPr>
        <sz val="12"/>
        <rFont val="Times New Roman"/>
        <charset val="134"/>
      </rPr>
      <t>.</t>
    </r>
    <r>
      <rPr>
        <sz val="12"/>
        <rFont val="宋体"/>
        <charset val="134"/>
      </rPr>
      <t>信贷借据号。</t>
    </r>
  </si>
  <si>
    <t>PJHM</t>
  </si>
  <si>
    <t>PJLX</t>
  </si>
  <si>
    <r>
      <rPr>
        <sz val="12"/>
        <rFont val="宋体"/>
        <charset val="134"/>
      </rPr>
      <t>票面金额</t>
    </r>
  </si>
  <si>
    <t>PMJE</t>
  </si>
  <si>
    <r>
      <rPr>
        <sz val="12"/>
        <rFont val="宋体"/>
        <charset val="134"/>
      </rPr>
      <t>票据出票日期</t>
    </r>
  </si>
  <si>
    <t>PJCPRQ</t>
  </si>
  <si>
    <r>
      <rPr>
        <sz val="12"/>
        <rFont val="宋体"/>
        <charset val="134"/>
      </rPr>
      <t>票据到期日期</t>
    </r>
  </si>
  <si>
    <t>PJDQRQ</t>
  </si>
  <si>
    <r>
      <rPr>
        <sz val="12"/>
        <rFont val="宋体"/>
        <charset val="134"/>
      </rPr>
      <t>出票人名称</t>
    </r>
  </si>
  <si>
    <t>CPRMC</t>
  </si>
  <si>
    <r>
      <rPr>
        <sz val="12"/>
        <rFont val="宋体"/>
        <charset val="134"/>
      </rPr>
      <t>填写出票人全称。</t>
    </r>
  </si>
  <si>
    <r>
      <rPr>
        <sz val="12"/>
        <rFont val="宋体"/>
        <charset val="134"/>
      </rPr>
      <t>承兑人名称</t>
    </r>
  </si>
  <si>
    <t>CDRMC</t>
  </si>
  <si>
    <r>
      <rPr>
        <sz val="12"/>
        <rFont val="宋体"/>
        <charset val="134"/>
      </rPr>
      <t>填写承兑人全称。银行承兑汇票填承兑行全称。</t>
    </r>
  </si>
  <si>
    <r>
      <rPr>
        <sz val="12"/>
        <rFont val="宋体"/>
        <charset val="134"/>
      </rPr>
      <t>贴现人名称</t>
    </r>
  </si>
  <si>
    <t>TXRMC</t>
  </si>
  <si>
    <r>
      <rPr>
        <sz val="12"/>
        <rFont val="宋体"/>
        <charset val="134"/>
      </rPr>
      <t>填报申请办理贴现的贴现人全称。</t>
    </r>
  </si>
  <si>
    <r>
      <rPr>
        <sz val="12"/>
        <rFont val="宋体"/>
        <charset val="134"/>
      </rPr>
      <t>贴现人客户统一编号</t>
    </r>
  </si>
  <si>
    <t>TXRKHTYBH</t>
  </si>
  <si>
    <r>
      <rPr>
        <sz val="12"/>
        <rFont val="宋体"/>
        <charset val="134"/>
      </rPr>
      <t>贴现人账号</t>
    </r>
  </si>
  <si>
    <t>TXRZH</t>
  </si>
  <si>
    <r>
      <rPr>
        <sz val="12"/>
        <rFont val="宋体"/>
        <charset val="134"/>
      </rPr>
      <t>贴现人申请提款的外部账号</t>
    </r>
  </si>
  <si>
    <r>
      <rPr>
        <sz val="12"/>
        <rFont val="宋体"/>
        <charset val="134"/>
      </rPr>
      <t>贴现人开户行名称</t>
    </r>
  </si>
  <si>
    <t>TXRKHHMC</t>
  </si>
  <si>
    <r>
      <rPr>
        <sz val="12"/>
        <rFont val="宋体"/>
        <charset val="134"/>
      </rPr>
      <t>贴现人申请提款的开户行全称</t>
    </r>
  </si>
  <si>
    <r>
      <rPr>
        <sz val="12"/>
        <rFont val="宋体"/>
        <charset val="134"/>
      </rPr>
      <t>贴现金额</t>
    </r>
  </si>
  <si>
    <t>TXJE</t>
  </si>
  <si>
    <r>
      <rPr>
        <sz val="12"/>
        <rFont val="宋体"/>
        <charset val="134"/>
      </rPr>
      <t>贴现实付金额。</t>
    </r>
  </si>
  <si>
    <r>
      <rPr>
        <sz val="12"/>
        <rFont val="宋体"/>
        <charset val="134"/>
      </rPr>
      <t>贴现日期</t>
    </r>
  </si>
  <si>
    <t>TXRQ</t>
  </si>
  <si>
    <r>
      <rPr>
        <sz val="12"/>
        <rFont val="宋体"/>
        <charset val="134"/>
      </rPr>
      <t>贴现计息天数</t>
    </r>
  </si>
  <si>
    <t>TXJXTS</t>
  </si>
  <si>
    <r>
      <rPr>
        <sz val="12"/>
        <rFont val="宋体"/>
        <charset val="134"/>
      </rPr>
      <t>贴现利率</t>
    </r>
  </si>
  <si>
    <t>TXL</t>
  </si>
  <si>
    <r>
      <rPr>
        <sz val="12"/>
        <rFont val="宋体"/>
        <charset val="134"/>
      </rPr>
      <t>贴现利息</t>
    </r>
  </si>
  <si>
    <t>TXLX</t>
  </si>
  <si>
    <t>PJZT</t>
  </si>
  <si>
    <r>
      <rPr>
        <sz val="12"/>
        <rFont val="宋体"/>
        <charset val="134"/>
      </rPr>
      <t>正常（票据未到期），卖断（转贴现卖断），解付（票据到期且出票人已付款），垫款（票据到期产生垫款），核销（贷款核销）。</t>
    </r>
  </si>
  <si>
    <r>
      <rPr>
        <sz val="12"/>
        <rFont val="宋体"/>
        <charset val="134"/>
      </rPr>
      <t>票据转贴现表</t>
    </r>
  </si>
  <si>
    <r>
      <rPr>
        <sz val="12"/>
        <rFont val="Times New Roman"/>
        <charset val="134"/>
      </rPr>
      <t>PK</t>
    </r>
    <r>
      <rPr>
        <sz val="12"/>
        <rFont val="宋体"/>
        <charset val="134"/>
      </rPr>
      <t>。本行内部机构号。关联数据项：机构信息表</t>
    </r>
    <r>
      <rPr>
        <sz val="12"/>
        <rFont val="Times New Roman"/>
        <charset val="134"/>
      </rPr>
      <t>.</t>
    </r>
    <r>
      <rPr>
        <sz val="12"/>
        <rFont val="宋体"/>
        <charset val="134"/>
      </rPr>
      <t>内部机构号</t>
    </r>
  </si>
  <si>
    <r>
      <rPr>
        <sz val="12"/>
        <rFont val="宋体"/>
        <charset val="134"/>
      </rPr>
      <t>本行银行机构名称。关联数据项：机构信息表</t>
    </r>
    <r>
      <rPr>
        <sz val="12"/>
        <rFont val="Times New Roman"/>
        <charset val="134"/>
      </rPr>
      <t>.</t>
    </r>
    <r>
      <rPr>
        <sz val="12"/>
        <rFont val="宋体"/>
        <charset val="134"/>
      </rPr>
      <t>银行机构名称</t>
    </r>
  </si>
  <si>
    <r>
      <rPr>
        <sz val="12"/>
        <rFont val="宋体"/>
        <charset val="134"/>
      </rPr>
      <t>仅当转贴现类型为</t>
    </r>
    <r>
      <rPr>
        <sz val="12"/>
        <rFont val="Times New Roman"/>
        <charset val="134"/>
      </rPr>
      <t>“</t>
    </r>
    <r>
      <rPr>
        <sz val="12"/>
        <rFont val="宋体"/>
        <charset val="134"/>
      </rPr>
      <t>转贴现买断</t>
    </r>
    <r>
      <rPr>
        <sz val="12"/>
        <rFont val="Times New Roman"/>
        <charset val="134"/>
      </rPr>
      <t>”</t>
    </r>
    <r>
      <rPr>
        <sz val="12"/>
        <rFont val="宋体"/>
        <charset val="134"/>
      </rPr>
      <t>时需填报，其他情况填空值。按信贷合同号</t>
    </r>
    <r>
      <rPr>
        <sz val="12"/>
        <rFont val="Times New Roman"/>
        <charset val="134"/>
      </rPr>
      <t>=</t>
    </r>
    <r>
      <rPr>
        <sz val="12"/>
        <rFont val="宋体"/>
        <charset val="134"/>
      </rPr>
      <t>信贷借据号</t>
    </r>
    <r>
      <rPr>
        <sz val="12"/>
        <rFont val="Times New Roman"/>
        <charset val="134"/>
      </rPr>
      <t>=</t>
    </r>
    <r>
      <rPr>
        <sz val="12"/>
        <rFont val="宋体"/>
        <charset val="134"/>
      </rPr>
      <t>票据号码填报。关联数据项：信贷合同表</t>
    </r>
    <r>
      <rPr>
        <sz val="12"/>
        <rFont val="Times New Roman"/>
        <charset val="134"/>
      </rPr>
      <t>.</t>
    </r>
    <r>
      <rPr>
        <sz val="12"/>
        <rFont val="宋体"/>
        <charset val="134"/>
      </rPr>
      <t>信贷合同号</t>
    </r>
  </si>
  <si>
    <r>
      <rPr>
        <sz val="12"/>
        <rFont val="宋体"/>
        <charset val="134"/>
      </rPr>
      <t>仅当转贴现类型为</t>
    </r>
    <r>
      <rPr>
        <sz val="12"/>
        <rFont val="Times New Roman"/>
        <charset val="134"/>
      </rPr>
      <t>“</t>
    </r>
    <r>
      <rPr>
        <sz val="12"/>
        <rFont val="宋体"/>
        <charset val="134"/>
      </rPr>
      <t>转贴现买断</t>
    </r>
    <r>
      <rPr>
        <sz val="12"/>
        <rFont val="Times New Roman"/>
        <charset val="134"/>
      </rPr>
      <t>”</t>
    </r>
    <r>
      <rPr>
        <sz val="12"/>
        <rFont val="宋体"/>
        <charset val="134"/>
      </rPr>
      <t>时需填报，其他情况填空值。按信贷合同号</t>
    </r>
    <r>
      <rPr>
        <sz val="12"/>
        <rFont val="Times New Roman"/>
        <charset val="134"/>
      </rPr>
      <t>=</t>
    </r>
    <r>
      <rPr>
        <sz val="12"/>
        <rFont val="宋体"/>
        <charset val="134"/>
      </rPr>
      <t>信贷借据号</t>
    </r>
    <r>
      <rPr>
        <sz val="12"/>
        <rFont val="Times New Roman"/>
        <charset val="134"/>
      </rPr>
      <t>=</t>
    </r>
    <r>
      <rPr>
        <sz val="12"/>
        <rFont val="宋体"/>
        <charset val="134"/>
      </rPr>
      <t>票据号码填报。关联数据项：个人信贷业务借据表</t>
    </r>
    <r>
      <rPr>
        <sz val="12"/>
        <rFont val="Times New Roman"/>
        <charset val="134"/>
      </rPr>
      <t>.</t>
    </r>
    <r>
      <rPr>
        <sz val="12"/>
        <rFont val="宋体"/>
        <charset val="134"/>
      </rPr>
      <t>信贷借据号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对公信贷业务借据表</t>
    </r>
    <r>
      <rPr>
        <sz val="12"/>
        <rFont val="Times New Roman"/>
        <charset val="134"/>
      </rPr>
      <t>.</t>
    </r>
    <r>
      <rPr>
        <sz val="12"/>
        <rFont val="宋体"/>
        <charset val="134"/>
      </rPr>
      <t>信贷借据号。</t>
    </r>
  </si>
  <si>
    <r>
      <rPr>
        <sz val="12"/>
        <rFont val="宋体"/>
        <charset val="134"/>
      </rPr>
      <t>交易方向</t>
    </r>
  </si>
  <si>
    <t>JYFX</t>
  </si>
  <si>
    <t>ZTXLB</t>
  </si>
  <si>
    <r>
      <rPr>
        <sz val="12"/>
        <rFont val="宋体"/>
        <charset val="134"/>
      </rPr>
      <t>转贴现日期</t>
    </r>
  </si>
  <si>
    <t>ZTXRQ</t>
  </si>
  <si>
    <r>
      <rPr>
        <sz val="12"/>
        <rFont val="宋体"/>
        <charset val="134"/>
      </rPr>
      <t>转贴现金额</t>
    </r>
  </si>
  <si>
    <t>ZTXJE</t>
  </si>
  <si>
    <r>
      <rPr>
        <sz val="12"/>
        <rFont val="宋体"/>
        <charset val="134"/>
      </rPr>
      <t>转贴现实付金额</t>
    </r>
  </si>
  <si>
    <r>
      <rPr>
        <sz val="12"/>
        <rFont val="宋体"/>
        <charset val="134"/>
      </rPr>
      <t>转贴现计息天数</t>
    </r>
  </si>
  <si>
    <t>ZTXJXTS</t>
  </si>
  <si>
    <r>
      <rPr>
        <sz val="12"/>
        <rFont val="宋体"/>
        <charset val="134"/>
      </rPr>
      <t>转贴现实际计息天数</t>
    </r>
  </si>
  <si>
    <r>
      <rPr>
        <sz val="12"/>
        <rFont val="宋体"/>
        <charset val="134"/>
      </rPr>
      <t>转贴现利率</t>
    </r>
  </si>
  <si>
    <t>ZTXLL</t>
  </si>
  <si>
    <r>
      <rPr>
        <sz val="12"/>
        <rFont val="宋体"/>
        <charset val="134"/>
      </rPr>
      <t>转贴现利息</t>
    </r>
  </si>
  <si>
    <t>ZTXLX</t>
  </si>
  <si>
    <r>
      <rPr>
        <sz val="12"/>
        <rFont val="宋体"/>
        <charset val="134"/>
      </rPr>
      <t>回购日期</t>
    </r>
  </si>
  <si>
    <t>HGRQ</t>
  </si>
  <si>
    <r>
      <rPr>
        <sz val="12"/>
        <rFont val="宋体"/>
        <charset val="134"/>
      </rPr>
      <t>约定回购</t>
    </r>
    <r>
      <rPr>
        <sz val="12"/>
        <rFont val="Times New Roman"/>
        <charset val="134"/>
      </rPr>
      <t>/</t>
    </r>
    <r>
      <rPr>
        <sz val="12"/>
        <rFont val="宋体"/>
        <charset val="134"/>
      </rPr>
      <t>返售日期。</t>
    </r>
    <r>
      <rPr>
        <sz val="12"/>
        <rFont val="Times New Roman"/>
        <charset val="134"/>
      </rPr>
      <t>“</t>
    </r>
    <r>
      <rPr>
        <sz val="12"/>
        <rFont val="宋体"/>
        <charset val="134"/>
      </rPr>
      <t>质押式回购正回购</t>
    </r>
    <r>
      <rPr>
        <sz val="12"/>
        <rFont val="Times New Roman"/>
        <charset val="134"/>
      </rPr>
      <t>”</t>
    </r>
    <r>
      <rPr>
        <sz val="12"/>
        <rFont val="宋体"/>
        <charset val="134"/>
      </rPr>
      <t>、</t>
    </r>
    <r>
      <rPr>
        <sz val="12"/>
        <rFont val="Times New Roman"/>
        <charset val="134"/>
      </rPr>
      <t>“</t>
    </r>
    <r>
      <rPr>
        <sz val="12"/>
        <rFont val="宋体"/>
        <charset val="134"/>
      </rPr>
      <t>质押式回购逆回购</t>
    </r>
    <r>
      <rPr>
        <sz val="12"/>
        <rFont val="Times New Roman"/>
        <charset val="134"/>
      </rPr>
      <t>”</t>
    </r>
    <r>
      <rPr>
        <sz val="12"/>
        <rFont val="宋体"/>
        <charset val="134"/>
      </rPr>
      <t>、</t>
    </r>
    <r>
      <rPr>
        <sz val="12"/>
        <rFont val="Times New Roman"/>
        <charset val="134"/>
      </rPr>
      <t>“</t>
    </r>
    <r>
      <rPr>
        <sz val="12"/>
        <rFont val="宋体"/>
        <charset val="134"/>
      </rPr>
      <t>买断式回购正回购</t>
    </r>
    <r>
      <rPr>
        <sz val="12"/>
        <rFont val="Times New Roman"/>
        <charset val="134"/>
      </rPr>
      <t>”</t>
    </r>
    <r>
      <rPr>
        <sz val="12"/>
        <rFont val="宋体"/>
        <charset val="134"/>
      </rPr>
      <t>、</t>
    </r>
    <r>
      <rPr>
        <sz val="12"/>
        <rFont val="Times New Roman"/>
        <charset val="134"/>
      </rPr>
      <t>“</t>
    </r>
    <r>
      <rPr>
        <sz val="12"/>
        <rFont val="宋体"/>
        <charset val="134"/>
      </rPr>
      <t>买断式回购逆回购</t>
    </r>
    <r>
      <rPr>
        <sz val="12"/>
        <rFont val="Times New Roman"/>
        <charset val="134"/>
      </rPr>
      <t>”</t>
    </r>
    <r>
      <rPr>
        <sz val="12"/>
        <rFont val="宋体"/>
        <charset val="134"/>
      </rPr>
      <t>类业务，填报该字段。</t>
    </r>
    <r>
      <rPr>
        <sz val="12"/>
        <rFont val="Times New Roman"/>
        <charset val="134"/>
      </rPr>
      <t>“</t>
    </r>
    <r>
      <rPr>
        <sz val="12"/>
        <rFont val="宋体"/>
        <charset val="134"/>
      </rPr>
      <t>转贴现买断</t>
    </r>
    <r>
      <rPr>
        <sz val="12"/>
        <rFont val="Times New Roman"/>
        <charset val="134"/>
      </rPr>
      <t>”</t>
    </r>
    <r>
      <rPr>
        <sz val="12"/>
        <rFont val="宋体"/>
        <charset val="134"/>
      </rPr>
      <t>、</t>
    </r>
    <r>
      <rPr>
        <sz val="12"/>
        <rFont val="Times New Roman"/>
        <charset val="134"/>
      </rPr>
      <t>“</t>
    </r>
    <r>
      <rPr>
        <sz val="12"/>
        <rFont val="宋体"/>
        <charset val="134"/>
      </rPr>
      <t>转贴现卖断</t>
    </r>
    <r>
      <rPr>
        <sz val="12"/>
        <rFont val="Times New Roman"/>
        <charset val="134"/>
      </rPr>
      <t>”</t>
    </r>
    <r>
      <rPr>
        <sz val="12"/>
        <rFont val="宋体"/>
        <charset val="134"/>
      </rPr>
      <t>该字段可以为空。</t>
    </r>
  </si>
  <si>
    <r>
      <rPr>
        <sz val="12"/>
        <rFont val="宋体"/>
        <charset val="134"/>
      </rPr>
      <t>回购金额</t>
    </r>
  </si>
  <si>
    <t>HGJE</t>
  </si>
  <si>
    <r>
      <rPr>
        <sz val="12"/>
        <rFont val="宋体"/>
        <charset val="134"/>
      </rPr>
      <t>约定回购</t>
    </r>
    <r>
      <rPr>
        <sz val="12"/>
        <rFont val="Times New Roman"/>
        <charset val="134"/>
      </rPr>
      <t>/</t>
    </r>
    <r>
      <rPr>
        <sz val="12"/>
        <rFont val="宋体"/>
        <charset val="134"/>
      </rPr>
      <t>返售总金额。</t>
    </r>
    <r>
      <rPr>
        <sz val="12"/>
        <rFont val="Times New Roman"/>
        <charset val="134"/>
      </rPr>
      <t>“</t>
    </r>
    <r>
      <rPr>
        <sz val="12"/>
        <rFont val="宋体"/>
        <charset val="134"/>
      </rPr>
      <t>质押式回购正回购</t>
    </r>
    <r>
      <rPr>
        <sz val="12"/>
        <rFont val="Times New Roman"/>
        <charset val="134"/>
      </rPr>
      <t>”</t>
    </r>
    <r>
      <rPr>
        <sz val="12"/>
        <rFont val="宋体"/>
        <charset val="134"/>
      </rPr>
      <t>、</t>
    </r>
    <r>
      <rPr>
        <sz val="12"/>
        <rFont val="Times New Roman"/>
        <charset val="134"/>
      </rPr>
      <t>“</t>
    </r>
    <r>
      <rPr>
        <sz val="12"/>
        <rFont val="宋体"/>
        <charset val="134"/>
      </rPr>
      <t>质押式回购逆回购</t>
    </r>
    <r>
      <rPr>
        <sz val="12"/>
        <rFont val="Times New Roman"/>
        <charset val="134"/>
      </rPr>
      <t>”</t>
    </r>
    <r>
      <rPr>
        <sz val="12"/>
        <rFont val="宋体"/>
        <charset val="134"/>
      </rPr>
      <t>、</t>
    </r>
    <r>
      <rPr>
        <sz val="12"/>
        <rFont val="Times New Roman"/>
        <charset val="134"/>
      </rPr>
      <t>“</t>
    </r>
    <r>
      <rPr>
        <sz val="12"/>
        <rFont val="宋体"/>
        <charset val="134"/>
      </rPr>
      <t>买断式回购正回购</t>
    </r>
    <r>
      <rPr>
        <sz val="12"/>
        <rFont val="Times New Roman"/>
        <charset val="134"/>
      </rPr>
      <t>”</t>
    </r>
    <r>
      <rPr>
        <sz val="12"/>
        <rFont val="宋体"/>
        <charset val="134"/>
      </rPr>
      <t>、</t>
    </r>
    <r>
      <rPr>
        <sz val="12"/>
        <rFont val="Times New Roman"/>
        <charset val="134"/>
      </rPr>
      <t>“</t>
    </r>
    <r>
      <rPr>
        <sz val="12"/>
        <rFont val="宋体"/>
        <charset val="134"/>
      </rPr>
      <t>买断式回购逆回购</t>
    </r>
    <r>
      <rPr>
        <sz val="12"/>
        <rFont val="Times New Roman"/>
        <charset val="134"/>
      </rPr>
      <t>”</t>
    </r>
    <r>
      <rPr>
        <sz val="12"/>
        <rFont val="宋体"/>
        <charset val="134"/>
      </rPr>
      <t>类业务，填报该字段，回购前如无法填报的可以置空。</t>
    </r>
    <r>
      <rPr>
        <sz val="12"/>
        <rFont val="Times New Roman"/>
        <charset val="134"/>
      </rPr>
      <t>“</t>
    </r>
    <r>
      <rPr>
        <sz val="12"/>
        <rFont val="宋体"/>
        <charset val="134"/>
      </rPr>
      <t>转贴现买断</t>
    </r>
    <r>
      <rPr>
        <sz val="12"/>
        <rFont val="Times New Roman"/>
        <charset val="134"/>
      </rPr>
      <t>”</t>
    </r>
    <r>
      <rPr>
        <sz val="12"/>
        <rFont val="宋体"/>
        <charset val="134"/>
      </rPr>
      <t>、</t>
    </r>
    <r>
      <rPr>
        <sz val="12"/>
        <rFont val="Times New Roman"/>
        <charset val="134"/>
      </rPr>
      <t>“</t>
    </r>
    <r>
      <rPr>
        <sz val="12"/>
        <rFont val="宋体"/>
        <charset val="134"/>
      </rPr>
      <t>转贴现卖断</t>
    </r>
    <r>
      <rPr>
        <sz val="12"/>
        <rFont val="Times New Roman"/>
        <charset val="134"/>
      </rPr>
      <t>”</t>
    </r>
    <r>
      <rPr>
        <sz val="12"/>
        <rFont val="宋体"/>
        <charset val="134"/>
      </rPr>
      <t>该字段置空。</t>
    </r>
  </si>
  <si>
    <r>
      <rPr>
        <sz val="12"/>
        <rFont val="宋体"/>
        <charset val="134"/>
      </rPr>
      <t>回购利率</t>
    </r>
  </si>
  <si>
    <t>HGLV</t>
  </si>
  <si>
    <r>
      <rPr>
        <sz val="12"/>
        <rFont val="Times New Roman"/>
        <charset val="134"/>
      </rPr>
      <t>“</t>
    </r>
    <r>
      <rPr>
        <sz val="12"/>
        <rFont val="宋体"/>
        <charset val="134"/>
      </rPr>
      <t>质押式回购正回购</t>
    </r>
    <r>
      <rPr>
        <sz val="12"/>
        <rFont val="Times New Roman"/>
        <charset val="134"/>
      </rPr>
      <t>”</t>
    </r>
    <r>
      <rPr>
        <sz val="12"/>
        <rFont val="宋体"/>
        <charset val="134"/>
      </rPr>
      <t>、</t>
    </r>
    <r>
      <rPr>
        <sz val="12"/>
        <rFont val="Times New Roman"/>
        <charset val="134"/>
      </rPr>
      <t>“</t>
    </r>
    <r>
      <rPr>
        <sz val="12"/>
        <rFont val="宋体"/>
        <charset val="134"/>
      </rPr>
      <t>质押式回购逆回购</t>
    </r>
    <r>
      <rPr>
        <sz val="12"/>
        <rFont val="Times New Roman"/>
        <charset val="134"/>
      </rPr>
      <t>”</t>
    </r>
    <r>
      <rPr>
        <sz val="12"/>
        <rFont val="宋体"/>
        <charset val="134"/>
      </rPr>
      <t>、</t>
    </r>
    <r>
      <rPr>
        <sz val="12"/>
        <rFont val="Times New Roman"/>
        <charset val="134"/>
      </rPr>
      <t>“</t>
    </r>
    <r>
      <rPr>
        <sz val="12"/>
        <rFont val="宋体"/>
        <charset val="134"/>
      </rPr>
      <t>买断式回购正回购</t>
    </r>
    <r>
      <rPr>
        <sz val="12"/>
        <rFont val="Times New Roman"/>
        <charset val="134"/>
      </rPr>
      <t>”</t>
    </r>
    <r>
      <rPr>
        <sz val="12"/>
        <rFont val="宋体"/>
        <charset val="134"/>
      </rPr>
      <t>、</t>
    </r>
    <r>
      <rPr>
        <sz val="12"/>
        <rFont val="Times New Roman"/>
        <charset val="134"/>
      </rPr>
      <t>“</t>
    </r>
    <r>
      <rPr>
        <sz val="12"/>
        <rFont val="宋体"/>
        <charset val="134"/>
      </rPr>
      <t>买断式回购逆回购</t>
    </r>
    <r>
      <rPr>
        <sz val="12"/>
        <rFont val="Times New Roman"/>
        <charset val="134"/>
      </rPr>
      <t>”</t>
    </r>
    <r>
      <rPr>
        <sz val="12"/>
        <rFont val="宋体"/>
        <charset val="134"/>
      </rPr>
      <t>类业务，填报该字段，回购前如无法填报的可以置空。</t>
    </r>
    <r>
      <rPr>
        <sz val="12"/>
        <rFont val="Times New Roman"/>
        <charset val="134"/>
      </rPr>
      <t>“</t>
    </r>
    <r>
      <rPr>
        <sz val="12"/>
        <rFont val="宋体"/>
        <charset val="134"/>
      </rPr>
      <t>转贴现买断</t>
    </r>
    <r>
      <rPr>
        <sz val="12"/>
        <rFont val="Times New Roman"/>
        <charset val="134"/>
      </rPr>
      <t>”</t>
    </r>
    <r>
      <rPr>
        <sz val="12"/>
        <rFont val="宋体"/>
        <charset val="134"/>
      </rPr>
      <t>、</t>
    </r>
    <r>
      <rPr>
        <sz val="12"/>
        <rFont val="Times New Roman"/>
        <charset val="134"/>
      </rPr>
      <t>“</t>
    </r>
    <r>
      <rPr>
        <sz val="12"/>
        <rFont val="宋体"/>
        <charset val="134"/>
      </rPr>
      <t>转贴现卖断</t>
    </r>
    <r>
      <rPr>
        <sz val="12"/>
        <rFont val="Times New Roman"/>
        <charset val="134"/>
      </rPr>
      <t>”</t>
    </r>
    <r>
      <rPr>
        <sz val="12"/>
        <rFont val="宋体"/>
        <charset val="134"/>
      </rPr>
      <t>该字段置空。</t>
    </r>
  </si>
  <si>
    <r>
      <rPr>
        <sz val="12"/>
        <rFont val="宋体"/>
        <charset val="134"/>
      </rPr>
      <t>回购利息</t>
    </r>
  </si>
  <si>
    <t>HGLX</t>
  </si>
  <si>
    <r>
      <rPr>
        <sz val="12"/>
        <rFont val="宋体"/>
        <charset val="134"/>
      </rPr>
      <t>交易对手名称</t>
    </r>
  </si>
  <si>
    <t>JYDSMC</t>
  </si>
  <si>
    <r>
      <rPr>
        <sz val="12"/>
        <rFont val="宋体"/>
        <charset val="134"/>
      </rPr>
      <t>填报交易对手行全称。</t>
    </r>
  </si>
  <si>
    <r>
      <rPr>
        <sz val="12"/>
        <rFont val="宋体"/>
        <charset val="134"/>
      </rPr>
      <t>交易对手行号</t>
    </r>
  </si>
  <si>
    <t>JYDSHH</t>
  </si>
  <si>
    <r>
      <rPr>
        <sz val="12"/>
        <rFont val="宋体"/>
        <charset val="134"/>
      </rPr>
      <t>交易对手的银行机构代码，跨境交易行号可填</t>
    </r>
    <r>
      <rPr>
        <sz val="12"/>
        <rFont val="Times New Roman"/>
        <charset val="134"/>
      </rPr>
      <t>SWIFT</t>
    </r>
    <r>
      <rPr>
        <sz val="12"/>
        <rFont val="宋体"/>
        <charset val="134"/>
      </rPr>
      <t>编码。对方账号和对方户名必须填实际收款人，不可填中间过渡账户或清算账户。交易对手是第三方支付平台的，可以为空。</t>
    </r>
  </si>
  <si>
    <r>
      <rPr>
        <sz val="12"/>
        <rFont val="宋体"/>
        <charset val="134"/>
      </rPr>
      <t>贸易融资业务表</t>
    </r>
  </si>
  <si>
    <r>
      <rPr>
        <sz val="12"/>
        <rFont val="宋体"/>
        <charset val="134"/>
      </rPr>
      <t>填报经办的银行机构。关联数据项：机构信息表</t>
    </r>
    <r>
      <rPr>
        <sz val="12"/>
        <rFont val="Times New Roman"/>
        <charset val="134"/>
      </rPr>
      <t>.</t>
    </r>
    <r>
      <rPr>
        <sz val="12"/>
        <rFont val="宋体"/>
        <charset val="134"/>
      </rPr>
      <t>金融许可证号</t>
    </r>
  </si>
  <si>
    <t>MYRZPZ</t>
  </si>
  <si>
    <r>
      <rPr>
        <sz val="12"/>
        <rFont val="宋体"/>
        <charset val="134"/>
      </rPr>
      <t>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为银行自定义贸易融资品种。</t>
    </r>
  </si>
  <si>
    <r>
      <rPr>
        <sz val="12"/>
        <rFont val="Times New Roman"/>
        <charset val="134"/>
      </rPr>
      <t>PK</t>
    </r>
    <r>
      <rPr>
        <sz val="12"/>
        <rFont val="宋体"/>
        <charset val="134"/>
      </rPr>
      <t>。指贸易融资币种，非贸易合同币种。多个币种的以本外币合计（</t>
    </r>
    <r>
      <rPr>
        <sz val="12"/>
        <rFont val="Times New Roman"/>
        <charset val="134"/>
      </rPr>
      <t>BWB</t>
    </r>
    <r>
      <rPr>
        <sz val="12"/>
        <rFont val="宋体"/>
        <charset val="134"/>
      </rPr>
      <t>）报送。</t>
    </r>
  </si>
  <si>
    <r>
      <rPr>
        <sz val="12"/>
        <rFont val="宋体"/>
        <charset val="134"/>
      </rPr>
      <t>贸易融资金额</t>
    </r>
  </si>
  <si>
    <t>MYRZJE</t>
  </si>
  <si>
    <r>
      <rPr>
        <sz val="12"/>
        <rFont val="宋体"/>
        <charset val="134"/>
      </rPr>
      <t>指融资实际支付的金额，福费廷业务填报实际支付金额，非信用证上金额。</t>
    </r>
  </si>
  <si>
    <r>
      <rPr>
        <sz val="12"/>
        <rFont val="宋体"/>
        <charset val="134"/>
      </rPr>
      <t>融资发放日期</t>
    </r>
  </si>
  <si>
    <t>FKRQ</t>
  </si>
  <si>
    <r>
      <rPr>
        <sz val="12"/>
        <rFont val="宋体"/>
        <charset val="134"/>
      </rPr>
      <t>指融资实际放款的日期，多次付款的以首次付款日期填报。</t>
    </r>
  </si>
  <si>
    <r>
      <rPr>
        <sz val="12"/>
        <rFont val="宋体"/>
        <charset val="134"/>
      </rPr>
      <t>融资还款日期</t>
    </r>
  </si>
  <si>
    <t>HKRQ</t>
  </si>
  <si>
    <r>
      <rPr>
        <sz val="12"/>
        <rFont val="宋体"/>
        <charset val="134"/>
      </rPr>
      <t>指融资款发放后，开证行</t>
    </r>
    <r>
      <rPr>
        <sz val="12"/>
        <rFont val="Times New Roman"/>
        <charset val="134"/>
      </rPr>
      <t>/</t>
    </r>
    <r>
      <rPr>
        <sz val="12"/>
        <rFont val="宋体"/>
        <charset val="134"/>
      </rPr>
      <t>申请人的最迟还款日期。</t>
    </r>
  </si>
  <si>
    <r>
      <rPr>
        <sz val="12"/>
        <rFont val="宋体"/>
        <charset val="134"/>
      </rPr>
      <t>开证行名称</t>
    </r>
  </si>
  <si>
    <t>KZHMC</t>
  </si>
  <si>
    <r>
      <rPr>
        <sz val="12"/>
        <rFont val="宋体"/>
        <charset val="134"/>
      </rPr>
      <t>信用证业务填报开证行名称，其他业务允许为空。</t>
    </r>
  </si>
  <si>
    <r>
      <rPr>
        <sz val="12"/>
        <rFont val="宋体"/>
        <charset val="134"/>
      </rPr>
      <t>购货方名称</t>
    </r>
  </si>
  <si>
    <t>GHFMC</t>
  </si>
  <si>
    <r>
      <rPr>
        <sz val="12"/>
        <rFont val="宋体"/>
        <charset val="134"/>
      </rPr>
      <t>即该笔贸易中的买入方。信用证业务填报证上申请人名称，保理融资业务填报应收账款债务人名称。非隐私，不做变形。如果为境内涉密机构的，填报为</t>
    </r>
    <r>
      <rPr>
        <sz val="12"/>
        <rFont val="Times New Roman"/>
        <charset val="134"/>
      </rPr>
      <t>“*********”</t>
    </r>
    <r>
      <rPr>
        <sz val="12"/>
        <rFont val="宋体"/>
        <charset val="134"/>
      </rPr>
      <t>。</t>
    </r>
  </si>
  <si>
    <r>
      <rPr>
        <sz val="12"/>
        <rFont val="宋体"/>
        <charset val="134"/>
      </rPr>
      <t>销货方名称</t>
    </r>
  </si>
  <si>
    <t>XHFMC</t>
  </si>
  <si>
    <r>
      <rPr>
        <sz val="12"/>
        <rFont val="宋体"/>
        <charset val="134"/>
      </rPr>
      <t>即该笔贸易中的卖出方。信用证业务填报证上受益人名称，保理融资业务填报保理业务申请人名称。非隐私，不做变形。如果为境内涉密机构的，填报为</t>
    </r>
    <r>
      <rPr>
        <sz val="12"/>
        <rFont val="Times New Roman"/>
        <charset val="134"/>
      </rPr>
      <t>“*********”</t>
    </r>
    <r>
      <rPr>
        <sz val="12"/>
        <rFont val="宋体"/>
        <charset val="134"/>
      </rPr>
      <t>。</t>
    </r>
  </si>
  <si>
    <r>
      <rPr>
        <sz val="12"/>
        <rFont val="宋体"/>
        <charset val="134"/>
      </rPr>
      <t>贸易交易内容</t>
    </r>
  </si>
  <si>
    <t>MYJYBJ</t>
  </si>
  <si>
    <r>
      <rPr>
        <sz val="12"/>
        <rFont val="宋体"/>
        <charset val="134"/>
      </rPr>
      <t>填报贸易合同的交易内容简述，如合同为英文的应翻译文中文并保留英文原文。</t>
    </r>
  </si>
  <si>
    <r>
      <rPr>
        <sz val="12"/>
        <rFont val="宋体"/>
        <charset val="134"/>
      </rPr>
      <t>支付对象名称</t>
    </r>
  </si>
  <si>
    <t>ZFDXMC</t>
  </si>
  <si>
    <r>
      <rPr>
        <sz val="12"/>
        <rFont val="宋体"/>
        <charset val="134"/>
      </rPr>
      <t>指该笔融资实际支付对象的名称，二级市场福费廷业务的实际支付对象填报同业机构名称。</t>
    </r>
  </si>
  <si>
    <r>
      <rPr>
        <sz val="12"/>
        <rFont val="宋体"/>
        <charset val="134"/>
      </rPr>
      <t>还款对象名称</t>
    </r>
  </si>
  <si>
    <t>HKDXMC</t>
  </si>
  <si>
    <r>
      <rPr>
        <sz val="12"/>
        <rFont val="宋体"/>
        <charset val="134"/>
      </rPr>
      <t>指该笔融资的还款对象名称，非本行开出的信用证还款对象为信用证开证行。</t>
    </r>
  </si>
  <si>
    <r>
      <rPr>
        <sz val="12"/>
        <rFont val="宋体"/>
        <charset val="134"/>
      </rPr>
      <t>手续费币种</t>
    </r>
  </si>
  <si>
    <t>SXFBZ</t>
  </si>
  <si>
    <r>
      <rPr>
        <sz val="12"/>
        <rFont val="宋体"/>
        <charset val="134"/>
      </rPr>
      <t>填写本行收取客户的手续费币种，如果没有手续费允许为空。</t>
    </r>
  </si>
  <si>
    <r>
      <rPr>
        <sz val="12"/>
        <rFont val="宋体"/>
        <charset val="134"/>
      </rPr>
      <t>手续费金额</t>
    </r>
  </si>
  <si>
    <t>SXFJE</t>
  </si>
  <si>
    <r>
      <rPr>
        <sz val="12"/>
        <rFont val="宋体"/>
        <charset val="134"/>
      </rPr>
      <t>填写本行收取客户的手续费金额，如果没有手续费填写默认值</t>
    </r>
    <r>
      <rPr>
        <sz val="12"/>
        <rFont val="Times New Roman"/>
        <charset val="134"/>
      </rPr>
      <t>0</t>
    </r>
    <r>
      <rPr>
        <sz val="12"/>
        <rFont val="宋体"/>
        <charset val="134"/>
      </rPr>
      <t>。</t>
    </r>
  </si>
  <si>
    <r>
      <rPr>
        <sz val="12"/>
        <rFont val="宋体"/>
        <charset val="134"/>
      </rPr>
      <t>保证金比例</t>
    </r>
  </si>
  <si>
    <t>BZJBL</t>
  </si>
  <si>
    <r>
      <rPr>
        <sz val="12"/>
        <rFont val="宋体"/>
        <charset val="134"/>
      </rPr>
      <t>如没有保证金，填写默认值</t>
    </r>
    <r>
      <rPr>
        <sz val="12"/>
        <rFont val="Times New Roman"/>
        <charset val="134"/>
      </rPr>
      <t>0</t>
    </r>
    <r>
      <rPr>
        <sz val="12"/>
        <rFont val="宋体"/>
        <charset val="134"/>
      </rPr>
      <t>。</t>
    </r>
  </si>
  <si>
    <r>
      <rPr>
        <sz val="12"/>
        <rFont val="宋体"/>
        <charset val="134"/>
      </rPr>
      <t>保证金币种</t>
    </r>
  </si>
  <si>
    <t>BZJBZ</t>
  </si>
  <si>
    <r>
      <rPr>
        <sz val="12"/>
        <rFont val="宋体"/>
        <charset val="134"/>
      </rPr>
      <t>若没有保证金允许为空。多个保证金币种的以本外币合计（</t>
    </r>
    <r>
      <rPr>
        <sz val="12"/>
        <rFont val="Times New Roman"/>
        <charset val="134"/>
      </rPr>
      <t>BWB</t>
    </r>
    <r>
      <rPr>
        <sz val="12"/>
        <rFont val="宋体"/>
        <charset val="134"/>
      </rPr>
      <t>）报送。</t>
    </r>
  </si>
  <si>
    <r>
      <rPr>
        <sz val="12"/>
        <rFont val="宋体"/>
        <charset val="134"/>
      </rPr>
      <t>保证金金额</t>
    </r>
  </si>
  <si>
    <t>BZJJE</t>
  </si>
  <si>
    <r>
      <rPr>
        <sz val="12"/>
        <rFont val="宋体"/>
        <charset val="134"/>
      </rPr>
      <t>若没有保证金填默认值</t>
    </r>
    <r>
      <rPr>
        <sz val="12"/>
        <rFont val="Times New Roman"/>
        <charset val="134"/>
      </rPr>
      <t>0</t>
    </r>
    <r>
      <rPr>
        <sz val="12"/>
        <rFont val="宋体"/>
        <charset val="134"/>
      </rPr>
      <t>。多个保证金币种的以本外币合计（</t>
    </r>
    <r>
      <rPr>
        <sz val="12"/>
        <rFont val="Times New Roman"/>
        <charset val="134"/>
      </rPr>
      <t>BWB</t>
    </r>
    <r>
      <rPr>
        <sz val="12"/>
        <rFont val="宋体"/>
        <charset val="134"/>
      </rPr>
      <t>）报送。</t>
    </r>
  </si>
  <si>
    <r>
      <rPr>
        <sz val="12"/>
        <rFont val="宋体"/>
        <charset val="134"/>
      </rPr>
      <t>保证金账号</t>
    </r>
  </si>
  <si>
    <t>BZJZH</t>
  </si>
  <si>
    <r>
      <rPr>
        <sz val="12"/>
        <rFont val="宋体"/>
        <charset val="134"/>
      </rPr>
      <t>客户缴纳保证金的实际账号，填报外部账号。若没有填空。多个保证金账号的仅报送主要保证金账号。</t>
    </r>
  </si>
  <si>
    <r>
      <rPr>
        <sz val="12"/>
        <rFont val="宋体"/>
        <charset val="134"/>
      </rPr>
      <t>融资租赁业务表</t>
    </r>
  </si>
  <si>
    <t>RZZLLX</t>
  </si>
  <si>
    <r>
      <rPr>
        <sz val="12"/>
        <rFont val="宋体"/>
        <charset val="134"/>
      </rPr>
      <t>传统经营性租赁：提供融物的服务；融资性租赁：提供金融服务和推销服务。</t>
    </r>
  </si>
  <si>
    <r>
      <rPr>
        <sz val="12"/>
        <rFont val="宋体"/>
        <charset val="134"/>
      </rPr>
      <t>租赁标的物</t>
    </r>
  </si>
  <si>
    <t>ZLBDW</t>
  </si>
  <si>
    <r>
      <rPr>
        <sz val="12"/>
        <rFont val="宋体"/>
        <charset val="134"/>
      </rPr>
      <t>银行自定义的对租赁标的物的描述，按照租赁合同中约定的租赁标的物填报。</t>
    </r>
  </si>
  <si>
    <t>XYZBZDM</t>
  </si>
  <si>
    <r>
      <rPr>
        <sz val="12"/>
        <rFont val="宋体"/>
        <charset val="134"/>
      </rPr>
      <t>指合同约定的币种。</t>
    </r>
  </si>
  <si>
    <t>XYZJE</t>
  </si>
  <si>
    <r>
      <rPr>
        <sz val="12"/>
        <rFont val="宋体"/>
        <charset val="134"/>
      </rPr>
      <t>合同余额</t>
    </r>
  </si>
  <si>
    <t>XYZYE</t>
  </si>
  <si>
    <r>
      <rPr>
        <sz val="12"/>
        <rFont val="宋体"/>
        <charset val="134"/>
      </rPr>
      <t>指承租人尚未支付的本金余额。</t>
    </r>
  </si>
  <si>
    <t>HTYDRQ</t>
  </si>
  <si>
    <r>
      <rPr>
        <sz val="12"/>
        <rFont val="宋体"/>
        <charset val="134"/>
      </rPr>
      <t>合同约定履行日期，若无该字段信息可填报合同的开始日期</t>
    </r>
  </si>
  <si>
    <r>
      <rPr>
        <sz val="12"/>
        <rFont val="宋体"/>
        <charset val="134"/>
      </rPr>
      <t>合同原始到期日期</t>
    </r>
  </si>
  <si>
    <r>
      <rPr>
        <sz val="12"/>
        <rFont val="宋体"/>
        <charset val="134"/>
      </rPr>
      <t>承租人编号</t>
    </r>
  </si>
  <si>
    <t>CZRBH</t>
  </si>
  <si>
    <r>
      <rPr>
        <sz val="12"/>
        <rFont val="宋体"/>
        <charset val="134"/>
      </rPr>
      <t>关联数据项：个人基础信息表</t>
    </r>
    <r>
      <rPr>
        <sz val="12"/>
        <rFont val="Times New Roman"/>
        <charset val="134"/>
      </rPr>
      <t>.</t>
    </r>
    <r>
      <rPr>
        <sz val="12"/>
        <rFont val="宋体"/>
        <charset val="134"/>
      </rPr>
      <t>客户统一编号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对公客户信息表</t>
    </r>
    <r>
      <rPr>
        <sz val="12"/>
        <rFont val="Times New Roman"/>
        <charset val="134"/>
      </rPr>
      <t>.</t>
    </r>
    <r>
      <rPr>
        <sz val="12"/>
        <rFont val="宋体"/>
        <charset val="134"/>
      </rPr>
      <t>客户统一编号</t>
    </r>
  </si>
  <si>
    <r>
      <rPr>
        <sz val="12"/>
        <rFont val="宋体"/>
        <charset val="134"/>
      </rPr>
      <t>承租人名称</t>
    </r>
  </si>
  <si>
    <t>CZRMC</t>
  </si>
  <si>
    <r>
      <rPr>
        <sz val="12"/>
        <rFont val="宋体"/>
        <charset val="134"/>
      </rPr>
      <t>如果承租人为个人客户，则为隐私，银行机构变形，变形规则见《采集技术接口说明》。如果承租人人为对公客户，则为非隐私，不做变形。</t>
    </r>
  </si>
  <si>
    <r>
      <rPr>
        <sz val="12"/>
        <rFont val="宋体"/>
        <charset val="134"/>
      </rPr>
      <t>承租人账号</t>
    </r>
  </si>
  <si>
    <t>CZRZH</t>
  </si>
  <si>
    <r>
      <rPr>
        <sz val="12"/>
        <rFont val="宋体"/>
        <charset val="134"/>
      </rPr>
      <t>承租人开户行名称</t>
    </r>
  </si>
  <si>
    <t>CZRKHHMC</t>
  </si>
  <si>
    <r>
      <rPr>
        <sz val="12"/>
        <rFont val="宋体"/>
        <charset val="134"/>
      </rPr>
      <t>租赁公司名称</t>
    </r>
  </si>
  <si>
    <t>ZLGSMC</t>
  </si>
  <si>
    <r>
      <rPr>
        <sz val="12"/>
        <rFont val="宋体"/>
        <charset val="134"/>
      </rPr>
      <t>合作融资租赁公司的全称。</t>
    </r>
  </si>
  <si>
    <r>
      <rPr>
        <sz val="12"/>
        <rFont val="宋体"/>
        <charset val="134"/>
      </rPr>
      <t>租赁公司证件类别</t>
    </r>
  </si>
  <si>
    <t>ZLGSZJLB</t>
  </si>
  <si>
    <r>
      <rPr>
        <sz val="12"/>
        <rFont val="宋体"/>
        <charset val="134"/>
      </rPr>
      <t>租赁公司证件号码</t>
    </r>
  </si>
  <si>
    <t>ZLGSZJHM</t>
  </si>
  <si>
    <r>
      <rPr>
        <sz val="12"/>
        <rFont val="宋体"/>
        <charset val="134"/>
      </rPr>
      <t>填写本行收取客户的手续费币种，如果没有允许为空。</t>
    </r>
  </si>
  <si>
    <r>
      <rPr>
        <sz val="12"/>
        <rFont val="宋体"/>
        <charset val="134"/>
      </rPr>
      <t>多个保证金币种统一按一种币种转换合计报送。如没有保证金，填写默认值</t>
    </r>
    <r>
      <rPr>
        <sz val="12"/>
        <rFont val="Times New Roman"/>
        <charset val="134"/>
      </rPr>
      <t>0</t>
    </r>
    <r>
      <rPr>
        <sz val="12"/>
        <rFont val="宋体"/>
        <charset val="134"/>
      </rPr>
      <t>。</t>
    </r>
  </si>
  <si>
    <r>
      <rPr>
        <sz val="12"/>
        <rFont val="宋体"/>
        <charset val="134"/>
      </rPr>
      <t>多个保证金币种统一按一种币种转换合计报送。</t>
    </r>
  </si>
  <si>
    <r>
      <rPr>
        <sz val="12"/>
        <rFont val="宋体"/>
        <charset val="134"/>
      </rPr>
      <t>填报首付金额。如没有首付金额，填写默认值</t>
    </r>
    <r>
      <rPr>
        <sz val="12"/>
        <rFont val="Times New Roman"/>
        <charset val="134"/>
      </rPr>
      <t>0</t>
    </r>
    <r>
      <rPr>
        <sz val="12"/>
        <rFont val="宋体"/>
        <charset val="134"/>
      </rPr>
      <t>。多个保证金币种统一按一种币种转换合计报送。</t>
    </r>
  </si>
  <si>
    <r>
      <rPr>
        <sz val="12"/>
        <rFont val="宋体"/>
        <charset val="134"/>
      </rPr>
      <t>客户缴纳保证金的实际账号，填报外部账号。若没有填空。多个保证金币种统一按一种币种转换合计报送。</t>
    </r>
  </si>
  <si>
    <r>
      <rPr>
        <sz val="12"/>
        <rFont val="宋体"/>
        <charset val="134"/>
      </rPr>
      <t>垫款登记表</t>
    </r>
  </si>
  <si>
    <r>
      <rPr>
        <sz val="12"/>
        <rFont val="宋体"/>
        <charset val="134"/>
      </rPr>
      <t>指经办该笔业务的银行机构。关联数据项：机构信息表</t>
    </r>
    <r>
      <rPr>
        <sz val="12"/>
        <rFont val="Times New Roman"/>
        <charset val="134"/>
      </rPr>
      <t>.</t>
    </r>
    <r>
      <rPr>
        <sz val="12"/>
        <rFont val="宋体"/>
        <charset val="134"/>
      </rPr>
      <t>内部机构号</t>
    </r>
  </si>
  <si>
    <r>
      <rPr>
        <sz val="12"/>
        <rFont val="宋体"/>
        <charset val="134"/>
      </rPr>
      <t>指经办该笔业务的银行机构。关联数据项：机构信息表</t>
    </r>
    <r>
      <rPr>
        <sz val="12"/>
        <rFont val="Times New Roman"/>
        <charset val="134"/>
      </rPr>
      <t>.</t>
    </r>
    <r>
      <rPr>
        <sz val="12"/>
        <rFont val="宋体"/>
        <charset val="134"/>
      </rPr>
      <t>银行机构名称</t>
    </r>
  </si>
  <si>
    <t>DKLX</t>
  </si>
  <si>
    <r>
      <rPr>
        <sz val="12"/>
        <rFont val="宋体"/>
        <charset val="134"/>
      </rPr>
      <t>以枚举类型填报，如无法以枚举类型填报的，以</t>
    </r>
    <r>
      <rPr>
        <sz val="12"/>
        <rFont val="Times New Roman"/>
        <charset val="134"/>
      </rPr>
      <t>“</t>
    </r>
    <r>
      <rPr>
        <sz val="12"/>
        <rFont val="宋体"/>
        <charset val="134"/>
      </rPr>
      <t>其他</t>
    </r>
    <r>
      <rPr>
        <sz val="12"/>
        <rFont val="Times New Roman"/>
        <charset val="134"/>
      </rPr>
      <t>-XX”</t>
    </r>
    <r>
      <rPr>
        <sz val="12"/>
        <rFont val="宋体"/>
        <charset val="134"/>
      </rPr>
      <t>填报，其中</t>
    </r>
    <r>
      <rPr>
        <sz val="12"/>
        <rFont val="Times New Roman"/>
        <charset val="134"/>
      </rPr>
      <t>“XX”</t>
    </r>
    <r>
      <rPr>
        <sz val="12"/>
        <rFont val="宋体"/>
        <charset val="134"/>
      </rPr>
      <t>为银行自定义垫款类型。</t>
    </r>
  </si>
  <si>
    <r>
      <rPr>
        <sz val="12"/>
        <rFont val="宋体"/>
        <charset val="134"/>
      </rPr>
      <t>原合同编号</t>
    </r>
  </si>
  <si>
    <t>YHTBH</t>
  </si>
  <si>
    <r>
      <rPr>
        <sz val="12"/>
        <rFont val="Times New Roman"/>
        <charset val="134"/>
      </rPr>
      <t>PK</t>
    </r>
    <r>
      <rPr>
        <sz val="12"/>
        <rFont val="宋体"/>
        <charset val="134"/>
      </rPr>
      <t>。票据号码，信用证合同编号，保函合同编号，其他能唯一识别具体业务的号码。原合同号有多个的时候按多条报送。关联数据项：票据号码（票据出票信息、票据贴现、票据转贴现）</t>
    </r>
    <r>
      <rPr>
        <sz val="12"/>
        <rFont val="Times New Roman"/>
        <charset val="134"/>
      </rPr>
      <t xml:space="preserve"> or </t>
    </r>
    <r>
      <rPr>
        <sz val="12"/>
        <rFont val="宋体"/>
        <charset val="134"/>
      </rPr>
      <t>保函与信用证表</t>
    </r>
    <r>
      <rPr>
        <sz val="12"/>
        <rFont val="Times New Roman"/>
        <charset val="134"/>
      </rPr>
      <t>.</t>
    </r>
    <r>
      <rPr>
        <sz val="12"/>
        <rFont val="宋体"/>
        <charset val="134"/>
      </rPr>
      <t>合同编号</t>
    </r>
  </si>
  <si>
    <r>
      <rPr>
        <sz val="12"/>
        <rFont val="宋体"/>
        <charset val="134"/>
      </rPr>
      <t>可能与原币种不一致</t>
    </r>
  </si>
  <si>
    <r>
      <rPr>
        <sz val="12"/>
        <rFont val="宋体"/>
        <charset val="134"/>
      </rPr>
      <t>垫款金额</t>
    </r>
  </si>
  <si>
    <r>
      <rPr>
        <sz val="12"/>
        <rFont val="宋体"/>
        <charset val="134"/>
      </rPr>
      <t>垫款本金金额。</t>
    </r>
  </si>
  <si>
    <r>
      <rPr>
        <sz val="12"/>
        <rFont val="宋体"/>
        <charset val="134"/>
      </rPr>
      <t>垫款余额</t>
    </r>
  </si>
  <si>
    <r>
      <rPr>
        <sz val="12"/>
        <rFont val="宋体"/>
        <charset val="134"/>
      </rPr>
      <t>垫款本金余额（不含罚息）。</t>
    </r>
  </si>
  <si>
    <r>
      <rPr>
        <sz val="12"/>
        <rFont val="宋体"/>
        <charset val="134"/>
      </rPr>
      <t>指产生该笔垫款的客户名称。如果是个人客户，则为隐私，银行机构变形，变形规则见《采集技术接口说明》。其余情况则为非隐私，不做变形。</t>
    </r>
  </si>
  <si>
    <r>
      <rPr>
        <sz val="12"/>
        <rFont val="宋体"/>
        <charset val="134"/>
      </rPr>
      <t>垫款日期</t>
    </r>
  </si>
  <si>
    <t>DKRQ</t>
  </si>
  <si>
    <r>
      <rPr>
        <sz val="12"/>
        <rFont val="宋体"/>
        <charset val="134"/>
      </rPr>
      <t>互联网贷款合作协议表</t>
    </r>
  </si>
  <si>
    <r>
      <rPr>
        <sz val="12"/>
        <rFont val="宋体"/>
        <charset val="134"/>
      </rPr>
      <t>协议签订机构金融许可证号。</t>
    </r>
  </si>
  <si>
    <r>
      <rPr>
        <sz val="12"/>
        <rFont val="宋体"/>
        <charset val="134"/>
      </rPr>
      <t>协议签订机构内部机构号。关联数据项：机构信息表</t>
    </r>
    <r>
      <rPr>
        <sz val="12"/>
        <rFont val="Times New Roman"/>
        <charset val="134"/>
      </rPr>
      <t>.</t>
    </r>
    <r>
      <rPr>
        <sz val="12"/>
        <rFont val="宋体"/>
        <charset val="134"/>
      </rPr>
      <t>内部机构号</t>
    </r>
  </si>
  <si>
    <r>
      <rPr>
        <sz val="12"/>
        <rFont val="宋体"/>
        <charset val="134"/>
      </rPr>
      <t>协议签订机构名称。关联数据项：机构信息表</t>
    </r>
    <r>
      <rPr>
        <sz val="12"/>
        <rFont val="Times New Roman"/>
        <charset val="134"/>
      </rPr>
      <t>.</t>
    </r>
    <r>
      <rPr>
        <sz val="12"/>
        <rFont val="宋体"/>
        <charset val="134"/>
      </rPr>
      <t>银行机构名称</t>
    </r>
  </si>
  <si>
    <r>
      <rPr>
        <sz val="12"/>
        <rFont val="宋体"/>
        <charset val="134"/>
      </rPr>
      <t>合作方名称</t>
    </r>
  </si>
  <si>
    <t>HZFMC</t>
  </si>
  <si>
    <r>
      <rPr>
        <sz val="12"/>
        <rFont val="宋体"/>
        <charset val="134"/>
      </rPr>
      <t>非隐私，不做变形。境内涉密机构的客户名称填报为</t>
    </r>
    <r>
      <rPr>
        <sz val="12"/>
        <rFont val="Times New Roman"/>
        <charset val="134"/>
      </rPr>
      <t>“*********”</t>
    </r>
    <r>
      <rPr>
        <sz val="12"/>
        <rFont val="宋体"/>
        <charset val="134"/>
      </rPr>
      <t>。</t>
    </r>
  </si>
  <si>
    <r>
      <rPr>
        <sz val="12"/>
        <rFont val="宋体"/>
        <charset val="134"/>
      </rPr>
      <t>合作方证件类别</t>
    </r>
  </si>
  <si>
    <t>HZFZJLB</t>
  </si>
  <si>
    <r>
      <rPr>
        <sz val="12"/>
        <rFont val="宋体"/>
        <charset val="134"/>
      </rPr>
      <t>对于对公客户：已登记统一社会信用代码的，填</t>
    </r>
    <r>
      <rPr>
        <sz val="12"/>
        <rFont val="Times New Roman"/>
        <charset val="134"/>
      </rPr>
      <t>18</t>
    </r>
    <r>
      <rPr>
        <sz val="12"/>
        <rFont val="宋体"/>
        <charset val="134"/>
      </rPr>
      <t>位统一社会信用代码；未登记统一社会信用代码的，选择其他方式填写。</t>
    </r>
  </si>
  <si>
    <r>
      <rPr>
        <sz val="12"/>
        <rFont val="宋体"/>
        <charset val="134"/>
      </rPr>
      <t>合作方证件号码</t>
    </r>
  </si>
  <si>
    <t>HZFZJHM</t>
  </si>
  <si>
    <r>
      <rPr>
        <sz val="12"/>
        <rFont val="Times New Roman"/>
        <charset val="134"/>
      </rPr>
      <t>PK</t>
    </r>
    <r>
      <rPr>
        <sz val="12"/>
        <rFont val="宋体"/>
        <charset val="134"/>
      </rPr>
      <t>。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r>
  </si>
  <si>
    <r>
      <rPr>
        <sz val="12"/>
        <rFont val="宋体"/>
        <charset val="134"/>
      </rPr>
      <t>合作方类型</t>
    </r>
  </si>
  <si>
    <t>HZFLX</t>
  </si>
  <si>
    <r>
      <rPr>
        <sz val="12"/>
        <rFont val="宋体"/>
        <charset val="134"/>
      </rPr>
      <t>合作方式</t>
    </r>
  </si>
  <si>
    <t>HZFS</t>
  </si>
  <si>
    <r>
      <rPr>
        <sz val="12"/>
        <rFont val="宋体"/>
        <charset val="134"/>
      </rPr>
      <t>协议起始日期</t>
    </r>
  </si>
  <si>
    <t>XYQSRQ</t>
  </si>
  <si>
    <r>
      <rPr>
        <sz val="12"/>
        <rFont val="宋体"/>
        <charset val="134"/>
      </rPr>
      <t>合作协议约定的起始日期。</t>
    </r>
  </si>
  <si>
    <r>
      <rPr>
        <sz val="12"/>
        <rFont val="宋体"/>
        <charset val="134"/>
      </rPr>
      <t>协议到期日期</t>
    </r>
  </si>
  <si>
    <t>XYDQRQ</t>
  </si>
  <si>
    <r>
      <rPr>
        <sz val="12"/>
        <rFont val="宋体"/>
        <charset val="134"/>
      </rPr>
      <t>合作协议约定的到期日期。</t>
    </r>
  </si>
  <si>
    <r>
      <rPr>
        <sz val="12"/>
        <rFont val="宋体"/>
        <charset val="134"/>
      </rPr>
      <t>实际终止日期</t>
    </r>
  </si>
  <si>
    <t>SJZZRQ</t>
  </si>
  <si>
    <r>
      <rPr>
        <sz val="12"/>
        <rFont val="宋体"/>
        <charset val="134"/>
      </rPr>
      <t>合作关系终止日期。未终止的填</t>
    </r>
    <r>
      <rPr>
        <sz val="12"/>
        <rFont val="Times New Roman"/>
        <charset val="134"/>
      </rPr>
      <t>99991231</t>
    </r>
    <r>
      <rPr>
        <sz val="12"/>
        <rFont val="宋体"/>
        <charset val="134"/>
      </rPr>
      <t>。</t>
    </r>
  </si>
  <si>
    <r>
      <rPr>
        <sz val="12"/>
        <rFont val="宋体"/>
        <charset val="134"/>
      </rPr>
      <t>合作方注册地代码</t>
    </r>
  </si>
  <si>
    <r>
      <rPr>
        <sz val="12"/>
        <rFont val="宋体"/>
        <charset val="134"/>
      </rPr>
      <t>合作方工商登记注册地的行政区划代码。</t>
    </r>
  </si>
  <si>
    <r>
      <rPr>
        <sz val="12"/>
        <rFont val="宋体"/>
        <charset val="134"/>
      </rPr>
      <t>限制标志</t>
    </r>
  </si>
  <si>
    <r>
      <rPr>
        <sz val="12"/>
        <rFont val="宋体"/>
        <charset val="134"/>
      </rPr>
      <t>合作方是否被采取限制合作、降低评级、禁止准入、违约诉讼等有关负面措施，或产生其他影响后续合作的不利因素。</t>
    </r>
  </si>
  <si>
    <r>
      <rPr>
        <sz val="12"/>
        <rFont val="宋体"/>
        <charset val="134"/>
      </rPr>
      <t>协议状态</t>
    </r>
  </si>
  <si>
    <t>XYZT</t>
  </si>
  <si>
    <r>
      <rPr>
        <sz val="14"/>
        <rFont val="宋体"/>
        <charset val="134"/>
      </rPr>
      <t>表内外担保信息</t>
    </r>
  </si>
  <si>
    <r>
      <rPr>
        <sz val="12"/>
        <rFont val="宋体"/>
        <charset val="134"/>
      </rPr>
      <t>表内外业务担保合同表</t>
    </r>
  </si>
  <si>
    <r>
      <rPr>
        <sz val="12"/>
        <rFont val="宋体"/>
        <charset val="134"/>
      </rPr>
      <t>被担保合同号</t>
    </r>
  </si>
  <si>
    <t>BDBHTH</t>
  </si>
  <si>
    <r>
      <rPr>
        <sz val="12"/>
        <rFont val="Times New Roman"/>
        <charset val="134"/>
      </rPr>
      <t>PK</t>
    </r>
    <r>
      <rPr>
        <sz val="12"/>
        <rFont val="宋体"/>
        <charset val="134"/>
      </rPr>
      <t>。填报本合同担保贷款的合同号。当被担保业务类型为表内信贷时，需关联数据项：信贷合同表</t>
    </r>
    <r>
      <rPr>
        <sz val="12"/>
        <rFont val="Times New Roman"/>
        <charset val="134"/>
      </rPr>
      <t>.</t>
    </r>
    <r>
      <rPr>
        <sz val="12"/>
        <rFont val="宋体"/>
        <charset val="134"/>
      </rPr>
      <t>信贷合同号。</t>
    </r>
  </si>
  <si>
    <t>BDBYWLX</t>
  </si>
  <si>
    <r>
      <rPr>
        <sz val="12"/>
        <rFont val="宋体"/>
        <charset val="134"/>
      </rPr>
      <t>担保合同号</t>
    </r>
  </si>
  <si>
    <t>DBHTH</t>
  </si>
  <si>
    <r>
      <rPr>
        <sz val="12"/>
        <rFont val="Times New Roman"/>
        <charset val="134"/>
      </rPr>
      <t>PK</t>
    </r>
    <r>
      <rPr>
        <sz val="12"/>
        <rFont val="宋体"/>
        <charset val="134"/>
      </rPr>
      <t>。填报本担保合同的编号。</t>
    </r>
  </si>
  <si>
    <t>DBHTLX</t>
  </si>
  <si>
    <r>
      <rPr>
        <sz val="12"/>
        <rFont val="宋体"/>
        <charset val="134"/>
      </rPr>
      <t>担保币种</t>
    </r>
  </si>
  <si>
    <t>DBBZ</t>
  </si>
  <si>
    <r>
      <rPr>
        <sz val="12"/>
        <rFont val="宋体"/>
        <charset val="134"/>
      </rPr>
      <t>填报担保合同的币种，非被担保贷款的币种。</t>
    </r>
  </si>
  <si>
    <r>
      <rPr>
        <sz val="12"/>
        <rFont val="宋体"/>
        <charset val="134"/>
      </rPr>
      <t>担保金额</t>
    </r>
  </si>
  <si>
    <t>DBJE</t>
  </si>
  <si>
    <r>
      <rPr>
        <sz val="12"/>
        <rFont val="宋体"/>
        <charset val="134"/>
      </rPr>
      <t>对于一般担保合同，报送一般担保合同金额；对于最高额担保合同，报送最高额担保合同金额。</t>
    </r>
  </si>
  <si>
    <r>
      <rPr>
        <sz val="12"/>
        <rFont val="宋体"/>
        <charset val="134"/>
      </rPr>
      <t>担保起始日期</t>
    </r>
  </si>
  <si>
    <t>DBQSRQ</t>
  </si>
  <si>
    <r>
      <rPr>
        <sz val="12"/>
        <rFont val="宋体"/>
        <charset val="134"/>
      </rPr>
      <t>担保关系开始的日期。</t>
    </r>
  </si>
  <si>
    <r>
      <rPr>
        <sz val="12"/>
        <rFont val="宋体"/>
        <charset val="134"/>
      </rPr>
      <t>担保到期日期</t>
    </r>
  </si>
  <si>
    <t>DBDQRQ</t>
  </si>
  <si>
    <r>
      <rPr>
        <sz val="12"/>
        <rFont val="宋体"/>
        <charset val="134"/>
      </rPr>
      <t>担保关系解除的日期。</t>
    </r>
  </si>
  <si>
    <r>
      <rPr>
        <sz val="12"/>
        <rFont val="宋体"/>
        <charset val="134"/>
      </rPr>
      <t>经办人工号</t>
    </r>
  </si>
  <si>
    <t>JBRGH</t>
  </si>
  <si>
    <r>
      <rPr>
        <sz val="12"/>
        <rFont val="宋体"/>
        <charset val="134"/>
      </rPr>
      <t>建立担保合同信息的员工号。自动办理的员工号允许为空。关联数据项：员工表</t>
    </r>
    <r>
      <rPr>
        <sz val="12"/>
        <rFont val="Times New Roman"/>
        <charset val="134"/>
      </rPr>
      <t>.</t>
    </r>
    <r>
      <rPr>
        <sz val="12"/>
        <rFont val="宋体"/>
        <charset val="134"/>
      </rPr>
      <t>员工号。</t>
    </r>
  </si>
  <si>
    <t>DBHTZT</t>
  </si>
  <si>
    <r>
      <rPr>
        <sz val="12"/>
        <rFont val="宋体"/>
        <charset val="134"/>
      </rPr>
      <t>数据项代码、数据元说明</t>
    </r>
  </si>
  <si>
    <r>
      <rPr>
        <sz val="12"/>
        <rFont val="宋体"/>
        <charset val="134"/>
      </rPr>
      <t>表内外业务担保人</t>
    </r>
  </si>
  <si>
    <r>
      <rPr>
        <sz val="12"/>
        <rFont val="Times New Roman"/>
        <charset val="134"/>
      </rPr>
      <t>PK</t>
    </r>
    <r>
      <rPr>
        <sz val="12"/>
        <rFont val="宋体"/>
        <charset val="134"/>
      </rPr>
      <t>。关联数据项：表内外业务担保合同</t>
    </r>
    <r>
      <rPr>
        <sz val="12"/>
        <rFont val="Times New Roman"/>
        <charset val="134"/>
      </rPr>
      <t>.</t>
    </r>
    <r>
      <rPr>
        <sz val="12"/>
        <rFont val="宋体"/>
        <charset val="134"/>
      </rPr>
      <t>担保合同号。</t>
    </r>
  </si>
  <si>
    <t>BZRLB</t>
  </si>
  <si>
    <r>
      <rPr>
        <sz val="12"/>
        <rFont val="宋体"/>
        <charset val="134"/>
      </rPr>
      <t>担保人名称</t>
    </r>
  </si>
  <si>
    <t>BZRMC</t>
  </si>
  <si>
    <r>
      <rPr>
        <sz val="12"/>
        <rFont val="Times New Roman"/>
        <charset val="134"/>
      </rPr>
      <t>PK</t>
    </r>
    <r>
      <rPr>
        <sz val="12"/>
        <rFont val="宋体"/>
        <charset val="134"/>
      </rPr>
      <t>。如果担保人为个人，则为隐私，银行机构变形，变形规则见《采集技术接口说明》。其他情况，则为非隐私，不做变形。</t>
    </r>
  </si>
  <si>
    <r>
      <rPr>
        <sz val="12"/>
        <rFont val="宋体"/>
        <charset val="134"/>
      </rPr>
      <t>担保人证件类别</t>
    </r>
  </si>
  <si>
    <r>
      <rPr>
        <sz val="12"/>
        <rFont val="宋体"/>
        <charset val="134"/>
      </rPr>
      <t>不可为空。如未收集证件号码，可以填写为其他任意能识别担保人的编号</t>
    </r>
    <r>
      <rPr>
        <sz val="12"/>
        <rFont val="Times New Roman"/>
        <charset val="134"/>
      </rPr>
      <t>,</t>
    </r>
    <r>
      <rPr>
        <sz val="12"/>
        <rFont val="宋体"/>
        <charset val="134"/>
      </rPr>
      <t>如</t>
    </r>
    <r>
      <rPr>
        <sz val="12"/>
        <rFont val="Times New Roman"/>
        <charset val="134"/>
      </rPr>
      <t>“</t>
    </r>
    <r>
      <rPr>
        <sz val="12"/>
        <rFont val="宋体"/>
        <charset val="134"/>
      </rPr>
      <t>其他</t>
    </r>
    <r>
      <rPr>
        <sz val="12"/>
        <rFont val="Times New Roman"/>
        <charset val="134"/>
      </rPr>
      <t>-</t>
    </r>
    <r>
      <rPr>
        <sz val="12"/>
        <rFont val="宋体"/>
        <charset val="134"/>
      </rPr>
      <t>客户编号</t>
    </r>
    <r>
      <rPr>
        <sz val="12"/>
        <rFont val="Times New Roman"/>
        <charset val="134"/>
      </rPr>
      <t>”</t>
    </r>
    <r>
      <rPr>
        <sz val="12"/>
        <rFont val="宋体"/>
        <charset val="134"/>
      </rPr>
      <t>。</t>
    </r>
  </si>
  <si>
    <r>
      <rPr>
        <sz val="12"/>
        <rFont val="宋体"/>
        <charset val="134"/>
      </rPr>
      <t>担保人证件号码</t>
    </r>
  </si>
  <si>
    <r>
      <rPr>
        <sz val="12"/>
        <rFont val="宋体"/>
        <charset val="134"/>
      </rPr>
      <t>担保人净资产币种</t>
    </r>
  </si>
  <si>
    <t>DBRJZCBZ</t>
  </si>
  <si>
    <r>
      <rPr>
        <sz val="12"/>
        <rFont val="宋体"/>
        <charset val="134"/>
      </rPr>
      <t>按实际情况填写，如未收集担保人净资产允许为空。</t>
    </r>
  </si>
  <si>
    <r>
      <rPr>
        <sz val="12"/>
        <rFont val="宋体"/>
        <charset val="134"/>
      </rPr>
      <t>担保人净资产</t>
    </r>
  </si>
  <si>
    <t>DBRJZC</t>
  </si>
  <si>
    <r>
      <rPr>
        <sz val="12"/>
        <rFont val="宋体"/>
        <charset val="134"/>
      </rPr>
      <t>表内外业务抵质押物</t>
    </r>
  </si>
  <si>
    <r>
      <rPr>
        <sz val="12"/>
        <rFont val="Times New Roman"/>
        <charset val="134"/>
      </rPr>
      <t>PK</t>
    </r>
    <r>
      <rPr>
        <sz val="12"/>
        <rFont val="宋体"/>
        <charset val="134"/>
      </rPr>
      <t>。关联数据项：表内外业务担保合同</t>
    </r>
    <r>
      <rPr>
        <sz val="12"/>
        <rFont val="Times New Roman"/>
        <charset val="134"/>
      </rPr>
      <t>.</t>
    </r>
    <r>
      <rPr>
        <sz val="12"/>
        <rFont val="宋体"/>
        <charset val="134"/>
      </rPr>
      <t>担保合同号</t>
    </r>
  </si>
  <si>
    <r>
      <rPr>
        <sz val="12"/>
        <rFont val="宋体"/>
        <charset val="134"/>
      </rPr>
      <t>押品编号</t>
    </r>
  </si>
  <si>
    <t>YPBH</t>
  </si>
  <si>
    <r>
      <rPr>
        <sz val="12"/>
        <rFont val="宋体"/>
        <charset val="134"/>
      </rPr>
      <t>押品类型</t>
    </r>
  </si>
  <si>
    <t>YPLX</t>
  </si>
  <si>
    <r>
      <rPr>
        <sz val="12"/>
        <rFont val="宋体"/>
        <charset val="134"/>
      </rPr>
      <t>与</t>
    </r>
    <r>
      <rPr>
        <sz val="12"/>
        <rFont val="Times New Roman"/>
        <charset val="134"/>
      </rPr>
      <t>1104</t>
    </r>
    <r>
      <rPr>
        <sz val="12"/>
        <rFont val="宋体"/>
        <charset val="134"/>
      </rPr>
      <t>报表</t>
    </r>
    <r>
      <rPr>
        <sz val="12"/>
        <rFont val="Times New Roman"/>
        <charset val="134"/>
      </rPr>
      <t>G13</t>
    </r>
    <r>
      <rPr>
        <sz val="12"/>
        <rFont val="宋体"/>
        <charset val="134"/>
      </rPr>
      <t>《押品情况统计表》分类规则一致。保证金无需在本表填报，存单质押填报为</t>
    </r>
    <r>
      <rPr>
        <sz val="12"/>
        <rFont val="Times New Roman"/>
        <charset val="134"/>
      </rPr>
      <t xml:space="preserve"> 1.1</t>
    </r>
    <r>
      <rPr>
        <sz val="12"/>
        <rFont val="宋体"/>
        <charset val="134"/>
      </rPr>
      <t>现金及等价物。</t>
    </r>
  </si>
  <si>
    <r>
      <rPr>
        <sz val="12"/>
        <rFont val="宋体"/>
        <charset val="134"/>
      </rPr>
      <t>押品名称</t>
    </r>
  </si>
  <si>
    <t>YPMC</t>
  </si>
  <si>
    <t>DZYWZT</t>
  </si>
  <si>
    <r>
      <rPr>
        <sz val="12"/>
        <rFont val="宋体"/>
        <charset val="134"/>
      </rPr>
      <t>起始估值</t>
    </r>
  </si>
  <si>
    <t>PGJZ</t>
  </si>
  <si>
    <r>
      <rPr>
        <sz val="12"/>
        <rFont val="宋体"/>
        <charset val="134"/>
      </rPr>
      <t>填报银行对抵质押品首次认定价值。</t>
    </r>
  </si>
  <si>
    <r>
      <rPr>
        <sz val="12"/>
        <rFont val="宋体"/>
        <charset val="134"/>
      </rPr>
      <t>最新估值</t>
    </r>
  </si>
  <si>
    <t>YXRDJZ</t>
  </si>
  <si>
    <r>
      <rPr>
        <sz val="12"/>
        <rFont val="宋体"/>
        <charset val="134"/>
      </rPr>
      <t>填报距采集日期最近一次银行认定的押品价值。</t>
    </r>
  </si>
  <si>
    <r>
      <rPr>
        <sz val="12"/>
        <rFont val="宋体"/>
        <charset val="134"/>
      </rPr>
      <t>已抵押价值</t>
    </r>
  </si>
  <si>
    <t>YDYJZ</t>
  </si>
  <si>
    <r>
      <rPr>
        <sz val="12"/>
        <rFont val="宋体"/>
        <charset val="134"/>
      </rPr>
      <t>在办理该笔信贷业务前，如已进行过抵押业务</t>
    </r>
    <r>
      <rPr>
        <sz val="12"/>
        <rFont val="Times New Roman"/>
        <charset val="134"/>
      </rPr>
      <t>,</t>
    </r>
    <r>
      <rPr>
        <sz val="12"/>
        <rFont val="宋体"/>
        <charset val="134"/>
      </rPr>
      <t>填报押品已经抵押的价值，当填报机构为第一顺位时，已抵押价值填报为</t>
    </r>
    <r>
      <rPr>
        <sz val="12"/>
        <rFont val="Times New Roman"/>
        <charset val="134"/>
      </rPr>
      <t>0</t>
    </r>
    <r>
      <rPr>
        <sz val="12"/>
        <rFont val="宋体"/>
        <charset val="134"/>
      </rPr>
      <t>。</t>
    </r>
  </si>
  <si>
    <r>
      <rPr>
        <sz val="12"/>
        <rFont val="宋体"/>
        <charset val="134"/>
      </rPr>
      <t>抵质押率</t>
    </r>
  </si>
  <si>
    <t>DZYL</t>
  </si>
  <si>
    <r>
      <rPr>
        <sz val="12"/>
        <rFont val="宋体"/>
        <charset val="134"/>
      </rPr>
      <t>根据《商业银行押品管理指引》规定：抵质押率＝押品担保本金余额</t>
    </r>
    <r>
      <rPr>
        <sz val="12"/>
        <rFont val="Times New Roman"/>
        <charset val="134"/>
      </rPr>
      <t>÷</t>
    </r>
    <r>
      <rPr>
        <sz val="12"/>
        <rFont val="宋体"/>
        <charset val="134"/>
      </rPr>
      <t>押品估值</t>
    </r>
    <r>
      <rPr>
        <sz val="12"/>
        <rFont val="Times New Roman"/>
        <charset val="134"/>
      </rPr>
      <t>×100%</t>
    </r>
    <r>
      <rPr>
        <sz val="12"/>
        <rFont val="宋体"/>
        <charset val="134"/>
      </rPr>
      <t>。按合同内整体押品计算的抵质押率，不是单件押品计算出来的抵质押率。</t>
    </r>
  </si>
  <si>
    <t>CZQSW</t>
  </si>
  <si>
    <r>
      <rPr>
        <sz val="12"/>
        <rFont val="宋体"/>
        <charset val="134"/>
      </rPr>
      <t>指贷款出现风险或不良时，银行具有处置抵质押品的先后顺位。</t>
    </r>
  </si>
  <si>
    <r>
      <rPr>
        <sz val="12"/>
        <rFont val="宋体"/>
        <charset val="134"/>
      </rPr>
      <t>押品所有人名称</t>
    </r>
  </si>
  <si>
    <t>YPSYRMC</t>
  </si>
  <si>
    <r>
      <rPr>
        <sz val="12"/>
        <rFont val="宋体"/>
        <charset val="134"/>
      </rPr>
      <t>质或抵押物所有权人的名称。对应多个所有权人时，只需报送一个所有权人，可以取占有份额最大的报送。如果所有权人为个人，则为隐私，银行机构变形，变形规则见《采集技术接口说明》。其他情况则为非隐私，不做变形。</t>
    </r>
  </si>
  <si>
    <r>
      <rPr>
        <sz val="12"/>
        <rFont val="宋体"/>
        <charset val="134"/>
      </rPr>
      <t>押品所有人证件类别</t>
    </r>
  </si>
  <si>
    <t>YPSYRZJLB</t>
  </si>
  <si>
    <r>
      <rPr>
        <sz val="12"/>
        <rFont val="宋体"/>
        <charset val="134"/>
      </rPr>
      <t>押品所有人证件号码</t>
    </r>
  </si>
  <si>
    <t>YPSYRZJHM</t>
  </si>
  <si>
    <t>ZYPZHM</t>
  </si>
  <si>
    <r>
      <rPr>
        <sz val="12"/>
        <rFont val="宋体"/>
        <charset val="134"/>
      </rPr>
      <t>如果没有票证号码可以为空。多个票证用英文半角分号隔开报送。如长度过长截断可用</t>
    </r>
    <r>
      <rPr>
        <sz val="12"/>
        <rFont val="Times New Roman"/>
        <charset val="134"/>
      </rPr>
      <t>“</t>
    </r>
    <r>
      <rPr>
        <sz val="12"/>
        <rFont val="宋体"/>
        <charset val="134"/>
      </rPr>
      <t>等</t>
    </r>
    <r>
      <rPr>
        <sz val="12"/>
        <rFont val="Times New Roman"/>
        <charset val="134"/>
      </rPr>
      <t>”</t>
    </r>
    <r>
      <rPr>
        <sz val="12"/>
        <rFont val="宋体"/>
        <charset val="134"/>
      </rPr>
      <t>进行省略。</t>
    </r>
  </si>
  <si>
    <r>
      <rPr>
        <sz val="12"/>
        <rFont val="宋体"/>
        <charset val="134"/>
      </rPr>
      <t>质押票证签发机构</t>
    </r>
  </si>
  <si>
    <t>ZYPZQFJG</t>
  </si>
  <si>
    <r>
      <rPr>
        <sz val="12"/>
        <rFont val="宋体"/>
        <charset val="134"/>
      </rPr>
      <t>如果没有票证该项可以为空。多个签发机构用英文半角分号隔开报送。如长度过长截断可用</t>
    </r>
    <r>
      <rPr>
        <sz val="12"/>
        <rFont val="Times New Roman"/>
        <charset val="134"/>
      </rPr>
      <t>“</t>
    </r>
    <r>
      <rPr>
        <sz val="12"/>
        <rFont val="宋体"/>
        <charset val="134"/>
      </rPr>
      <t>等</t>
    </r>
    <r>
      <rPr>
        <sz val="12"/>
        <rFont val="Times New Roman"/>
        <charset val="134"/>
      </rPr>
      <t>”</t>
    </r>
    <r>
      <rPr>
        <sz val="12"/>
        <rFont val="宋体"/>
        <charset val="134"/>
      </rPr>
      <t>进行省略。</t>
    </r>
  </si>
  <si>
    <t>QZDJHM</t>
  </si>
  <si>
    <r>
      <rPr>
        <sz val="12"/>
        <rFont val="宋体"/>
        <charset val="134"/>
      </rPr>
      <t>对于一手房业务，房屋暂未办理权证的情况，可以填报购房合同号。如长度过长截断可用</t>
    </r>
    <r>
      <rPr>
        <sz val="12"/>
        <rFont val="Times New Roman"/>
        <charset val="134"/>
      </rPr>
      <t>“</t>
    </r>
    <r>
      <rPr>
        <sz val="12"/>
        <rFont val="宋体"/>
        <charset val="134"/>
      </rPr>
      <t>等</t>
    </r>
    <r>
      <rPr>
        <sz val="12"/>
        <rFont val="Times New Roman"/>
        <charset val="134"/>
      </rPr>
      <t>”</t>
    </r>
    <r>
      <rPr>
        <sz val="12"/>
        <rFont val="宋体"/>
        <charset val="134"/>
      </rPr>
      <t>进行省略。</t>
    </r>
  </si>
  <si>
    <t>QZDJMJ</t>
  </si>
  <si>
    <r>
      <rPr>
        <sz val="12"/>
        <rFont val="宋体"/>
        <charset val="134"/>
      </rPr>
      <t>无权证登记面积的允许为空。</t>
    </r>
  </si>
  <si>
    <r>
      <rPr>
        <sz val="14"/>
        <rFont val="宋体"/>
        <charset val="134"/>
      </rPr>
      <t>信贷管理信息</t>
    </r>
  </si>
  <si>
    <r>
      <rPr>
        <sz val="12"/>
        <rFont val="宋体"/>
        <charset val="134"/>
      </rPr>
      <t>授信信息表</t>
    </r>
  </si>
  <si>
    <r>
      <rPr>
        <sz val="12"/>
        <rFont val="宋体"/>
        <charset val="134"/>
      </rPr>
      <t>填写申请授信的银行机构。关联数据项：机构信息表</t>
    </r>
    <r>
      <rPr>
        <sz val="12"/>
        <rFont val="Times New Roman"/>
        <charset val="134"/>
      </rPr>
      <t>.</t>
    </r>
    <r>
      <rPr>
        <sz val="12"/>
        <rFont val="宋体"/>
        <charset val="134"/>
      </rPr>
      <t>银行机构代码</t>
    </r>
  </si>
  <si>
    <r>
      <rPr>
        <sz val="12"/>
        <rFont val="宋体"/>
        <charset val="134"/>
      </rPr>
      <t>填写申请授信的银行机构。关联数据项：机构信息表</t>
    </r>
    <r>
      <rPr>
        <sz val="12"/>
        <rFont val="Times New Roman"/>
        <charset val="134"/>
      </rPr>
      <t>.</t>
    </r>
    <r>
      <rPr>
        <sz val="12"/>
        <rFont val="宋体"/>
        <charset val="134"/>
      </rPr>
      <t>内部机构号</t>
    </r>
  </si>
  <si>
    <t>SXXYH</t>
  </si>
  <si>
    <r>
      <rPr>
        <sz val="12"/>
        <rFont val="宋体"/>
        <charset val="134"/>
      </rPr>
      <t>授信协议名称</t>
    </r>
  </si>
  <si>
    <t>SXXYMC</t>
  </si>
  <si>
    <r>
      <rPr>
        <sz val="12"/>
        <rFont val="宋体"/>
        <charset val="134"/>
      </rPr>
      <t>可以填合同名称</t>
    </r>
  </si>
  <si>
    <r>
      <rPr>
        <sz val="12"/>
        <rFont val="宋体"/>
        <charset val="134"/>
      </rPr>
      <t>额度申请日期</t>
    </r>
  </si>
  <si>
    <t>EDSQRQ</t>
  </si>
  <si>
    <r>
      <rPr>
        <sz val="12"/>
        <rFont val="宋体"/>
        <charset val="134"/>
      </rPr>
      <t>申请日期。</t>
    </r>
  </si>
  <si>
    <t>SXZTZL</t>
  </si>
  <si>
    <t>SXZL</t>
  </si>
  <si>
    <r>
      <rPr>
        <sz val="12"/>
        <rFont val="宋体"/>
        <charset val="134"/>
      </rPr>
      <t>授信额度</t>
    </r>
  </si>
  <si>
    <t>SXED</t>
  </si>
  <si>
    <r>
      <rPr>
        <sz val="12"/>
        <rFont val="宋体"/>
        <charset val="134"/>
      </rPr>
      <t>数据项名称、数据项代码、数据元</t>
    </r>
  </si>
  <si>
    <r>
      <rPr>
        <sz val="12"/>
        <rFont val="宋体"/>
        <charset val="134"/>
      </rPr>
      <t>已用额度</t>
    </r>
  </si>
  <si>
    <t>YYED</t>
  </si>
  <si>
    <r>
      <rPr>
        <sz val="12"/>
        <rFont val="宋体"/>
        <charset val="134"/>
      </rPr>
      <t>授信开始日期</t>
    </r>
  </si>
  <si>
    <t>SXKSRQ</t>
  </si>
  <si>
    <r>
      <rPr>
        <sz val="12"/>
        <rFont val="宋体"/>
        <charset val="134"/>
      </rPr>
      <t>授信到期日期</t>
    </r>
  </si>
  <si>
    <t>SXDQRQ</t>
  </si>
  <si>
    <r>
      <rPr>
        <sz val="12"/>
        <rFont val="宋体"/>
        <charset val="134"/>
      </rPr>
      <t>授信审批意见</t>
    </r>
  </si>
  <si>
    <t>SXJCYJ</t>
  </si>
  <si>
    <r>
      <rPr>
        <sz val="12"/>
        <rFont val="宋体"/>
        <charset val="134"/>
      </rPr>
      <t>审批人工号</t>
    </r>
  </si>
  <si>
    <t>SPRGH</t>
  </si>
  <si>
    <r>
      <rPr>
        <sz val="12"/>
        <rFont val="宋体"/>
        <charset val="134"/>
      </rPr>
      <t>指最终审批人工号，自动授信的允许为空。关联数据项：员工表</t>
    </r>
    <r>
      <rPr>
        <sz val="12"/>
        <rFont val="Times New Roman"/>
        <charset val="134"/>
      </rPr>
      <t>.</t>
    </r>
    <r>
      <rPr>
        <sz val="12"/>
        <rFont val="宋体"/>
        <charset val="134"/>
      </rPr>
      <t>工号。</t>
    </r>
  </si>
  <si>
    <r>
      <rPr>
        <sz val="12"/>
        <rFont val="宋体"/>
        <charset val="134"/>
      </rPr>
      <t>指受理该笔授信的员工工号，自动办理的允许为空。关联数据项：员工表</t>
    </r>
    <r>
      <rPr>
        <sz val="12"/>
        <rFont val="Times New Roman"/>
        <charset val="134"/>
      </rPr>
      <t>.</t>
    </r>
    <r>
      <rPr>
        <sz val="12"/>
        <rFont val="宋体"/>
        <charset val="134"/>
      </rPr>
      <t>工号。</t>
    </r>
  </si>
  <si>
    <r>
      <rPr>
        <sz val="12"/>
        <rFont val="宋体"/>
        <charset val="134"/>
      </rPr>
      <t>授信状态</t>
    </r>
  </si>
  <si>
    <t>SXZT</t>
  </si>
  <si>
    <r>
      <rPr>
        <sz val="12"/>
        <rFont val="宋体"/>
        <charset val="134"/>
      </rPr>
      <t>表示一条记录是否已经无效。默认为有效，当需要删除一条授信信息时，更新为无效。</t>
    </r>
  </si>
  <si>
    <r>
      <rPr>
        <sz val="12"/>
        <rFont val="宋体"/>
        <charset val="134"/>
      </rPr>
      <t>资产核销表</t>
    </r>
  </si>
  <si>
    <r>
      <rPr>
        <sz val="12"/>
        <rFont val="宋体"/>
        <charset val="134"/>
      </rPr>
      <t>该笔贷款所属行的内部机构号，关联数据项：机构信息表</t>
    </r>
    <r>
      <rPr>
        <sz val="12"/>
        <rFont val="Times New Roman"/>
        <charset val="134"/>
      </rPr>
      <t>.</t>
    </r>
    <r>
      <rPr>
        <sz val="12"/>
        <rFont val="宋体"/>
        <charset val="134"/>
      </rPr>
      <t>内部机构号</t>
    </r>
  </si>
  <si>
    <t>ZCLX</t>
  </si>
  <si>
    <r>
      <rPr>
        <sz val="12"/>
        <rFont val="宋体"/>
        <charset val="134"/>
      </rPr>
      <t>个人贷款和对公贷款均为除了信用卡透支以外的贷款。</t>
    </r>
  </si>
  <si>
    <t>HTH</t>
  </si>
  <si>
    <r>
      <rPr>
        <sz val="12"/>
        <rFont val="Times New Roman"/>
        <charset val="134"/>
      </rPr>
      <t>PK</t>
    </r>
    <r>
      <rPr>
        <sz val="12"/>
        <rFont val="宋体"/>
        <charset val="134"/>
      </rPr>
      <t>。关联数据项：信贷合同表</t>
    </r>
    <r>
      <rPr>
        <sz val="12"/>
        <rFont val="Times New Roman"/>
        <charset val="134"/>
      </rPr>
      <t>.</t>
    </r>
    <r>
      <rPr>
        <sz val="12"/>
        <rFont val="宋体"/>
        <charset val="134"/>
      </rPr>
      <t>信贷合同号或信用卡信息</t>
    </r>
    <r>
      <rPr>
        <sz val="12"/>
        <rFont val="Times New Roman"/>
        <charset val="134"/>
      </rPr>
      <t>.</t>
    </r>
    <r>
      <rPr>
        <sz val="12"/>
        <rFont val="宋体"/>
        <charset val="134"/>
      </rPr>
      <t>信用卡账号</t>
    </r>
  </si>
  <si>
    <t>JJH</t>
  </si>
  <si>
    <r>
      <rPr>
        <sz val="12"/>
        <rFont val="Times New Roman"/>
        <charset val="134"/>
      </rPr>
      <t>PK</t>
    </r>
    <r>
      <rPr>
        <sz val="12"/>
        <rFont val="宋体"/>
        <charset val="134"/>
      </rPr>
      <t>。关联数据项：个人信贷业务借据表</t>
    </r>
    <r>
      <rPr>
        <sz val="12"/>
        <rFont val="Times New Roman"/>
        <charset val="134"/>
      </rPr>
      <t>.</t>
    </r>
    <r>
      <rPr>
        <sz val="12"/>
        <rFont val="宋体"/>
        <charset val="134"/>
      </rPr>
      <t>信贷借据号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对公信贷业务借据表</t>
    </r>
    <r>
      <rPr>
        <sz val="12"/>
        <rFont val="Times New Roman"/>
        <charset val="134"/>
      </rPr>
      <t>.</t>
    </r>
    <r>
      <rPr>
        <sz val="12"/>
        <rFont val="宋体"/>
        <charset val="134"/>
      </rPr>
      <t>信贷借据号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信用卡信息表</t>
    </r>
    <r>
      <rPr>
        <sz val="12"/>
        <rFont val="Times New Roman"/>
        <charset val="134"/>
      </rPr>
      <t>.</t>
    </r>
    <r>
      <rPr>
        <sz val="12"/>
        <rFont val="宋体"/>
        <charset val="134"/>
      </rPr>
      <t>卡号。当核销贷款为信用卡时，信贷借据号填报为该信用卡账户下主要的一张有效卡号。</t>
    </r>
  </si>
  <si>
    <r>
      <rPr>
        <sz val="12"/>
        <rFont val="宋体"/>
        <charset val="134"/>
      </rPr>
      <t>实核本金</t>
    </r>
  </si>
  <si>
    <t>HXBJ</t>
  </si>
  <si>
    <r>
      <rPr>
        <sz val="12"/>
        <rFont val="宋体"/>
        <charset val="134"/>
      </rPr>
      <t>填报核销时点数据。实核贷款本金如果是打包的，按比例拆分填报。</t>
    </r>
  </si>
  <si>
    <r>
      <rPr>
        <sz val="12"/>
        <rFont val="宋体"/>
        <charset val="134"/>
      </rPr>
      <t>实核表内利息</t>
    </r>
  </si>
  <si>
    <t>SHBNLX</t>
  </si>
  <si>
    <r>
      <rPr>
        <sz val="12"/>
        <rFont val="宋体"/>
        <charset val="134"/>
      </rPr>
      <t>实核表外利息</t>
    </r>
  </si>
  <si>
    <t>SHBWLX</t>
  </si>
  <si>
    <r>
      <rPr>
        <sz val="12"/>
        <rFont val="宋体"/>
        <charset val="134"/>
      </rPr>
      <t>填报核销时点数据。表外利息指已转入表外核算的利息。</t>
    </r>
  </si>
  <si>
    <r>
      <rPr>
        <sz val="12"/>
        <rFont val="宋体"/>
        <charset val="134"/>
      </rPr>
      <t>核销日期</t>
    </r>
  </si>
  <si>
    <t>HXRQ</t>
  </si>
  <si>
    <r>
      <rPr>
        <sz val="12"/>
        <rFont val="宋体"/>
        <charset val="134"/>
      </rPr>
      <t>收回本金</t>
    </r>
  </si>
  <si>
    <t>SHBJ</t>
  </si>
  <si>
    <r>
      <rPr>
        <sz val="12"/>
        <rFont val="宋体"/>
        <charset val="134"/>
      </rPr>
      <t>报送数据采集时点的累计核销收回本金，多次收回应报送合计值。</t>
    </r>
  </si>
  <si>
    <r>
      <rPr>
        <sz val="12"/>
        <rFont val="宋体"/>
        <charset val="134"/>
      </rPr>
      <t>收回利息</t>
    </r>
  </si>
  <si>
    <t>SHLX</t>
  </si>
  <si>
    <r>
      <rPr>
        <sz val="12"/>
        <rFont val="宋体"/>
        <charset val="134"/>
      </rPr>
      <t>报送数据采集时点的累计核销收回利息，多次收回应报送合计值。</t>
    </r>
  </si>
  <si>
    <r>
      <rPr>
        <sz val="12"/>
        <rFont val="宋体"/>
        <charset val="134"/>
      </rPr>
      <t>收回日期</t>
    </r>
  </si>
  <si>
    <t>SHRQ</t>
  </si>
  <si>
    <r>
      <rPr>
        <sz val="12"/>
        <rFont val="宋体"/>
        <charset val="134"/>
      </rPr>
      <t>对于多次收回的情况，填报最近一次收回日期。</t>
    </r>
  </si>
  <si>
    <t>SHBZ</t>
  </si>
  <si>
    <r>
      <rPr>
        <sz val="12"/>
        <rFont val="宋体"/>
        <charset val="134"/>
      </rPr>
      <t>填报最新的贷款核销后清收状态。</t>
    </r>
  </si>
  <si>
    <r>
      <rPr>
        <sz val="12"/>
        <rFont val="宋体"/>
        <charset val="134"/>
      </rPr>
      <t>收回员工号</t>
    </r>
  </si>
  <si>
    <t>SHYGH</t>
  </si>
  <si>
    <r>
      <rPr>
        <sz val="12"/>
        <rFont val="宋体"/>
        <charset val="134"/>
      </rPr>
      <t>对于多次收回的情况，填报最近一次收回的员工号。无收回员工号的允许为空值。关联数据项：员工表</t>
    </r>
    <r>
      <rPr>
        <sz val="12"/>
        <rFont val="Times New Roman"/>
        <charset val="134"/>
      </rPr>
      <t>.</t>
    </r>
    <r>
      <rPr>
        <sz val="12"/>
        <rFont val="宋体"/>
        <charset val="134"/>
      </rPr>
      <t>工号。</t>
    </r>
  </si>
  <si>
    <t>HXZT</t>
  </si>
  <si>
    <r>
      <rPr>
        <sz val="12"/>
        <rFont val="宋体"/>
        <charset val="134"/>
      </rPr>
      <t>根据财政部</t>
    </r>
    <r>
      <rPr>
        <sz val="12"/>
        <rFont val="Times New Roman"/>
        <charset val="134"/>
      </rPr>
      <t>2017</t>
    </r>
    <r>
      <rPr>
        <sz val="12"/>
        <rFont val="宋体"/>
        <charset val="134"/>
      </rPr>
      <t>年《金融企业呆账核销管理办法》规定，符合规定完全终结的信贷资产可填报为</t>
    </r>
    <r>
      <rPr>
        <sz val="12"/>
        <rFont val="Times New Roman"/>
        <charset val="134"/>
      </rPr>
      <t>“</t>
    </r>
    <r>
      <rPr>
        <sz val="12"/>
        <rFont val="宋体"/>
        <charset val="134"/>
      </rPr>
      <t>完全终结</t>
    </r>
    <r>
      <rPr>
        <sz val="12"/>
        <rFont val="Times New Roman"/>
        <charset val="134"/>
      </rPr>
      <t>”</t>
    </r>
    <r>
      <rPr>
        <sz val="12"/>
        <rFont val="宋体"/>
        <charset val="134"/>
      </rPr>
      <t>。通过各种手段处置已核销资产结清欠款或已无追索权的，也视为</t>
    </r>
    <r>
      <rPr>
        <sz val="12"/>
        <rFont val="Times New Roman"/>
        <charset val="134"/>
      </rPr>
      <t>“</t>
    </r>
    <r>
      <rPr>
        <sz val="12"/>
        <rFont val="宋体"/>
        <charset val="134"/>
      </rPr>
      <t>完全终结</t>
    </r>
    <r>
      <rPr>
        <sz val="12"/>
        <rFont val="Times New Roman"/>
        <charset val="134"/>
      </rPr>
      <t>”</t>
    </r>
  </si>
  <si>
    <r>
      <rPr>
        <sz val="12"/>
        <rFont val="宋体"/>
        <charset val="134"/>
      </rPr>
      <t>信贷资产转让表</t>
    </r>
  </si>
  <si>
    <r>
      <rPr>
        <sz val="12"/>
        <rFont val="宋体"/>
        <charset val="134"/>
      </rPr>
      <t>填报办理转让的银行机构。关联数据项：机构信息表</t>
    </r>
    <r>
      <rPr>
        <sz val="12"/>
        <rFont val="Times New Roman"/>
        <charset val="134"/>
      </rPr>
      <t>.</t>
    </r>
    <r>
      <rPr>
        <sz val="12"/>
        <rFont val="宋体"/>
        <charset val="134"/>
      </rPr>
      <t>金融许可证号</t>
    </r>
  </si>
  <si>
    <r>
      <rPr>
        <sz val="12"/>
        <rFont val="宋体"/>
        <charset val="134"/>
      </rPr>
      <t>填报办理转让的银行机构。关联数据项：机构信息表</t>
    </r>
    <r>
      <rPr>
        <sz val="12"/>
        <rFont val="Times New Roman"/>
        <charset val="134"/>
      </rPr>
      <t>.</t>
    </r>
    <r>
      <rPr>
        <sz val="12"/>
        <rFont val="宋体"/>
        <charset val="134"/>
      </rPr>
      <t>内部机构号。</t>
    </r>
  </si>
  <si>
    <r>
      <rPr>
        <sz val="12"/>
        <rFont val="宋体"/>
        <charset val="134"/>
      </rPr>
      <t>转让合同号</t>
    </r>
  </si>
  <si>
    <t>ZRHTH</t>
  </si>
  <si>
    <r>
      <rPr>
        <sz val="12"/>
        <rFont val="Times New Roman"/>
        <charset val="134"/>
      </rPr>
      <t>PK</t>
    </r>
    <r>
      <rPr>
        <sz val="12"/>
        <rFont val="宋体"/>
        <charset val="134"/>
      </rPr>
      <t>。信贷资产转让交易签署的合同编号，并非转让的贷款合同号，信贷资产证券化业务填写信托合同编号。</t>
    </r>
  </si>
  <si>
    <r>
      <rPr>
        <sz val="12"/>
        <rFont val="宋体"/>
        <charset val="134"/>
      </rPr>
      <t>资产转让方向</t>
    </r>
  </si>
  <si>
    <t>ZCZRFX</t>
  </si>
  <si>
    <r>
      <rPr>
        <sz val="12"/>
        <rFont val="宋体"/>
        <charset val="134"/>
      </rPr>
      <t>资产转让方式</t>
    </r>
  </si>
  <si>
    <t>ZCZRFS</t>
  </si>
  <si>
    <r>
      <rPr>
        <sz val="12"/>
        <rFont val="宋体"/>
        <charset val="134"/>
      </rPr>
      <t>转让价款入账账号</t>
    </r>
  </si>
  <si>
    <t>ZRJKRZZH</t>
  </si>
  <si>
    <r>
      <rPr>
        <sz val="12"/>
        <rFont val="宋体"/>
        <charset val="134"/>
      </rPr>
      <t>转让价款入账账户名称</t>
    </r>
  </si>
  <si>
    <t>ZRJKRZMC</t>
  </si>
  <si>
    <r>
      <rPr>
        <sz val="12"/>
        <rFont val="宋体"/>
        <charset val="134"/>
      </rPr>
      <t>对于</t>
    </r>
    <r>
      <rPr>
        <sz val="12"/>
        <rFont val="Times New Roman"/>
        <charset val="134"/>
      </rPr>
      <t>ABS</t>
    </r>
    <r>
      <rPr>
        <sz val="12"/>
        <rFont val="宋体"/>
        <charset val="134"/>
      </rPr>
      <t>产品，直接交易对手是受托机构（信托）。如果交易对手为个人，则为隐私，银行机构变形，变形规则见《采集技术接口说明》。如果为境内涉密机构的，填报为</t>
    </r>
    <r>
      <rPr>
        <sz val="12"/>
        <rFont val="Times New Roman"/>
        <charset val="134"/>
      </rPr>
      <t>“*********”</t>
    </r>
    <r>
      <rPr>
        <sz val="12"/>
        <rFont val="宋体"/>
        <charset val="134"/>
      </rPr>
      <t>。其他情况，则为非隐私，不做变形。</t>
    </r>
  </si>
  <si>
    <r>
      <rPr>
        <sz val="12"/>
        <rFont val="宋体"/>
        <charset val="134"/>
      </rPr>
      <t>交易对手账号</t>
    </r>
  </si>
  <si>
    <t>JYDSZZZH</t>
  </si>
  <si>
    <r>
      <rPr>
        <sz val="12"/>
        <rFont val="宋体"/>
        <charset val="134"/>
      </rPr>
      <t>交易对手支付对价的账号，如果为第三方支付交易，则填报第三方支付账号。如有多个转账账户的，填写首笔转账的账户。</t>
    </r>
  </si>
  <si>
    <r>
      <rPr>
        <sz val="12"/>
        <rFont val="宋体"/>
        <charset val="134"/>
      </rPr>
      <t>交易对手开户行名称</t>
    </r>
  </si>
  <si>
    <t>JYDSKHHMC</t>
  </si>
  <si>
    <r>
      <rPr>
        <sz val="12"/>
        <rFont val="宋体"/>
        <charset val="134"/>
      </rPr>
      <t>交易对手的开户行名称，如果为第三方支付交易，则填报第三方支付平台名称。如果有多个转账账户的，填写首笔转账的账户。</t>
    </r>
  </si>
  <si>
    <r>
      <rPr>
        <sz val="12"/>
        <rFont val="宋体"/>
        <charset val="134"/>
      </rPr>
      <t>转让贷款本金总额</t>
    </r>
  </si>
  <si>
    <t>ZRDKBJZE</t>
  </si>
  <si>
    <r>
      <rPr>
        <sz val="12"/>
        <rFont val="宋体"/>
        <charset val="134"/>
      </rPr>
      <t>对于已核销贷款的转让，本金总额填报为</t>
    </r>
    <r>
      <rPr>
        <sz val="12"/>
        <rFont val="Times New Roman"/>
        <charset val="134"/>
      </rPr>
      <t>0</t>
    </r>
    <r>
      <rPr>
        <sz val="12"/>
        <rFont val="宋体"/>
        <charset val="134"/>
      </rPr>
      <t>。对于</t>
    </r>
    <r>
      <rPr>
        <sz val="12"/>
        <rFont val="Times New Roman"/>
        <charset val="134"/>
      </rPr>
      <t>ABS</t>
    </r>
    <r>
      <rPr>
        <sz val="12"/>
        <rFont val="宋体"/>
        <charset val="134"/>
      </rPr>
      <t>产品填报按照合同约定转让给信托的底层资产未偿本金金额。</t>
    </r>
  </si>
  <si>
    <r>
      <rPr>
        <sz val="12"/>
        <rFont val="宋体"/>
        <charset val="134"/>
      </rPr>
      <t>转让贷款利息总额</t>
    </r>
  </si>
  <si>
    <t>ZRDKLXZE</t>
  </si>
  <si>
    <r>
      <rPr>
        <sz val="12"/>
        <rFont val="宋体"/>
        <charset val="134"/>
      </rPr>
      <t>对于已核销贷款填核销前应收利息总额。对于</t>
    </r>
    <r>
      <rPr>
        <sz val="12"/>
        <rFont val="Times New Roman"/>
        <charset val="134"/>
      </rPr>
      <t>ABS</t>
    </r>
    <r>
      <rPr>
        <sz val="12"/>
        <rFont val="宋体"/>
        <charset val="134"/>
      </rPr>
      <t>产品填报按照合同约定转让给信托的底层资产利息总和。</t>
    </r>
  </si>
  <si>
    <r>
      <rPr>
        <sz val="12"/>
        <rFont val="宋体"/>
        <charset val="134"/>
      </rPr>
      <t>转让总价</t>
    </r>
  </si>
  <si>
    <t>ZRZJ</t>
  </si>
  <si>
    <r>
      <rPr>
        <sz val="12"/>
        <rFont val="宋体"/>
        <charset val="134"/>
      </rPr>
      <t>信贷资产转让交易中交易对手所支付的对价。</t>
    </r>
  </si>
  <si>
    <r>
      <rPr>
        <sz val="12"/>
        <rFont val="宋体"/>
        <charset val="134"/>
      </rPr>
      <t>转让合同起始日期</t>
    </r>
  </si>
  <si>
    <t>ZRHTQSRQ</t>
  </si>
  <si>
    <r>
      <rPr>
        <sz val="12"/>
        <rFont val="宋体"/>
        <charset val="134"/>
      </rPr>
      <t>填报资产转让交割日期，在</t>
    </r>
    <r>
      <rPr>
        <sz val="12"/>
        <rFont val="Times New Roman"/>
        <charset val="134"/>
      </rPr>
      <t>ABS</t>
    </r>
    <r>
      <rPr>
        <sz val="12"/>
        <rFont val="宋体"/>
        <charset val="134"/>
      </rPr>
      <t>交易中转让合同起始日期为信托设立日。</t>
    </r>
  </si>
  <si>
    <r>
      <rPr>
        <sz val="12"/>
        <rFont val="宋体"/>
        <charset val="134"/>
      </rPr>
      <t>转让合同到期日期</t>
    </r>
  </si>
  <si>
    <t>ZRHTDQRQ</t>
  </si>
  <si>
    <r>
      <rPr>
        <sz val="12"/>
        <rFont val="宋体"/>
        <charset val="134"/>
      </rPr>
      <t>转让合同到期日期。不涉及合同到期日的填报转让交割日期。</t>
    </r>
  </si>
  <si>
    <r>
      <rPr>
        <sz val="12"/>
        <rFont val="宋体"/>
        <charset val="134"/>
      </rPr>
      <t>交易对手转账日期</t>
    </r>
  </si>
  <si>
    <t>JYDSZRRQ</t>
  </si>
  <si>
    <r>
      <rPr>
        <sz val="12"/>
        <rFont val="宋体"/>
        <charset val="134"/>
      </rPr>
      <t>如果有多次转账的，填报首笔转让价款转入日期，非定金日期。</t>
    </r>
  </si>
  <si>
    <r>
      <rPr>
        <sz val="12"/>
        <rFont val="宋体"/>
        <charset val="134"/>
      </rPr>
      <t>交易对手已支付金额</t>
    </r>
  </si>
  <si>
    <t>JYDSYZFJE</t>
  </si>
  <si>
    <r>
      <rPr>
        <sz val="12"/>
        <rFont val="宋体"/>
        <charset val="134"/>
      </rPr>
      <t>截至报送日已经支付的金额。</t>
    </r>
  </si>
  <si>
    <r>
      <rPr>
        <sz val="12"/>
        <rFont val="宋体"/>
        <charset val="134"/>
      </rPr>
      <t>如没有保证金，可以为空。多个保证金币种统一按一种币种转换合计报送。</t>
    </r>
  </si>
  <si>
    <r>
      <rPr>
        <sz val="12"/>
        <rFont val="宋体"/>
        <charset val="134"/>
      </rPr>
      <t>如没有保证金，填写默认值</t>
    </r>
    <r>
      <rPr>
        <sz val="12"/>
        <rFont val="Times New Roman"/>
        <charset val="134"/>
      </rPr>
      <t>0</t>
    </r>
    <r>
      <rPr>
        <sz val="12"/>
        <rFont val="宋体"/>
        <charset val="134"/>
      </rPr>
      <t>。多个保证金币种统一按一种币种转换合计报送。</t>
    </r>
  </si>
  <si>
    <t>ZRJYPT</t>
  </si>
  <si>
    <r>
      <rPr>
        <sz val="12"/>
        <rFont val="宋体"/>
        <charset val="134"/>
      </rPr>
      <t>与</t>
    </r>
    <r>
      <rPr>
        <sz val="12"/>
        <rFont val="Times New Roman"/>
        <charset val="134"/>
      </rPr>
      <t>1104</t>
    </r>
    <r>
      <rPr>
        <sz val="12"/>
        <rFont val="宋体"/>
        <charset val="134"/>
      </rPr>
      <t>报表</t>
    </r>
    <r>
      <rPr>
        <sz val="12"/>
        <rFont val="Times New Roman"/>
        <charset val="134"/>
      </rPr>
      <t>G34</t>
    </r>
    <r>
      <rPr>
        <sz val="12"/>
        <rFont val="宋体"/>
        <charset val="134"/>
      </rPr>
      <t>《信贷资产转让情况统计表》</t>
    </r>
    <r>
      <rPr>
        <sz val="12"/>
        <rFont val="Times New Roman"/>
        <charset val="134"/>
      </rPr>
      <t>[</t>
    </r>
    <r>
      <rPr>
        <sz val="12"/>
        <rFont val="宋体"/>
        <charset val="134"/>
      </rPr>
      <t>二、交易平台</t>
    </r>
    <r>
      <rPr>
        <sz val="12"/>
        <rFont val="Times New Roman"/>
        <charset val="134"/>
      </rPr>
      <t>]</t>
    </r>
    <r>
      <rPr>
        <sz val="12"/>
        <rFont val="宋体"/>
        <charset val="134"/>
      </rPr>
      <t>填报口径一致。</t>
    </r>
  </si>
  <si>
    <r>
      <rPr>
        <sz val="12"/>
        <rFont val="宋体"/>
        <charset val="134"/>
      </rPr>
      <t>是否在银登中心登记</t>
    </r>
  </si>
  <si>
    <t>SFZYDZXDJ</t>
  </si>
  <si>
    <r>
      <rPr>
        <sz val="12"/>
        <rFont val="宋体"/>
        <charset val="134"/>
      </rPr>
      <t>与</t>
    </r>
    <r>
      <rPr>
        <sz val="12"/>
        <rFont val="Times New Roman"/>
        <charset val="134"/>
      </rPr>
      <t>1104</t>
    </r>
    <r>
      <rPr>
        <sz val="12"/>
        <rFont val="宋体"/>
        <charset val="134"/>
      </rPr>
      <t>报表</t>
    </r>
    <r>
      <rPr>
        <sz val="12"/>
        <rFont val="Times New Roman"/>
        <charset val="134"/>
      </rPr>
      <t>G34</t>
    </r>
    <r>
      <rPr>
        <sz val="12"/>
        <rFont val="宋体"/>
        <charset val="134"/>
      </rPr>
      <t>《信贷资产转让情况统计表》</t>
    </r>
    <r>
      <rPr>
        <sz val="12"/>
        <rFont val="Times New Roman"/>
        <charset val="134"/>
      </rPr>
      <t>[</t>
    </r>
    <r>
      <rPr>
        <sz val="12"/>
        <rFont val="宋体"/>
        <charset val="134"/>
      </rPr>
      <t>三、登记平台</t>
    </r>
    <r>
      <rPr>
        <sz val="12"/>
        <rFont val="Times New Roman"/>
        <charset val="134"/>
      </rPr>
      <t>]</t>
    </r>
    <r>
      <rPr>
        <sz val="12"/>
        <rFont val="宋体"/>
        <charset val="134"/>
      </rPr>
      <t>填报口径一致。</t>
    </r>
  </si>
  <si>
    <r>
      <rPr>
        <sz val="12"/>
        <rFont val="宋体"/>
        <charset val="134"/>
      </rPr>
      <t>转让合同状态</t>
    </r>
  </si>
  <si>
    <t>ZRHTZT</t>
  </si>
  <si>
    <r>
      <rPr>
        <sz val="12"/>
        <rFont val="宋体"/>
        <charset val="134"/>
      </rPr>
      <t>按照转让合同履约，完全收到转让价款后，视为转让合同终结。</t>
    </r>
  </si>
  <si>
    <r>
      <rPr>
        <sz val="12"/>
        <rFont val="宋体"/>
        <charset val="134"/>
      </rPr>
      <t>资产转让关系表</t>
    </r>
  </si>
  <si>
    <r>
      <rPr>
        <sz val="12"/>
        <rFont val="宋体"/>
        <charset val="134"/>
      </rPr>
      <t>关联数据项：机构信息表</t>
    </r>
    <r>
      <rPr>
        <sz val="12"/>
        <rFont val="Times New Roman"/>
        <charset val="134"/>
      </rPr>
      <t>.</t>
    </r>
    <r>
      <rPr>
        <sz val="12"/>
        <rFont val="宋体"/>
        <charset val="134"/>
      </rPr>
      <t>内部机构号。填写信贷借据机构对应的内部机构号</t>
    </r>
  </si>
  <si>
    <r>
      <rPr>
        <sz val="12"/>
        <rFont val="宋体"/>
        <charset val="134"/>
      </rPr>
      <t>信贷资产转让交易签署的合同编号，并非转让的贷款合同号，信贷资产证券化业务填写信托合同编号。</t>
    </r>
  </si>
  <si>
    <t>XDZCLX</t>
  </si>
  <si>
    <r>
      <rPr>
        <sz val="12"/>
        <rFont val="Times New Roman"/>
        <charset val="134"/>
      </rPr>
      <t>PK</t>
    </r>
    <r>
      <rPr>
        <sz val="12"/>
        <rFont val="宋体"/>
        <charset val="134"/>
      </rPr>
      <t>。如信贷资产类型为信用卡，以信用卡账号填报为借据号。关联数据项：个人信贷业务借据表</t>
    </r>
    <r>
      <rPr>
        <sz val="12"/>
        <rFont val="Times New Roman"/>
        <charset val="134"/>
      </rPr>
      <t>.</t>
    </r>
    <r>
      <rPr>
        <sz val="12"/>
        <rFont val="宋体"/>
        <charset val="134"/>
      </rPr>
      <t>信贷借据号</t>
    </r>
    <r>
      <rPr>
        <sz val="12"/>
        <rFont val="Times New Roman"/>
        <charset val="134"/>
      </rPr>
      <t xml:space="preserve"> or </t>
    </r>
    <r>
      <rPr>
        <sz val="12"/>
        <rFont val="宋体"/>
        <charset val="134"/>
      </rPr>
      <t>对公信贷业务借据表</t>
    </r>
    <r>
      <rPr>
        <sz val="12"/>
        <rFont val="Times New Roman"/>
        <charset val="134"/>
      </rPr>
      <t>.</t>
    </r>
    <r>
      <rPr>
        <sz val="12"/>
        <rFont val="宋体"/>
        <charset val="134"/>
      </rPr>
      <t>信贷借据号</t>
    </r>
    <r>
      <rPr>
        <sz val="12"/>
        <rFont val="Times New Roman"/>
        <charset val="134"/>
      </rPr>
      <t xml:space="preserve"> or </t>
    </r>
    <r>
      <rPr>
        <sz val="12"/>
        <rFont val="宋体"/>
        <charset val="134"/>
      </rPr>
      <t>信用卡信息表</t>
    </r>
    <r>
      <rPr>
        <sz val="12"/>
        <rFont val="Times New Roman"/>
        <charset val="134"/>
      </rPr>
      <t>.</t>
    </r>
    <r>
      <rPr>
        <sz val="12"/>
        <rFont val="宋体"/>
        <charset val="134"/>
      </rPr>
      <t>信用卡账号。</t>
    </r>
  </si>
  <si>
    <r>
      <rPr>
        <sz val="12"/>
        <rFont val="宋体"/>
        <charset val="134"/>
      </rPr>
      <t>转让贷款本金</t>
    </r>
  </si>
  <si>
    <t>ZRDKBJ</t>
  </si>
  <si>
    <r>
      <rPr>
        <sz val="12"/>
        <rFont val="宋体"/>
        <charset val="134"/>
      </rPr>
      <t>填写该条借据转让前本金余额。对于已核销贷款本金填报为</t>
    </r>
    <r>
      <rPr>
        <sz val="12"/>
        <rFont val="Times New Roman"/>
        <charset val="134"/>
      </rPr>
      <t>0</t>
    </r>
    <r>
      <rPr>
        <sz val="12"/>
        <rFont val="宋体"/>
        <charset val="134"/>
      </rPr>
      <t>。对于</t>
    </r>
    <r>
      <rPr>
        <sz val="12"/>
        <rFont val="Times New Roman"/>
        <charset val="134"/>
      </rPr>
      <t>ABS</t>
    </r>
    <r>
      <rPr>
        <sz val="12"/>
        <rFont val="宋体"/>
        <charset val="134"/>
      </rPr>
      <t>产品填报按照合同约定转让给信托的底层资产未偿本金金额。</t>
    </r>
  </si>
  <si>
    <r>
      <rPr>
        <sz val="12"/>
        <rFont val="宋体"/>
        <charset val="134"/>
      </rPr>
      <t>转让贷款利息</t>
    </r>
  </si>
  <si>
    <t>ZRDKLX</t>
  </si>
  <si>
    <r>
      <rPr>
        <sz val="12"/>
        <rFont val="宋体"/>
        <charset val="134"/>
      </rPr>
      <t>填写该条借据转让前利息余额。对于已核销贷款填核销前应收利息金额。对于</t>
    </r>
    <r>
      <rPr>
        <sz val="12"/>
        <rFont val="Times New Roman"/>
        <charset val="134"/>
      </rPr>
      <t>ABS</t>
    </r>
    <r>
      <rPr>
        <sz val="12"/>
        <rFont val="宋体"/>
        <charset val="134"/>
      </rPr>
      <t>产品填报按照合同约定转让给信托的底层资产利息金额。</t>
    </r>
  </si>
  <si>
    <r>
      <rPr>
        <sz val="12"/>
        <rFont val="宋体"/>
        <charset val="134"/>
      </rPr>
      <t>贷款五级形态变动表</t>
    </r>
  </si>
  <si>
    <r>
      <rPr>
        <sz val="12"/>
        <rFont val="宋体"/>
        <charset val="134"/>
      </rPr>
      <t>关联数据项：信贷合同表</t>
    </r>
    <r>
      <rPr>
        <sz val="12"/>
        <rFont val="Times New Roman"/>
        <charset val="134"/>
      </rPr>
      <t>.</t>
    </r>
    <r>
      <rPr>
        <sz val="12"/>
        <rFont val="宋体"/>
        <charset val="134"/>
      </rPr>
      <t>信贷合同号</t>
    </r>
    <r>
      <rPr>
        <sz val="12"/>
        <rFont val="Times New Roman"/>
        <charset val="134"/>
      </rPr>
      <t xml:space="preserve"> or </t>
    </r>
    <r>
      <rPr>
        <sz val="12"/>
        <rFont val="宋体"/>
        <charset val="134"/>
      </rPr>
      <t>信用卡信息表</t>
    </r>
    <r>
      <rPr>
        <sz val="12"/>
        <rFont val="Times New Roman"/>
        <charset val="134"/>
      </rPr>
      <t>.</t>
    </r>
    <r>
      <rPr>
        <sz val="12"/>
        <rFont val="宋体"/>
        <charset val="134"/>
      </rPr>
      <t>信用卡账号。</t>
    </r>
  </si>
  <si>
    <r>
      <rPr>
        <sz val="12"/>
        <rFont val="Times New Roman"/>
        <charset val="134"/>
      </rPr>
      <t>PK</t>
    </r>
    <r>
      <rPr>
        <sz val="12"/>
        <rFont val="宋体"/>
        <charset val="134"/>
      </rPr>
      <t>。关联数据项：信贷借据表</t>
    </r>
    <r>
      <rPr>
        <sz val="12"/>
        <rFont val="Times New Roman"/>
        <charset val="134"/>
      </rPr>
      <t>.</t>
    </r>
    <r>
      <rPr>
        <sz val="12"/>
        <rFont val="宋体"/>
        <charset val="134"/>
      </rPr>
      <t>信贷借据号</t>
    </r>
    <r>
      <rPr>
        <sz val="12"/>
        <rFont val="Times New Roman"/>
        <charset val="134"/>
      </rPr>
      <t xml:space="preserve"> or </t>
    </r>
    <r>
      <rPr>
        <sz val="12"/>
        <rFont val="宋体"/>
        <charset val="134"/>
      </rPr>
      <t>信用卡信息表</t>
    </r>
    <r>
      <rPr>
        <sz val="12"/>
        <rFont val="Times New Roman"/>
        <charset val="134"/>
      </rPr>
      <t>.</t>
    </r>
    <r>
      <rPr>
        <sz val="12"/>
        <rFont val="宋体"/>
        <charset val="134"/>
      </rPr>
      <t>卡号。</t>
    </r>
  </si>
  <si>
    <r>
      <rPr>
        <sz val="12"/>
        <rFont val="宋体"/>
        <charset val="134"/>
      </rPr>
      <t>调整日期</t>
    </r>
  </si>
  <si>
    <t>TZRQ</t>
  </si>
  <si>
    <r>
      <rPr>
        <sz val="12"/>
        <rFont val="宋体"/>
        <charset val="134"/>
      </rPr>
      <t>原五级分类</t>
    </r>
  </si>
  <si>
    <t>YWJFL</t>
  </si>
  <si>
    <r>
      <rPr>
        <sz val="12"/>
        <rFont val="宋体"/>
        <charset val="134"/>
      </rPr>
      <t>新五级分类</t>
    </r>
  </si>
  <si>
    <t>XWJFL</t>
  </si>
  <si>
    <t>BDYY</t>
  </si>
  <si>
    <t>BDFS</t>
  </si>
  <si>
    <t>JBGYH</t>
  </si>
  <si>
    <r>
      <rPr>
        <sz val="12"/>
        <rFont val="宋体"/>
        <charset val="134"/>
      </rPr>
      <t>经办员工的员工号，自动变动的员工号允许为空。关联数据项：员工表</t>
    </r>
    <r>
      <rPr>
        <sz val="12"/>
        <rFont val="Times New Roman"/>
        <charset val="134"/>
      </rPr>
      <t>.</t>
    </r>
    <r>
      <rPr>
        <sz val="12"/>
        <rFont val="宋体"/>
        <charset val="134"/>
      </rPr>
      <t>工号。</t>
    </r>
  </si>
  <si>
    <r>
      <rPr>
        <sz val="14"/>
        <rFont val="宋体"/>
        <charset val="134"/>
      </rPr>
      <t>信用卡</t>
    </r>
  </si>
  <si>
    <r>
      <rPr>
        <sz val="12"/>
        <rFont val="宋体"/>
        <charset val="134"/>
      </rPr>
      <t>信用卡信息表</t>
    </r>
  </si>
  <si>
    <r>
      <rPr>
        <sz val="12"/>
        <rFont val="宋体"/>
        <charset val="134"/>
      </rPr>
      <t>填报信用卡归属的银行机构。关联数据项：机构信息表</t>
    </r>
    <r>
      <rPr>
        <sz val="12"/>
        <rFont val="Times New Roman"/>
        <charset val="134"/>
      </rPr>
      <t>.</t>
    </r>
    <r>
      <rPr>
        <sz val="12"/>
        <rFont val="宋体"/>
        <charset val="134"/>
      </rPr>
      <t>金融许可证号</t>
    </r>
  </si>
  <si>
    <r>
      <rPr>
        <sz val="12"/>
        <rFont val="宋体"/>
        <charset val="134"/>
      </rPr>
      <t>填报信用卡归属的银行机构。关联数据项：机构信息表</t>
    </r>
    <r>
      <rPr>
        <sz val="12"/>
        <rFont val="Times New Roman"/>
        <charset val="134"/>
      </rPr>
      <t>.</t>
    </r>
    <r>
      <rPr>
        <sz val="12"/>
        <rFont val="宋体"/>
        <charset val="134"/>
      </rPr>
      <t>内部机构号。</t>
    </r>
  </si>
  <si>
    <r>
      <rPr>
        <sz val="12"/>
        <rFont val="宋体"/>
        <charset val="134"/>
      </rPr>
      <t>填报信用卡归属的银行机构。关联数据项：机构信息表</t>
    </r>
    <r>
      <rPr>
        <sz val="12"/>
        <rFont val="Times New Roman"/>
        <charset val="134"/>
      </rPr>
      <t>.</t>
    </r>
    <r>
      <rPr>
        <sz val="12"/>
        <rFont val="宋体"/>
        <charset val="134"/>
      </rPr>
      <t>银行机构名称。</t>
    </r>
  </si>
  <si>
    <r>
      <rPr>
        <sz val="12"/>
        <rFont val="宋体"/>
        <charset val="134"/>
      </rPr>
      <t>关联数据项：个人基础信息表</t>
    </r>
    <r>
      <rPr>
        <sz val="12"/>
        <rFont val="Times New Roman"/>
        <charset val="134"/>
      </rPr>
      <t>.</t>
    </r>
    <r>
      <rPr>
        <sz val="12"/>
        <rFont val="宋体"/>
        <charset val="134"/>
      </rPr>
      <t>客户统一编号</t>
    </r>
  </si>
  <si>
    <r>
      <rPr>
        <sz val="12"/>
        <rFont val="宋体"/>
        <charset val="134"/>
      </rPr>
      <t>关联数据项：个人基础信息表</t>
    </r>
    <r>
      <rPr>
        <sz val="12"/>
        <rFont val="Times New Roman"/>
        <charset val="134"/>
      </rPr>
      <t>.</t>
    </r>
    <r>
      <rPr>
        <sz val="12"/>
        <rFont val="宋体"/>
        <charset val="134"/>
      </rPr>
      <t>客户姓名</t>
    </r>
  </si>
  <si>
    <r>
      <rPr>
        <sz val="12"/>
        <rFont val="宋体"/>
        <charset val="134"/>
      </rPr>
      <t>信用卡账号</t>
    </r>
  </si>
  <si>
    <t>XYKZH</t>
  </si>
  <si>
    <r>
      <rPr>
        <sz val="12"/>
        <rFont val="Times New Roman"/>
        <charset val="134"/>
      </rPr>
      <t>PK</t>
    </r>
    <r>
      <rPr>
        <sz val="12"/>
        <rFont val="宋体"/>
        <charset val="134"/>
      </rPr>
      <t>。以信用卡账户维度填报，多个账号填写多条记录。</t>
    </r>
  </si>
  <si>
    <t>KPMC</t>
  </si>
  <si>
    <t>KPZL</t>
  </si>
  <si>
    <r>
      <rPr>
        <sz val="12"/>
        <rFont val="宋体"/>
        <charset val="134"/>
      </rPr>
      <t>单位卡定义：以单位名义开立，所有人为单位的信用卡。</t>
    </r>
  </si>
  <si>
    <t>KPJB</t>
  </si>
  <si>
    <r>
      <rPr>
        <sz val="12"/>
        <rFont val="宋体"/>
        <charset val="134"/>
      </rPr>
      <t>卡组织名称</t>
    </r>
  </si>
  <si>
    <t>KZZMC</t>
  </si>
  <si>
    <r>
      <rPr>
        <sz val="12"/>
        <rFont val="宋体"/>
        <charset val="134"/>
      </rPr>
      <t>包含本卡所有可用组织通道，主要通道在前，填写信用卡组织的规范简称，如银联、</t>
    </r>
    <r>
      <rPr>
        <sz val="12"/>
        <rFont val="Times New Roman"/>
        <charset val="134"/>
      </rPr>
      <t>VISA</t>
    </r>
    <r>
      <rPr>
        <sz val="12"/>
        <rFont val="宋体"/>
        <charset val="134"/>
      </rPr>
      <t>等。使用英文半角分号隔开。</t>
    </r>
  </si>
  <si>
    <t>FKQD</t>
  </si>
  <si>
    <r>
      <rPr>
        <sz val="12"/>
        <rFont val="宋体"/>
        <charset val="134"/>
      </rPr>
      <t>填写持卡人申请该张卡片的渠道。</t>
    </r>
  </si>
  <si>
    <t>KKYGH</t>
  </si>
  <si>
    <r>
      <rPr>
        <sz val="12"/>
        <rFont val="宋体"/>
        <charset val="134"/>
      </rPr>
      <t>指激活生效的柜员号，关联数据项：柜员表</t>
    </r>
    <r>
      <rPr>
        <sz val="12"/>
        <rFont val="Times New Roman"/>
        <charset val="134"/>
      </rPr>
      <t>.</t>
    </r>
    <r>
      <rPr>
        <sz val="12"/>
        <rFont val="宋体"/>
        <charset val="134"/>
      </rPr>
      <t>柜员号。自动办理的柜员号允许为空。</t>
    </r>
  </si>
  <si>
    <r>
      <rPr>
        <sz val="12"/>
        <rFont val="宋体"/>
        <charset val="134"/>
      </rPr>
      <t>附属卡标志</t>
    </r>
  </si>
  <si>
    <t>FSKBZ</t>
  </si>
  <si>
    <r>
      <rPr>
        <sz val="12"/>
        <rFont val="宋体"/>
        <charset val="134"/>
      </rPr>
      <t>主卡号</t>
    </r>
  </si>
  <si>
    <t>ZKH</t>
  </si>
  <si>
    <r>
      <rPr>
        <sz val="12"/>
        <rFont val="宋体"/>
        <charset val="134"/>
      </rPr>
      <t>主卡填本身卡号，卡片为附属卡时不能为空</t>
    </r>
  </si>
  <si>
    <t>DBSM</t>
  </si>
  <si>
    <r>
      <rPr>
        <sz val="12"/>
        <rFont val="宋体"/>
        <charset val="134"/>
      </rPr>
      <t>担保类型不为</t>
    </r>
    <r>
      <rPr>
        <sz val="12"/>
        <rFont val="Times New Roman"/>
        <charset val="134"/>
      </rPr>
      <t>“</t>
    </r>
    <r>
      <rPr>
        <sz val="12"/>
        <rFont val="宋体"/>
        <charset val="134"/>
      </rPr>
      <t>信用</t>
    </r>
    <r>
      <rPr>
        <sz val="12"/>
        <rFont val="Times New Roman"/>
        <charset val="134"/>
      </rPr>
      <t>”</t>
    </r>
    <r>
      <rPr>
        <sz val="12"/>
        <rFont val="宋体"/>
        <charset val="134"/>
      </rPr>
      <t>时，此项必填。以质押或抵押办理大额信用卡的业务，需在本数据项中具体说明。</t>
    </r>
  </si>
  <si>
    <r>
      <rPr>
        <sz val="12"/>
        <rFont val="宋体"/>
        <charset val="134"/>
      </rPr>
      <t>年费标志</t>
    </r>
  </si>
  <si>
    <t>NFBZ</t>
  </si>
  <si>
    <r>
      <rPr>
        <sz val="12"/>
        <rFont val="宋体"/>
        <charset val="134"/>
      </rPr>
      <t>快捷支付标志</t>
    </r>
  </si>
  <si>
    <t>KJZFBZ</t>
  </si>
  <si>
    <t>是否绑定持有《支付业务许可证》非银行支付机构快捷支付。</t>
  </si>
  <si>
    <r>
      <rPr>
        <sz val="12"/>
        <rFont val="宋体"/>
        <charset val="134"/>
      </rPr>
      <t>网络支付标志</t>
    </r>
  </si>
  <si>
    <t>WLZFBZ</t>
  </si>
  <si>
    <r>
      <rPr>
        <sz val="12"/>
        <rFont val="宋体"/>
        <charset val="134"/>
      </rPr>
      <t>是否开通手机银行、网上银行等网络支付功能。</t>
    </r>
  </si>
  <si>
    <r>
      <rPr>
        <sz val="12"/>
        <rFont val="宋体"/>
        <charset val="134"/>
      </rPr>
      <t>异常标识</t>
    </r>
  </si>
  <si>
    <t>YCBS</t>
  </si>
  <si>
    <r>
      <rPr>
        <sz val="12"/>
        <rFont val="宋体"/>
        <charset val="134"/>
      </rPr>
      <t>限制措施</t>
    </r>
  </si>
  <si>
    <t>XZCS</t>
  </si>
  <si>
    <r>
      <rPr>
        <sz val="12"/>
        <rFont val="宋体"/>
        <charset val="134"/>
      </rPr>
      <t>发卡合作机构</t>
    </r>
  </si>
  <si>
    <t>FKHZJG</t>
  </si>
  <si>
    <r>
      <rPr>
        <sz val="12"/>
        <rFont val="宋体"/>
        <charset val="134"/>
      </rPr>
      <t>发卡渠道为</t>
    </r>
    <r>
      <rPr>
        <sz val="12"/>
        <rFont val="Times New Roman"/>
        <charset val="134"/>
      </rPr>
      <t>“</t>
    </r>
    <r>
      <rPr>
        <sz val="12"/>
        <rFont val="宋体"/>
        <charset val="134"/>
      </rPr>
      <t>第三方机构引流</t>
    </r>
    <r>
      <rPr>
        <sz val="12"/>
        <rFont val="Times New Roman"/>
        <charset val="134"/>
      </rPr>
      <t>”</t>
    </r>
    <r>
      <rPr>
        <sz val="12"/>
        <rFont val="宋体"/>
        <charset val="134"/>
      </rPr>
      <t>的，填报第三方机构名称。</t>
    </r>
  </si>
  <si>
    <r>
      <rPr>
        <sz val="12"/>
        <rFont val="宋体"/>
        <charset val="134"/>
      </rPr>
      <t>发卡合作机构代码</t>
    </r>
  </si>
  <si>
    <t>FKHZJGDM</t>
  </si>
  <si>
    <r>
      <rPr>
        <sz val="12"/>
        <rFont val="宋体"/>
        <charset val="134"/>
      </rPr>
      <t>发卡渠道为</t>
    </r>
    <r>
      <rPr>
        <sz val="12"/>
        <rFont val="Times New Roman"/>
        <charset val="134"/>
      </rPr>
      <t>“</t>
    </r>
    <r>
      <rPr>
        <sz val="12"/>
        <rFont val="宋体"/>
        <charset val="134"/>
      </rPr>
      <t>第三方机构引流</t>
    </r>
    <r>
      <rPr>
        <sz val="12"/>
        <rFont val="Times New Roman"/>
        <charset val="134"/>
      </rPr>
      <t>”</t>
    </r>
    <r>
      <rPr>
        <sz val="12"/>
        <rFont val="宋体"/>
        <charset val="134"/>
      </rPr>
      <t>的，填报第三方机构统一社会信用代码。</t>
    </r>
  </si>
  <si>
    <r>
      <rPr>
        <sz val="12"/>
        <rFont val="宋体"/>
        <charset val="134"/>
      </rPr>
      <t>联名卡标志</t>
    </r>
  </si>
  <si>
    <t>LMKBZ</t>
  </si>
  <si>
    <r>
      <rPr>
        <sz val="12"/>
        <rFont val="宋体"/>
        <charset val="134"/>
      </rPr>
      <t>联名卡名称</t>
    </r>
  </si>
  <si>
    <t>LMKMC</t>
  </si>
  <si>
    <r>
      <rPr>
        <sz val="12"/>
        <rFont val="宋体"/>
        <charset val="134"/>
      </rPr>
      <t>联名单位</t>
    </r>
  </si>
  <si>
    <t>LMDW</t>
  </si>
  <si>
    <r>
      <rPr>
        <sz val="12"/>
        <rFont val="宋体"/>
        <charset val="134"/>
      </rPr>
      <t>联名单位代码</t>
    </r>
  </si>
  <si>
    <t>LMDWDM</t>
  </si>
  <si>
    <r>
      <rPr>
        <sz val="12"/>
        <rFont val="宋体"/>
        <charset val="134"/>
      </rPr>
      <t>政策功能标志</t>
    </r>
  </si>
  <si>
    <t>ZCGNBZ</t>
  </si>
  <si>
    <r>
      <rPr>
        <sz val="12"/>
        <rFont val="宋体"/>
        <charset val="134"/>
      </rPr>
      <t>是否是政策法规要求银行业金融机构发行的附加政策功能的信用卡，如根据《中央预算单位公务卡管理暂行办法》（财库〔</t>
    </r>
    <r>
      <rPr>
        <sz val="12"/>
        <rFont val="Times New Roman"/>
        <charset val="134"/>
      </rPr>
      <t>2007</t>
    </r>
    <r>
      <rPr>
        <sz val="12"/>
        <rFont val="宋体"/>
        <charset val="134"/>
      </rPr>
      <t>〕</t>
    </r>
    <r>
      <rPr>
        <sz val="12"/>
        <rFont val="Times New Roman"/>
        <charset val="134"/>
      </rPr>
      <t>63</t>
    </r>
    <r>
      <rPr>
        <sz val="12"/>
        <rFont val="宋体"/>
        <charset val="134"/>
      </rPr>
      <t>号）发行公务卡等。</t>
    </r>
  </si>
  <si>
    <r>
      <rPr>
        <sz val="12"/>
        <rFont val="宋体"/>
        <charset val="134"/>
      </rPr>
      <t>本币信用额度</t>
    </r>
  </si>
  <si>
    <t>BBXYED</t>
  </si>
  <si>
    <r>
      <rPr>
        <sz val="12"/>
        <rFont val="宋体"/>
        <charset val="134"/>
      </rPr>
      <t>如卡号额度与信用卡账户额度共享的，填写信用卡账户总额度；卡号额度独立的填写该卡号额度</t>
    </r>
  </si>
  <si>
    <r>
      <rPr>
        <sz val="12"/>
        <rFont val="宋体"/>
        <charset val="134"/>
      </rPr>
      <t>外币币种</t>
    </r>
  </si>
  <si>
    <t>WBBZ</t>
  </si>
  <si>
    <r>
      <rPr>
        <sz val="12"/>
        <rFont val="宋体"/>
        <charset val="134"/>
      </rPr>
      <t>填写主要币种，一般由信用卡组织确定。</t>
    </r>
  </si>
  <si>
    <r>
      <rPr>
        <sz val="12"/>
        <rFont val="宋体"/>
        <charset val="134"/>
      </rPr>
      <t>外币信用额度</t>
    </r>
  </si>
  <si>
    <t>WBXYED</t>
  </si>
  <si>
    <r>
      <rPr>
        <sz val="12"/>
        <rFont val="宋体"/>
        <charset val="134"/>
      </rPr>
      <t>本币授信余额</t>
    </r>
  </si>
  <si>
    <t>BBSXYE</t>
  </si>
  <si>
    <r>
      <rPr>
        <sz val="12"/>
        <rFont val="宋体"/>
        <charset val="134"/>
      </rPr>
      <t>本币可用额度。</t>
    </r>
  </si>
  <si>
    <r>
      <rPr>
        <sz val="12"/>
        <rFont val="宋体"/>
        <charset val="134"/>
      </rPr>
      <t>外币授信余额</t>
    </r>
  </si>
  <si>
    <t>WBSXYE</t>
  </si>
  <si>
    <r>
      <rPr>
        <sz val="12"/>
        <rFont val="宋体"/>
        <charset val="134"/>
      </rPr>
      <t>外币可用余额。</t>
    </r>
  </si>
  <si>
    <r>
      <rPr>
        <sz val="12"/>
        <rFont val="宋体"/>
        <charset val="134"/>
      </rPr>
      <t>最后动户交易日期</t>
    </r>
  </si>
  <si>
    <t>ZHDHJYRQ</t>
  </si>
  <si>
    <r>
      <rPr>
        <sz val="12"/>
        <rFont val="宋体"/>
        <charset val="134"/>
      </rPr>
      <t>销卡日期</t>
    </r>
  </si>
  <si>
    <t>XKRQ</t>
  </si>
  <si>
    <r>
      <rPr>
        <sz val="12"/>
        <rFont val="宋体"/>
        <charset val="134"/>
      </rPr>
      <t>信用卡销卡的日期。卡片状态正常时，填默认值。</t>
    </r>
  </si>
  <si>
    <r>
      <rPr>
        <sz val="12"/>
        <rFont val="宋体"/>
        <charset val="134"/>
      </rPr>
      <t>销卡柜员号</t>
    </r>
  </si>
  <si>
    <t>XKYGH</t>
  </si>
  <si>
    <r>
      <rPr>
        <sz val="12"/>
        <rFont val="宋体"/>
        <charset val="134"/>
      </rPr>
      <t>指办理销卡的柜员号，关联数据项：柜员表</t>
    </r>
    <r>
      <rPr>
        <sz val="12"/>
        <rFont val="Times New Roman"/>
        <charset val="134"/>
      </rPr>
      <t>.</t>
    </r>
    <r>
      <rPr>
        <sz val="12"/>
        <rFont val="宋体"/>
        <charset val="134"/>
      </rPr>
      <t>柜员号。自动办理的柜员号允许为空。</t>
    </r>
  </si>
  <si>
    <r>
      <rPr>
        <sz val="12"/>
        <rFont val="宋体"/>
        <charset val="134"/>
      </rPr>
      <t>信用卡交易明细表</t>
    </r>
  </si>
  <si>
    <r>
      <rPr>
        <sz val="12"/>
        <rFont val="宋体"/>
        <charset val="134"/>
      </rPr>
      <t>如包含个人身份证件号码，则为隐私，银行机构需做变形，变形规则见《采集技术接口说明》。关联数据项：个人基础信息表</t>
    </r>
    <r>
      <rPr>
        <sz val="12"/>
        <rFont val="Times New Roman"/>
        <charset val="134"/>
      </rPr>
      <t>.</t>
    </r>
    <r>
      <rPr>
        <sz val="12"/>
        <rFont val="宋体"/>
        <charset val="134"/>
      </rPr>
      <t>客户统一编号</t>
    </r>
    <r>
      <rPr>
        <sz val="12"/>
        <rFont val="Times New Roman"/>
        <charset val="134"/>
      </rPr>
      <t xml:space="preserve"> </t>
    </r>
    <r>
      <rPr>
        <sz val="12"/>
        <rFont val="宋体"/>
        <charset val="134"/>
      </rPr>
      <t>或对公客户信息表</t>
    </r>
    <r>
      <rPr>
        <sz val="12"/>
        <rFont val="Times New Roman"/>
        <charset val="134"/>
      </rPr>
      <t>.</t>
    </r>
    <r>
      <rPr>
        <sz val="12"/>
        <rFont val="宋体"/>
        <charset val="134"/>
      </rPr>
      <t>客户统一编号</t>
    </r>
  </si>
  <si>
    <r>
      <rPr>
        <sz val="12"/>
        <rFont val="宋体"/>
        <charset val="134"/>
      </rPr>
      <t>持卡人证件类别</t>
    </r>
  </si>
  <si>
    <r>
      <rPr>
        <sz val="12"/>
        <rFont val="宋体"/>
        <charset val="134"/>
      </rPr>
      <t>持卡人证件号码。隐私，银行机构变形。变形规则见《采集技术接口说明》。</t>
    </r>
  </si>
  <si>
    <r>
      <rPr>
        <sz val="12"/>
        <rFont val="宋体"/>
        <charset val="134"/>
      </rPr>
      <t>数据项名称、数据项代码、格式</t>
    </r>
  </si>
  <si>
    <r>
      <rPr>
        <sz val="12"/>
        <rFont val="宋体"/>
        <charset val="134"/>
      </rPr>
      <t>关联数据项：信用卡信息表</t>
    </r>
    <r>
      <rPr>
        <sz val="12"/>
        <rFont val="Times New Roman"/>
        <charset val="134"/>
      </rPr>
      <t>.</t>
    </r>
    <r>
      <rPr>
        <sz val="12"/>
        <rFont val="宋体"/>
        <charset val="134"/>
      </rPr>
      <t>信用卡账号</t>
    </r>
  </si>
  <si>
    <r>
      <rPr>
        <sz val="12"/>
        <rFont val="Times New Roman"/>
        <charset val="134"/>
      </rPr>
      <t>PK</t>
    </r>
    <r>
      <rPr>
        <sz val="12"/>
        <rFont val="宋体"/>
        <charset val="134"/>
      </rPr>
      <t>。关联数据项：信用卡信息表</t>
    </r>
    <r>
      <rPr>
        <sz val="12"/>
        <rFont val="Times New Roman"/>
        <charset val="134"/>
      </rPr>
      <t>.</t>
    </r>
    <r>
      <rPr>
        <sz val="12"/>
        <rFont val="宋体"/>
        <charset val="134"/>
      </rPr>
      <t>卡号</t>
    </r>
  </si>
  <si>
    <t>KPJYLX</t>
  </si>
  <si>
    <r>
      <rPr>
        <sz val="12"/>
        <rFont val="宋体"/>
        <charset val="134"/>
      </rPr>
      <t>无法以枚举类型填报的，以</t>
    </r>
    <r>
      <rPr>
        <sz val="12"/>
        <rFont val="Times New Roman"/>
        <charset val="134"/>
      </rPr>
      <t>“XX”</t>
    </r>
    <r>
      <rPr>
        <sz val="12"/>
        <rFont val="宋体"/>
        <charset val="134"/>
      </rPr>
      <t>报送，其中</t>
    </r>
    <r>
      <rPr>
        <sz val="12"/>
        <rFont val="Times New Roman"/>
        <charset val="134"/>
      </rPr>
      <t>“XX”</t>
    </r>
    <r>
      <rPr>
        <sz val="12"/>
        <rFont val="宋体"/>
        <charset val="134"/>
      </rPr>
      <t>为银行自定义类型。</t>
    </r>
    <r>
      <rPr>
        <sz val="12"/>
        <rFont val="Times New Roman"/>
        <charset val="134"/>
      </rPr>
      <t>“</t>
    </r>
    <r>
      <rPr>
        <sz val="12"/>
        <rFont val="宋体"/>
        <charset val="134"/>
      </rPr>
      <t>现金交易</t>
    </r>
    <r>
      <rPr>
        <sz val="12"/>
        <rFont val="Times New Roman"/>
        <charset val="134"/>
      </rPr>
      <t>”</t>
    </r>
    <r>
      <rPr>
        <sz val="12"/>
        <rFont val="宋体"/>
        <charset val="134"/>
      </rPr>
      <t>包括如现金借款、</t>
    </r>
    <r>
      <rPr>
        <sz val="12"/>
        <rFont val="Times New Roman"/>
        <charset val="134"/>
      </rPr>
      <t>ATM</t>
    </r>
    <r>
      <rPr>
        <sz val="12"/>
        <rFont val="宋体"/>
        <charset val="134"/>
      </rPr>
      <t>取现等非消费类交易。</t>
    </r>
    <r>
      <rPr>
        <sz val="12"/>
        <rFont val="Times New Roman"/>
        <charset val="134"/>
      </rPr>
      <t>“</t>
    </r>
    <r>
      <rPr>
        <sz val="12"/>
        <rFont val="宋体"/>
        <charset val="134"/>
      </rPr>
      <t>转账交易</t>
    </r>
    <r>
      <rPr>
        <sz val="12"/>
        <rFont val="Times New Roman"/>
        <charset val="134"/>
      </rPr>
      <t>”</t>
    </r>
    <r>
      <rPr>
        <sz val="12"/>
        <rFont val="宋体"/>
        <charset val="134"/>
      </rPr>
      <t>主要针对贷记卡及准贷记卡的转账交易。退换类交易包含在</t>
    </r>
    <r>
      <rPr>
        <sz val="12"/>
        <rFont val="Times New Roman"/>
        <charset val="134"/>
      </rPr>
      <t>“</t>
    </r>
    <r>
      <rPr>
        <sz val="12"/>
        <rFont val="宋体"/>
        <charset val="134"/>
      </rPr>
      <t>消费交易</t>
    </r>
    <r>
      <rPr>
        <sz val="12"/>
        <rFont val="Times New Roman"/>
        <charset val="134"/>
      </rPr>
      <t>”</t>
    </r>
    <r>
      <rPr>
        <sz val="12"/>
        <rFont val="宋体"/>
        <charset val="134"/>
      </rPr>
      <t>。</t>
    </r>
  </si>
  <si>
    <r>
      <rPr>
        <sz val="12"/>
        <rFont val="Times New Roman"/>
        <charset val="134"/>
      </rPr>
      <t>PK</t>
    </r>
    <r>
      <rPr>
        <sz val="12"/>
        <rFont val="宋体"/>
        <charset val="134"/>
      </rPr>
      <t>。填刷卡日期，对于余额结转记录为余额结转日期。</t>
    </r>
  </si>
  <si>
    <r>
      <rPr>
        <sz val="12"/>
        <rFont val="宋体"/>
        <charset val="134"/>
      </rPr>
      <t>该笔交易的币种。</t>
    </r>
  </si>
  <si>
    <r>
      <rPr>
        <sz val="12"/>
        <rFont val="宋体"/>
        <charset val="134"/>
      </rPr>
      <t>本笔交易时点完成后该时点包含利息的账户余额。存在溢缴款时账户余额为正，其他时候账户为负。</t>
    </r>
  </si>
  <si>
    <r>
      <rPr>
        <sz val="12"/>
        <rFont val="宋体"/>
        <charset val="134"/>
      </rPr>
      <t>客户往账业务对应传票上记载的最终交易对手信息。</t>
    </r>
    <r>
      <rPr>
        <sz val="12"/>
        <rFont val="Times New Roman"/>
        <charset val="134"/>
      </rPr>
      <t xml:space="preserve">
1. </t>
    </r>
    <r>
      <rPr>
        <sz val="12"/>
        <rFont val="宋体"/>
        <charset val="134"/>
      </rPr>
      <t>交易标志为</t>
    </r>
    <r>
      <rPr>
        <sz val="12"/>
        <rFont val="Times New Roman"/>
        <charset val="134"/>
      </rPr>
      <t>“</t>
    </r>
    <r>
      <rPr>
        <sz val="12"/>
        <rFont val="宋体"/>
        <charset val="134"/>
      </rPr>
      <t>线上</t>
    </r>
    <r>
      <rPr>
        <sz val="12"/>
        <rFont val="Times New Roman"/>
        <charset val="134"/>
      </rPr>
      <t>”</t>
    </r>
    <r>
      <rPr>
        <sz val="12"/>
        <rFont val="宋体"/>
        <charset val="134"/>
      </rPr>
      <t>时，交易对手信息必填；交易标志为</t>
    </r>
    <r>
      <rPr>
        <sz val="12"/>
        <rFont val="Times New Roman"/>
        <charset val="134"/>
      </rPr>
      <t>“</t>
    </r>
    <r>
      <rPr>
        <sz val="12"/>
        <rFont val="宋体"/>
        <charset val="134"/>
      </rPr>
      <t>线下</t>
    </r>
    <r>
      <rPr>
        <sz val="12"/>
        <rFont val="Times New Roman"/>
        <charset val="134"/>
      </rPr>
      <t>”</t>
    </r>
    <r>
      <rPr>
        <sz val="12"/>
        <rFont val="宋体"/>
        <charset val="134"/>
      </rPr>
      <t>，交易渠道为</t>
    </r>
    <r>
      <rPr>
        <sz val="12"/>
        <rFont val="Times New Roman"/>
        <charset val="134"/>
      </rPr>
      <t>“POS”</t>
    </r>
    <r>
      <rPr>
        <sz val="12"/>
        <rFont val="宋体"/>
        <charset val="134"/>
      </rPr>
      <t>时，交易对手信息必填。</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消费、退货、计提利息、计提手续费、手工调账等交易，交易对手填实际转入或转出的外部账户或内部分户账，并在摘要中注明交易类型，不可为空。</t>
    </r>
  </si>
  <si>
    <r>
      <rPr>
        <sz val="12"/>
        <rFont val="宋体"/>
        <charset val="134"/>
      </rPr>
      <t>交易对手的开户名称。若交易对手为个人，则为隐私，银行机构变形，填写个人姓名最后一个字。其他情况则为非隐私，不做变形。</t>
    </r>
    <r>
      <rPr>
        <sz val="12"/>
        <rFont val="Times New Roman"/>
        <charset val="134"/>
      </rPr>
      <t xml:space="preserve">
1. </t>
    </r>
    <r>
      <rPr>
        <sz val="12"/>
        <rFont val="宋体"/>
        <charset val="134"/>
      </rPr>
      <t>交易标志为</t>
    </r>
    <r>
      <rPr>
        <sz val="12"/>
        <rFont val="Times New Roman"/>
        <charset val="134"/>
      </rPr>
      <t>“</t>
    </r>
    <r>
      <rPr>
        <sz val="12"/>
        <rFont val="宋体"/>
        <charset val="134"/>
      </rPr>
      <t>线上</t>
    </r>
    <r>
      <rPr>
        <sz val="12"/>
        <rFont val="Times New Roman"/>
        <charset val="134"/>
      </rPr>
      <t>”</t>
    </r>
    <r>
      <rPr>
        <sz val="12"/>
        <rFont val="宋体"/>
        <charset val="134"/>
      </rPr>
      <t>时，交易对手信息必填；交易标志为</t>
    </r>
    <r>
      <rPr>
        <sz val="12"/>
        <rFont val="Times New Roman"/>
        <charset val="134"/>
      </rPr>
      <t>“</t>
    </r>
    <r>
      <rPr>
        <sz val="12"/>
        <rFont val="宋体"/>
        <charset val="134"/>
      </rPr>
      <t>线下</t>
    </r>
    <r>
      <rPr>
        <sz val="12"/>
        <rFont val="Times New Roman"/>
        <charset val="134"/>
      </rPr>
      <t>”</t>
    </r>
    <r>
      <rPr>
        <sz val="12"/>
        <rFont val="宋体"/>
        <charset val="134"/>
      </rPr>
      <t>，交易渠道为</t>
    </r>
    <r>
      <rPr>
        <sz val="12"/>
        <rFont val="Times New Roman"/>
        <charset val="134"/>
      </rPr>
      <t>“POS”</t>
    </r>
    <r>
      <rPr>
        <sz val="12"/>
        <rFont val="宋体"/>
        <charset val="134"/>
      </rPr>
      <t>时，交易对手信息必填。</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消费、退货、计提利息、计提手续费、手工调账等交易，交易对手填实际转入或转出的外部账户或内部分户账，并在摘要中注明，不可为空。</t>
    </r>
  </si>
  <si>
    <r>
      <rPr>
        <sz val="12"/>
        <rFont val="宋体"/>
        <charset val="134"/>
      </rPr>
      <t>交易对手的银行机构代码。</t>
    </r>
    <r>
      <rPr>
        <sz val="12"/>
        <rFont val="Times New Roman"/>
        <charset val="134"/>
      </rPr>
      <t xml:space="preserve">
1. </t>
    </r>
    <r>
      <rPr>
        <sz val="12"/>
        <rFont val="宋体"/>
        <charset val="134"/>
      </rPr>
      <t>交易对手为境外账户时，对方行号可填</t>
    </r>
    <r>
      <rPr>
        <sz val="12"/>
        <rFont val="Times New Roman"/>
        <charset val="134"/>
      </rPr>
      <t>SWIFT</t>
    </r>
    <r>
      <rPr>
        <sz val="12"/>
        <rFont val="宋体"/>
        <charset val="134"/>
      </rPr>
      <t>编码。</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消费、退货、计提利息、计提手续费、手工调账等交易，交易对手填实际转入或转出的外部账户或内部分户账，并在摘要中注明，不可为空。</t>
    </r>
  </si>
  <si>
    <r>
      <rPr>
        <sz val="12"/>
        <rFont val="宋体"/>
        <charset val="134"/>
      </rPr>
      <t>交易对手的银行机构名称。</t>
    </r>
    <r>
      <rPr>
        <sz val="12"/>
        <rFont val="Times New Roman"/>
        <charset val="134"/>
      </rPr>
      <t xml:space="preserve">
1. </t>
    </r>
    <r>
      <rPr>
        <sz val="12"/>
        <rFont val="宋体"/>
        <charset val="134"/>
      </rPr>
      <t>交易对手为境外账户时，对方行名可填报英文名称。</t>
    </r>
    <r>
      <rPr>
        <sz val="12"/>
        <rFont val="Times New Roman"/>
        <charset val="134"/>
      </rPr>
      <t xml:space="preserve">
2. </t>
    </r>
    <r>
      <rPr>
        <sz val="12"/>
        <rFont val="宋体"/>
        <charset val="134"/>
      </rPr>
      <t>该笔明细交易是转账交易的，对方账号和对方户名必须填实际收款人，不可填中间过渡账户或清算账户。</t>
    </r>
    <r>
      <rPr>
        <sz val="12"/>
        <rFont val="Times New Roman"/>
        <charset val="134"/>
      </rPr>
      <t xml:space="preserve">
3. </t>
    </r>
    <r>
      <rPr>
        <sz val="12"/>
        <rFont val="宋体"/>
        <charset val="134"/>
      </rPr>
      <t>交易对手是第三方支付平台账号的，对方账号填报为交易对手第三方支付账号，对方户名填报为交易对手的第三方支付户名，对方行名填报为第三方支付平台名称，对方行号允许为空。</t>
    </r>
    <r>
      <rPr>
        <sz val="12"/>
        <rFont val="Times New Roman"/>
        <charset val="134"/>
      </rPr>
      <t xml:space="preserve">
4. </t>
    </r>
    <r>
      <rPr>
        <sz val="12"/>
        <rFont val="宋体"/>
        <charset val="134"/>
      </rPr>
      <t>对于代收、代扣、代缴等交易的，对方账号和对方户名必须填实际收款人，不可填中间过渡账户或清算账户；对于代发等代付业务，交易对手为多个的，允许交易对手可以登记为中间过渡账户。</t>
    </r>
    <r>
      <rPr>
        <sz val="12"/>
        <rFont val="Times New Roman"/>
        <charset val="134"/>
      </rPr>
      <t xml:space="preserve">
5. </t>
    </r>
    <r>
      <rPr>
        <sz val="12"/>
        <rFont val="宋体"/>
        <charset val="134"/>
      </rPr>
      <t>对方账号与对方户名必须一致，对应同一实体。</t>
    </r>
    <r>
      <rPr>
        <sz val="12"/>
        <rFont val="Times New Roman"/>
        <charset val="134"/>
      </rPr>
      <t xml:space="preserve">
6. </t>
    </r>
    <r>
      <rPr>
        <sz val="12"/>
        <rFont val="宋体"/>
        <charset val="134"/>
      </rPr>
      <t>若对方账户是境内银行机构开立的账户，则对方行号必须是</t>
    </r>
    <r>
      <rPr>
        <sz val="12"/>
        <rFont val="Times New Roman"/>
        <charset val="134"/>
      </rPr>
      <t>12</t>
    </r>
    <r>
      <rPr>
        <sz val="12"/>
        <rFont val="宋体"/>
        <charset val="134"/>
      </rPr>
      <t>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r>
    <r>
      <rPr>
        <sz val="12"/>
        <rFont val="Times New Roman"/>
        <charset val="134"/>
      </rPr>
      <t xml:space="preserve">
7. </t>
    </r>
    <r>
      <rPr>
        <sz val="12"/>
        <rFont val="宋体"/>
        <charset val="134"/>
      </rPr>
      <t>消费、退货、计提利息、计提手续费、手工调账等交易，交易对手填实际转入或转出的外部账户或内部分户账，并在摘要中注明，不可为空。</t>
    </r>
  </si>
  <si>
    <r>
      <rPr>
        <sz val="12"/>
        <rFont val="宋体"/>
        <charset val="134"/>
      </rPr>
      <t>指持卡人实际支付的商户编号，不仅包括银行自有商户编号，第三方支付机构收单对应的交易也需填报商户编号。若不涉及商户，允许为空。</t>
    </r>
  </si>
  <si>
    <r>
      <rPr>
        <sz val="12"/>
        <rFont val="宋体"/>
        <charset val="134"/>
      </rPr>
      <t>指持卡人实际支付的商户名称。若不涉及商户，可以为空。</t>
    </r>
  </si>
  <si>
    <t>XSXXJYBZ</t>
  </si>
  <si>
    <r>
      <rPr>
        <sz val="12"/>
        <rFont val="宋体"/>
        <charset val="134"/>
      </rPr>
      <t>线下交易包括</t>
    </r>
    <r>
      <rPr>
        <sz val="12"/>
        <rFont val="Times New Roman"/>
        <charset val="134"/>
      </rPr>
      <t>POS</t>
    </r>
    <r>
      <rPr>
        <sz val="12"/>
        <rFont val="宋体"/>
        <charset val="134"/>
      </rPr>
      <t>机刷卡，自助机取现等交易，线上交易包括网上银行、手机支付、二维码支付等交易。</t>
    </r>
  </si>
  <si>
    <r>
      <rPr>
        <sz val="12"/>
        <rFont val="宋体"/>
        <charset val="134"/>
      </rPr>
      <t>交易账单日期</t>
    </r>
  </si>
  <si>
    <t>JYZDRQ</t>
  </si>
  <si>
    <r>
      <rPr>
        <sz val="12"/>
        <rFont val="宋体"/>
        <charset val="134"/>
      </rPr>
      <t>填写该笔交易对应的账单日期。如果为消费交易，填报交易后最近的账单出账日期。如果为还款交易，填报为空。</t>
    </r>
  </si>
  <si>
    <r>
      <rPr>
        <sz val="12"/>
        <rFont val="宋体"/>
        <charset val="134"/>
      </rPr>
      <t>最迟还款日期</t>
    </r>
  </si>
  <si>
    <t>ZCHKRQ</t>
  </si>
  <si>
    <r>
      <rPr>
        <sz val="12"/>
        <rFont val="宋体"/>
        <charset val="134"/>
      </rPr>
      <t>填写该笔交易的最迟还款日期。如果为消费交易，填报交易后最近的账单出账日期。如果为还款交易，填报为空。</t>
    </r>
  </si>
  <si>
    <r>
      <rPr>
        <sz val="12"/>
        <rFont val="宋体"/>
        <charset val="134"/>
      </rPr>
      <t>分期付款标志</t>
    </r>
  </si>
  <si>
    <t>FQFKBZ</t>
  </si>
  <si>
    <r>
      <rPr>
        <sz val="12"/>
        <rFont val="宋体"/>
        <charset val="134"/>
      </rPr>
      <t>填报为：</t>
    </r>
    <r>
      <rPr>
        <sz val="12"/>
        <rFont val="Times New Roman"/>
        <charset val="134"/>
      </rPr>
      <t>“</t>
    </r>
    <r>
      <rPr>
        <sz val="12"/>
        <rFont val="宋体"/>
        <charset val="134"/>
      </rPr>
      <t>是</t>
    </r>
    <r>
      <rPr>
        <sz val="12"/>
        <rFont val="Times New Roman"/>
        <charset val="134"/>
      </rPr>
      <t>”</t>
    </r>
    <r>
      <rPr>
        <sz val="12"/>
        <rFont val="宋体"/>
        <charset val="134"/>
      </rPr>
      <t>或</t>
    </r>
    <r>
      <rPr>
        <sz val="12"/>
        <rFont val="Times New Roman"/>
        <charset val="134"/>
      </rPr>
      <t>“</t>
    </r>
    <r>
      <rPr>
        <sz val="12"/>
        <rFont val="宋体"/>
        <charset val="134"/>
      </rPr>
      <t>否</t>
    </r>
    <r>
      <rPr>
        <sz val="12"/>
        <rFont val="Times New Roman"/>
        <charset val="134"/>
      </rPr>
      <t>”</t>
    </r>
  </si>
  <si>
    <r>
      <rPr>
        <sz val="12"/>
        <rFont val="宋体"/>
        <charset val="134"/>
      </rPr>
      <t>提前结清标志</t>
    </r>
  </si>
  <si>
    <t>TQJQBZ</t>
  </si>
  <si>
    <r>
      <rPr>
        <sz val="12"/>
        <rFont val="宋体"/>
        <charset val="134"/>
      </rPr>
      <t>分期业务提前结清标志。</t>
    </r>
  </si>
  <si>
    <r>
      <rPr>
        <sz val="12"/>
        <rFont val="宋体"/>
        <charset val="134"/>
      </rPr>
      <t>若交易渠道为商户</t>
    </r>
    <r>
      <rPr>
        <sz val="12"/>
        <rFont val="Times New Roman"/>
        <charset val="134"/>
      </rPr>
      <t>POS</t>
    </r>
    <r>
      <rPr>
        <sz val="12"/>
        <rFont val="宋体"/>
        <charset val="134"/>
      </rPr>
      <t>，填报刷卡终端的</t>
    </r>
    <r>
      <rPr>
        <sz val="12"/>
        <rFont val="Times New Roman"/>
        <charset val="134"/>
      </rPr>
      <t>IP</t>
    </r>
    <r>
      <rPr>
        <sz val="12"/>
        <rFont val="宋体"/>
        <charset val="134"/>
      </rPr>
      <t>地址。若交易渠道为网银、手机银行，填写交易发起终端的</t>
    </r>
    <r>
      <rPr>
        <sz val="12"/>
        <rFont val="Times New Roman"/>
        <charset val="134"/>
      </rPr>
      <t>IP</t>
    </r>
    <r>
      <rPr>
        <sz val="12"/>
        <rFont val="宋体"/>
        <charset val="134"/>
      </rPr>
      <t>地址。其他情况允许为空。</t>
    </r>
  </si>
  <si>
    <r>
      <rPr>
        <sz val="12"/>
        <rFont val="宋体"/>
        <charset val="134"/>
      </rPr>
      <t>若交易渠道为商户</t>
    </r>
    <r>
      <rPr>
        <sz val="12"/>
        <rFont val="Times New Roman"/>
        <charset val="134"/>
      </rPr>
      <t>POS</t>
    </r>
    <r>
      <rPr>
        <sz val="12"/>
        <rFont val="宋体"/>
        <charset val="134"/>
      </rPr>
      <t>，填报刷卡终端的设备地址。若交易渠道为网银、手机银行，需填写交易发起终端的设备地址。其他情况允许为空。</t>
    </r>
  </si>
  <si>
    <r>
      <rPr>
        <sz val="12"/>
        <rFont val="宋体"/>
        <charset val="134"/>
      </rPr>
      <t>信用卡授信情况表</t>
    </r>
  </si>
  <si>
    <r>
      <rPr>
        <sz val="12"/>
        <rFont val="宋体"/>
        <charset val="134"/>
      </rPr>
      <t>表名，备注</t>
    </r>
  </si>
  <si>
    <r>
      <rPr>
        <sz val="12"/>
        <rFont val="宋体"/>
        <charset val="134"/>
      </rPr>
      <t>填报客户归属的银行机构。关联数据项：机构信息表</t>
    </r>
    <r>
      <rPr>
        <sz val="12"/>
        <rFont val="Times New Roman"/>
        <charset val="134"/>
      </rPr>
      <t>.</t>
    </r>
    <r>
      <rPr>
        <sz val="12"/>
        <rFont val="宋体"/>
        <charset val="134"/>
      </rPr>
      <t>金融许可证号</t>
    </r>
  </si>
  <si>
    <r>
      <rPr>
        <sz val="12"/>
        <rFont val="Times New Roman"/>
        <charset val="134"/>
      </rPr>
      <t>PK</t>
    </r>
    <r>
      <rPr>
        <sz val="12"/>
        <rFont val="宋体"/>
        <charset val="134"/>
      </rPr>
      <t>。关联数据项：个人基础信息表</t>
    </r>
    <r>
      <rPr>
        <sz val="12"/>
        <rFont val="Times New Roman"/>
        <charset val="134"/>
      </rPr>
      <t>.</t>
    </r>
    <r>
      <rPr>
        <sz val="12"/>
        <rFont val="宋体"/>
        <charset val="134"/>
      </rPr>
      <t>客户统一编号</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对公客户信息表</t>
    </r>
    <r>
      <rPr>
        <sz val="12"/>
        <rFont val="Times New Roman"/>
        <charset val="134"/>
      </rPr>
      <t>.</t>
    </r>
    <r>
      <rPr>
        <sz val="12"/>
        <rFont val="宋体"/>
        <charset val="134"/>
      </rPr>
      <t>客户统一编号。</t>
    </r>
  </si>
  <si>
    <r>
      <rPr>
        <sz val="12"/>
        <rFont val="宋体"/>
        <charset val="134"/>
      </rPr>
      <t>持卡人证件类别。</t>
    </r>
  </si>
  <si>
    <r>
      <rPr>
        <sz val="12"/>
        <rFont val="宋体"/>
        <charset val="134"/>
      </rPr>
      <t>持卡人若为个人客户，则证件号码为隐私，银行机构变形，变形规则见《采集技术接口说明》。若为对公客户，则不做变形。</t>
    </r>
  </si>
  <si>
    <r>
      <rPr>
        <sz val="12"/>
        <rFont val="Times New Roman"/>
        <charset val="134"/>
      </rPr>
      <t>PK</t>
    </r>
    <r>
      <rPr>
        <sz val="12"/>
        <rFont val="宋体"/>
        <charset val="134"/>
      </rPr>
      <t>。以账号维度填报，多个账号填多条记录。</t>
    </r>
  </si>
  <si>
    <r>
      <rPr>
        <sz val="12"/>
        <rFont val="宋体"/>
        <charset val="134"/>
      </rPr>
      <t>同一账户多个币种共享额度的，按结算币种统一折算填报。</t>
    </r>
  </si>
  <si>
    <r>
      <rPr>
        <sz val="12"/>
        <rFont val="宋体"/>
        <charset val="134"/>
      </rPr>
      <t>截止数据采集时点的账户余额。存在溢缴款时账户余额为正，其他时候账户为负或</t>
    </r>
    <r>
      <rPr>
        <sz val="12"/>
        <rFont val="Times New Roman"/>
        <charset val="134"/>
      </rPr>
      <t>0</t>
    </r>
    <r>
      <rPr>
        <sz val="12"/>
        <rFont val="宋体"/>
        <charset val="134"/>
      </rPr>
      <t>。同一账户多个币种共享额度的，按记账币种统一折算填报。</t>
    </r>
  </si>
  <si>
    <r>
      <rPr>
        <sz val="12"/>
        <rFont val="宋体"/>
        <charset val="134"/>
      </rPr>
      <t>总授信额度上限</t>
    </r>
  </si>
  <si>
    <t>ZSXEDSX</t>
  </si>
  <si>
    <r>
      <rPr>
        <sz val="12"/>
        <rFont val="宋体"/>
        <charset val="134"/>
      </rPr>
      <t>银行业金融机构根据客户信用状况、收入状况、财务状况等设置的单一客户信用卡总授信额度上限。</t>
    </r>
  </si>
  <si>
    <r>
      <rPr>
        <sz val="12"/>
        <rFont val="宋体"/>
        <charset val="134"/>
      </rPr>
      <t>预借现金授信额度</t>
    </r>
  </si>
  <si>
    <t>YJXJSXED</t>
  </si>
  <si>
    <r>
      <rPr>
        <sz val="12"/>
        <rFont val="宋体"/>
        <charset val="134"/>
      </rPr>
      <t>最近授信评估日期</t>
    </r>
  </si>
  <si>
    <t>ZJSXPGRQ</t>
  </si>
  <si>
    <r>
      <rPr>
        <sz val="12"/>
        <rFont val="宋体"/>
        <charset val="134"/>
      </rPr>
      <t>当前授信额度</t>
    </r>
  </si>
  <si>
    <t>DQSXED</t>
  </si>
  <si>
    <r>
      <rPr>
        <sz val="12"/>
        <rFont val="宋体"/>
        <charset val="134"/>
      </rPr>
      <t>以账户维度填写该账户下总额度，包含临时额度</t>
    </r>
  </si>
  <si>
    <r>
      <rPr>
        <sz val="12"/>
        <rFont val="宋体"/>
        <charset val="134"/>
      </rPr>
      <t>其中临时额度</t>
    </r>
  </si>
  <si>
    <t>QZLSED</t>
  </si>
  <si>
    <r>
      <rPr>
        <sz val="12"/>
        <rFont val="宋体"/>
        <charset val="134"/>
      </rPr>
      <t>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r>
  </si>
  <si>
    <r>
      <rPr>
        <sz val="12"/>
        <rFont val="宋体"/>
        <charset val="134"/>
      </rPr>
      <t>透支金额</t>
    </r>
  </si>
  <si>
    <t>TZJE</t>
  </si>
  <si>
    <r>
      <rPr>
        <sz val="12"/>
        <rFont val="宋体"/>
        <charset val="134"/>
      </rPr>
      <t>填报客户当前尚未偿还的本金，不含利息。</t>
    </r>
  </si>
  <si>
    <r>
      <rPr>
        <sz val="12"/>
        <rFont val="宋体"/>
        <charset val="134"/>
      </rPr>
      <t>其中分期余额</t>
    </r>
  </si>
  <si>
    <t>QZFQYE</t>
  </si>
  <si>
    <r>
      <rPr>
        <sz val="12"/>
        <rFont val="宋体"/>
        <charset val="134"/>
      </rPr>
      <t>以账户维度填写该账户下分期余额。</t>
    </r>
  </si>
  <si>
    <r>
      <rPr>
        <sz val="12"/>
        <rFont val="宋体"/>
        <charset val="134"/>
      </rPr>
      <t>冻结金额</t>
    </r>
  </si>
  <si>
    <t>DJYE</t>
  </si>
  <si>
    <r>
      <rPr>
        <sz val="12"/>
        <rFont val="宋体"/>
        <charset val="134"/>
      </rPr>
      <t>根据业务实际情况，无冻结情况的可以不填。</t>
    </r>
  </si>
  <si>
    <r>
      <rPr>
        <sz val="12"/>
        <rFont val="宋体"/>
        <charset val="134"/>
      </rPr>
      <t>当前授信余额</t>
    </r>
  </si>
  <si>
    <t>DQSXYE</t>
  </si>
  <si>
    <r>
      <rPr>
        <sz val="12"/>
        <rFont val="宋体"/>
        <charset val="134"/>
      </rPr>
      <t>以账户维度填写该账户下可用的授信余额。当前授信余额</t>
    </r>
    <r>
      <rPr>
        <sz val="12"/>
        <rFont val="Times New Roman"/>
        <charset val="134"/>
      </rPr>
      <t>=</t>
    </r>
    <r>
      <rPr>
        <sz val="12"/>
        <rFont val="宋体"/>
        <charset val="134"/>
      </rPr>
      <t>当前授信额度</t>
    </r>
    <r>
      <rPr>
        <sz val="12"/>
        <rFont val="Times New Roman"/>
        <charset val="134"/>
      </rPr>
      <t>-</t>
    </r>
    <r>
      <rPr>
        <sz val="12"/>
        <rFont val="宋体"/>
        <charset val="134"/>
      </rPr>
      <t>透支金额</t>
    </r>
  </si>
  <si>
    <r>
      <rPr>
        <sz val="12"/>
        <rFont val="宋体"/>
        <charset val="134"/>
      </rPr>
      <t>逾期金额</t>
    </r>
  </si>
  <si>
    <t>YQJE</t>
  </si>
  <si>
    <r>
      <rPr>
        <sz val="12"/>
        <rFont val="宋体"/>
        <charset val="134"/>
      </rPr>
      <t>逾期未还本金之和。</t>
    </r>
  </si>
  <si>
    <r>
      <rPr>
        <sz val="12"/>
        <rFont val="宋体"/>
        <charset val="134"/>
      </rPr>
      <t>逾期日期</t>
    </r>
  </si>
  <si>
    <t>YQRQ</t>
  </si>
  <si>
    <r>
      <rPr>
        <sz val="12"/>
        <rFont val="宋体"/>
        <charset val="134"/>
      </rPr>
      <t>如未逾期或已归还，填报默认值</t>
    </r>
    <r>
      <rPr>
        <sz val="12"/>
        <rFont val="Times New Roman"/>
        <charset val="134"/>
      </rPr>
      <t>99991231</t>
    </r>
    <r>
      <rPr>
        <sz val="12"/>
        <rFont val="宋体"/>
        <charset val="134"/>
      </rPr>
      <t>。</t>
    </r>
  </si>
  <si>
    <r>
      <rPr>
        <sz val="12"/>
        <rFont val="宋体"/>
        <charset val="134"/>
      </rPr>
      <t>应收息费</t>
    </r>
  </si>
  <si>
    <t>YSXF</t>
  </si>
  <si>
    <r>
      <rPr>
        <sz val="12"/>
        <rFont val="宋体"/>
        <charset val="134"/>
      </rPr>
      <t>应收息费包含滞纳金、罚息及利息。</t>
    </r>
  </si>
  <si>
    <r>
      <rPr>
        <sz val="12"/>
        <rFont val="宋体"/>
        <charset val="134"/>
      </rPr>
      <t>五级分类</t>
    </r>
  </si>
  <si>
    <t>WJFL</t>
  </si>
  <si>
    <r>
      <rPr>
        <sz val="12"/>
        <rFont val="宋体"/>
        <charset val="134"/>
      </rPr>
      <t>当月累计交易笔数</t>
    </r>
  </si>
  <si>
    <t>DYLJJYBS</t>
  </si>
  <si>
    <r>
      <rPr>
        <sz val="12"/>
        <rFont val="宋体"/>
        <charset val="134"/>
      </rPr>
      <t>报送自然月（</t>
    </r>
    <r>
      <rPr>
        <sz val="12"/>
        <rFont val="Times New Roman"/>
        <charset val="134"/>
      </rPr>
      <t>1-31</t>
    </r>
    <r>
      <rPr>
        <sz val="12"/>
        <rFont val="宋体"/>
        <charset val="134"/>
      </rPr>
      <t>日）累计笔数，非账单月累计笔数。</t>
    </r>
  </si>
  <si>
    <r>
      <rPr>
        <sz val="12"/>
        <rFont val="宋体"/>
        <charset val="134"/>
      </rPr>
      <t>当月累计透支金额</t>
    </r>
  </si>
  <si>
    <t>DYLJTZJE</t>
  </si>
  <si>
    <r>
      <rPr>
        <sz val="12"/>
        <rFont val="宋体"/>
        <charset val="134"/>
      </rPr>
      <t>报送自然月（</t>
    </r>
    <r>
      <rPr>
        <sz val="12"/>
        <rFont val="Times New Roman"/>
        <charset val="134"/>
      </rPr>
      <t>1-31</t>
    </r>
    <r>
      <rPr>
        <sz val="12"/>
        <rFont val="宋体"/>
        <charset val="134"/>
      </rPr>
      <t>日）发生的透支金额总和，不计算客户还款扣减，非账单月累计透支金额。</t>
    </r>
  </si>
  <si>
    <r>
      <rPr>
        <sz val="12"/>
        <rFont val="宋体"/>
        <charset val="134"/>
      </rPr>
      <t>本月累计消费金额</t>
    </r>
  </si>
  <si>
    <t>BYLJXFJE</t>
  </si>
  <si>
    <r>
      <rPr>
        <sz val="12"/>
        <rFont val="宋体"/>
        <charset val="134"/>
      </rPr>
      <t>报送自然月（</t>
    </r>
    <r>
      <rPr>
        <sz val="12"/>
        <rFont val="Times New Roman"/>
        <charset val="134"/>
      </rPr>
      <t>1-31</t>
    </r>
    <r>
      <rPr>
        <sz val="12"/>
        <rFont val="宋体"/>
        <charset val="134"/>
      </rPr>
      <t>日）发生的消费金额总和，不计算客户还款扣减，非账单月累计消费金额。</t>
    </r>
  </si>
  <si>
    <r>
      <rPr>
        <sz val="12"/>
        <rFont val="宋体"/>
        <charset val="134"/>
      </rPr>
      <t>本月累计取现转账金额</t>
    </r>
  </si>
  <si>
    <t>BYLJQXZZJE</t>
  </si>
  <si>
    <r>
      <rPr>
        <sz val="12"/>
        <rFont val="宋体"/>
        <charset val="134"/>
      </rPr>
      <t>报送自然月（</t>
    </r>
    <r>
      <rPr>
        <sz val="12"/>
        <rFont val="Times New Roman"/>
        <charset val="134"/>
      </rPr>
      <t>1-31</t>
    </r>
    <r>
      <rPr>
        <sz val="12"/>
        <rFont val="宋体"/>
        <charset val="134"/>
      </rPr>
      <t>日）发生的取现及转账金额总和，不计算客户还款扣减，非账单月累计金额。</t>
    </r>
  </si>
  <si>
    <r>
      <rPr>
        <sz val="12"/>
        <rFont val="宋体"/>
        <charset val="134"/>
      </rPr>
      <t>本月累计分期交易金额</t>
    </r>
  </si>
  <si>
    <t>BYLJFQJYJE</t>
  </si>
  <si>
    <r>
      <rPr>
        <sz val="12"/>
        <rFont val="宋体"/>
        <charset val="134"/>
      </rPr>
      <t>报送自然月（</t>
    </r>
    <r>
      <rPr>
        <sz val="12"/>
        <rFont val="Times New Roman"/>
        <charset val="134"/>
      </rPr>
      <t>1-31</t>
    </r>
    <r>
      <rPr>
        <sz val="12"/>
        <rFont val="宋体"/>
        <charset val="134"/>
      </rPr>
      <t>日）累计分期金额，非账单月累计金额。</t>
    </r>
  </si>
  <si>
    <r>
      <rPr>
        <sz val="12"/>
        <rFont val="宋体"/>
        <charset val="134"/>
      </rPr>
      <t>本月累计收入</t>
    </r>
  </si>
  <si>
    <t>BYLJSR</t>
  </si>
  <si>
    <r>
      <rPr>
        <sz val="12"/>
        <rFont val="宋体"/>
        <charset val="134"/>
      </rPr>
      <t>报送自然月（</t>
    </r>
    <r>
      <rPr>
        <sz val="12"/>
        <rFont val="Times New Roman"/>
        <charset val="134"/>
      </rPr>
      <t>1-31</t>
    </r>
    <r>
      <rPr>
        <sz val="12"/>
        <rFont val="宋体"/>
        <charset val="134"/>
      </rPr>
      <t>日）累计收入，非账单月累计收入。</t>
    </r>
  </si>
  <si>
    <r>
      <rPr>
        <sz val="12"/>
        <rFont val="宋体"/>
        <charset val="134"/>
      </rPr>
      <t>最近征信查询日期</t>
    </r>
  </si>
  <si>
    <t>ZXZJCXRQ</t>
  </si>
  <si>
    <r>
      <rPr>
        <sz val="12"/>
        <rFont val="宋体"/>
        <charset val="134"/>
      </rPr>
      <t>填报最近一次在人行征信系统查询授信情况的日期。</t>
    </r>
  </si>
  <si>
    <r>
      <rPr>
        <sz val="12"/>
        <rFont val="宋体"/>
        <charset val="134"/>
      </rPr>
      <t>数据项、备注</t>
    </r>
  </si>
  <si>
    <r>
      <rPr>
        <sz val="12"/>
        <rFont val="宋体"/>
        <charset val="134"/>
      </rPr>
      <t>已有信用卡发卡银行数</t>
    </r>
  </si>
  <si>
    <t>YYXYKFKHS</t>
  </si>
  <si>
    <r>
      <rPr>
        <sz val="12"/>
        <rFont val="宋体"/>
        <charset val="134"/>
      </rPr>
      <t>最近一次人行征信系统查询时，客户已有他行发卡行数。</t>
    </r>
  </si>
  <si>
    <r>
      <rPr>
        <sz val="12"/>
        <rFont val="宋体"/>
        <charset val="134"/>
      </rPr>
      <t>已有他行授信金额</t>
    </r>
  </si>
  <si>
    <t>YYTHSXJE</t>
  </si>
  <si>
    <r>
      <rPr>
        <sz val="12"/>
        <rFont val="宋体"/>
        <charset val="134"/>
      </rPr>
      <t>填报最近一次人行征信系统查询时，客户已有他行授信总金额。</t>
    </r>
  </si>
  <si>
    <r>
      <rPr>
        <sz val="12"/>
        <rFont val="宋体"/>
        <charset val="134"/>
      </rPr>
      <t>最近新增授信日期</t>
    </r>
  </si>
  <si>
    <t>ZJXZSXRQ</t>
  </si>
  <si>
    <r>
      <rPr>
        <sz val="12"/>
        <rFont val="宋体"/>
        <charset val="134"/>
      </rPr>
      <t>最近一次新增授信的日期，如未新增授信填报发卡核定授信日期。</t>
    </r>
  </si>
  <si>
    <r>
      <rPr>
        <sz val="12"/>
        <rFont val="宋体"/>
        <charset val="134"/>
      </rPr>
      <t>新增授信类型</t>
    </r>
  </si>
  <si>
    <t>XZSXLX</t>
  </si>
  <si>
    <r>
      <rPr>
        <sz val="12"/>
        <rFont val="宋体"/>
        <charset val="134"/>
      </rPr>
      <t>最近一次新增授信的类型，包括新发卡授信，但不包括新发卡客户授信额度不变的情况。</t>
    </r>
  </si>
  <si>
    <r>
      <rPr>
        <sz val="12"/>
        <rFont val="宋体"/>
        <charset val="134"/>
      </rPr>
      <t>催收标志</t>
    </r>
  </si>
  <si>
    <t>CSBZ</t>
  </si>
  <si>
    <t>填报报告期内是否处于催收状态。</t>
  </si>
  <si>
    <t>CSFS</t>
  </si>
  <si>
    <t>填报报告期内的催收方式。同时存在多种催收方式的，以英文半角分号分隔填报，如“电话催收;信函催收”。</t>
  </si>
  <si>
    <r>
      <rPr>
        <sz val="12"/>
        <rFont val="宋体"/>
        <charset val="134"/>
      </rPr>
      <t>信用卡分期业务表</t>
    </r>
  </si>
  <si>
    <r>
      <rPr>
        <sz val="12"/>
        <rFont val="宋体"/>
        <charset val="134"/>
      </rPr>
      <t>分期业务编号</t>
    </r>
  </si>
  <si>
    <t>FQYWBH</t>
  </si>
  <si>
    <r>
      <rPr>
        <sz val="12"/>
        <rFont val="Times New Roman"/>
        <charset val="134"/>
      </rPr>
      <t>PK</t>
    </r>
    <r>
      <rPr>
        <sz val="12"/>
        <rFont val="宋体"/>
        <charset val="134"/>
      </rPr>
      <t>。标注该笔分期的唯一业务编号。</t>
    </r>
  </si>
  <si>
    <r>
      <rPr>
        <sz val="12"/>
        <rFont val="Times New Roman"/>
        <charset val="134"/>
      </rPr>
      <t>PK,</t>
    </r>
    <r>
      <rPr>
        <sz val="12"/>
        <rFont val="宋体"/>
        <charset val="134"/>
      </rPr>
      <t>如包含个人身份证件号码，则为隐私，银行机构需做变形，变形规则见《采集技术接口说明》。关联数据项：个人基础信息表</t>
    </r>
    <r>
      <rPr>
        <sz val="12"/>
        <rFont val="Times New Roman"/>
        <charset val="134"/>
      </rPr>
      <t>.</t>
    </r>
    <r>
      <rPr>
        <sz val="12"/>
        <rFont val="宋体"/>
        <charset val="134"/>
      </rPr>
      <t>客户姓名</t>
    </r>
    <r>
      <rPr>
        <sz val="12"/>
        <rFont val="Times New Roman"/>
        <charset val="134"/>
      </rPr>
      <t xml:space="preserve"> </t>
    </r>
    <r>
      <rPr>
        <sz val="12"/>
        <rFont val="宋体"/>
        <charset val="134"/>
      </rPr>
      <t>或</t>
    </r>
    <r>
      <rPr>
        <sz val="12"/>
        <rFont val="Times New Roman"/>
        <charset val="134"/>
      </rPr>
      <t xml:space="preserve"> </t>
    </r>
    <r>
      <rPr>
        <sz val="12"/>
        <rFont val="宋体"/>
        <charset val="134"/>
      </rPr>
      <t>对公客户信息表</t>
    </r>
    <r>
      <rPr>
        <sz val="12"/>
        <rFont val="Times New Roman"/>
        <charset val="134"/>
      </rPr>
      <t>.</t>
    </r>
    <r>
      <rPr>
        <sz val="12"/>
        <rFont val="宋体"/>
        <charset val="134"/>
      </rPr>
      <t>客户名称。</t>
    </r>
  </si>
  <si>
    <t>FQJYLX</t>
  </si>
  <si>
    <r>
      <rPr>
        <sz val="12"/>
        <rFont val="Times New Roman"/>
        <charset val="134"/>
      </rPr>
      <t>“</t>
    </r>
    <r>
      <rPr>
        <sz val="12"/>
        <rFont val="宋体"/>
        <charset val="134"/>
      </rPr>
      <t>普通分期</t>
    </r>
    <r>
      <rPr>
        <sz val="12"/>
        <rFont val="Times New Roman"/>
        <charset val="134"/>
      </rPr>
      <t>”</t>
    </r>
    <r>
      <rPr>
        <sz val="12"/>
        <rFont val="宋体"/>
        <charset val="134"/>
      </rPr>
      <t>指账单分期等循环额度内分期。</t>
    </r>
    <r>
      <rPr>
        <sz val="12"/>
        <rFont val="Times New Roman"/>
        <charset val="134"/>
      </rPr>
      <t>“</t>
    </r>
    <r>
      <rPr>
        <sz val="12"/>
        <rFont val="宋体"/>
        <charset val="134"/>
      </rPr>
      <t>专项分期</t>
    </r>
    <r>
      <rPr>
        <sz val="12"/>
        <rFont val="Times New Roman"/>
        <charset val="134"/>
      </rPr>
      <t>”</t>
    </r>
    <r>
      <rPr>
        <sz val="12"/>
        <rFont val="宋体"/>
        <charset val="134"/>
      </rPr>
      <t>指家装分期、汽车分期等专项审批额度的分期。</t>
    </r>
    <r>
      <rPr>
        <sz val="12"/>
        <rFont val="Times New Roman"/>
        <charset val="134"/>
      </rPr>
      <t>“</t>
    </r>
    <r>
      <rPr>
        <sz val="12"/>
        <rFont val="宋体"/>
        <charset val="134"/>
      </rPr>
      <t>总额</t>
    </r>
    <r>
      <rPr>
        <sz val="12"/>
        <rFont val="Times New Roman"/>
        <charset val="134"/>
      </rPr>
      <t>”</t>
    </r>
    <r>
      <rPr>
        <sz val="12"/>
        <rFont val="宋体"/>
        <charset val="134"/>
      </rPr>
      <t>指多笔信用卡交易合并为一笔分期的情况，</t>
    </r>
    <r>
      <rPr>
        <sz val="12"/>
        <rFont val="Times New Roman"/>
        <charset val="134"/>
      </rPr>
      <t>“</t>
    </r>
    <r>
      <rPr>
        <sz val="12"/>
        <rFont val="宋体"/>
        <charset val="134"/>
      </rPr>
      <t>单笔</t>
    </r>
    <r>
      <rPr>
        <sz val="12"/>
        <rFont val="Times New Roman"/>
        <charset val="134"/>
      </rPr>
      <t>”</t>
    </r>
    <r>
      <rPr>
        <sz val="12"/>
        <rFont val="宋体"/>
        <charset val="134"/>
      </rPr>
      <t>指单笔信用卡交易进行分期的情况。</t>
    </r>
  </si>
  <si>
    <t>FQYWLX</t>
  </si>
  <si>
    <r>
      <rPr>
        <sz val="12"/>
        <rFont val="宋体"/>
        <charset val="134"/>
      </rPr>
      <t>办理分期日期</t>
    </r>
  </si>
  <si>
    <t>BLFQRQ</t>
  </si>
  <si>
    <r>
      <rPr>
        <sz val="12"/>
        <rFont val="宋体"/>
        <charset val="134"/>
      </rPr>
      <t>办理分期时间</t>
    </r>
  </si>
  <si>
    <t>BLFQSJ</t>
  </si>
  <si>
    <r>
      <rPr>
        <sz val="12"/>
        <rFont val="宋体"/>
        <charset val="134"/>
      </rPr>
      <t>分期总额度</t>
    </r>
  </si>
  <si>
    <t>FQZED</t>
  </si>
  <si>
    <r>
      <rPr>
        <sz val="12"/>
        <rFont val="宋体"/>
        <charset val="134"/>
      </rPr>
      <t>专项分期指该笔专项分期的额度，对于其他循环信用分期，指该客户可用于办理分期的总额度。</t>
    </r>
  </si>
  <si>
    <r>
      <rPr>
        <sz val="12"/>
        <rFont val="宋体"/>
        <charset val="134"/>
      </rPr>
      <t>可用分期额度</t>
    </r>
  </si>
  <si>
    <t>KYFQED</t>
  </si>
  <si>
    <r>
      <rPr>
        <sz val="12"/>
        <rFont val="宋体"/>
        <charset val="134"/>
      </rPr>
      <t>办理分期时可用的分期额度。</t>
    </r>
  </si>
  <si>
    <r>
      <rPr>
        <sz val="12"/>
        <rFont val="宋体"/>
        <charset val="134"/>
      </rPr>
      <t>分期金额</t>
    </r>
  </si>
  <si>
    <t>FQJE</t>
  </si>
  <si>
    <r>
      <rPr>
        <sz val="12"/>
        <rFont val="宋体"/>
        <charset val="134"/>
      </rPr>
      <t>普通账单分期填写办理分期时实际参与分期的金额。专项分期填写截止报送日客户实际支取的金额。</t>
    </r>
  </si>
  <si>
    <r>
      <rPr>
        <sz val="12"/>
        <rFont val="宋体"/>
        <charset val="134"/>
      </rPr>
      <t>分期转入卡号</t>
    </r>
  </si>
  <si>
    <t>FQZRKH</t>
  </si>
  <si>
    <r>
      <rPr>
        <sz val="12"/>
        <rFont val="宋体"/>
        <charset val="134"/>
      </rPr>
      <t>分期业务转入借记卡的填报入账卡号，其他情况允许为空。</t>
    </r>
  </si>
  <si>
    <r>
      <rPr>
        <sz val="12"/>
        <rFont val="宋体"/>
        <charset val="134"/>
      </rPr>
      <t>分期转入户名</t>
    </r>
  </si>
  <si>
    <t>FQZRHM</t>
  </si>
  <si>
    <r>
      <rPr>
        <sz val="12"/>
        <rFont val="宋体"/>
        <charset val="134"/>
      </rPr>
      <t>分期业务转入借记卡的填报入账户名，其他情况允许为空。</t>
    </r>
  </si>
  <si>
    <r>
      <rPr>
        <sz val="12"/>
        <rFont val="宋体"/>
        <charset val="134"/>
      </rPr>
      <t>个性化分期标志</t>
    </r>
  </si>
  <si>
    <t>GXHFQBZ</t>
  </si>
  <si>
    <r>
      <rPr>
        <sz val="12"/>
        <rFont val="宋体"/>
        <charset val="134"/>
      </rPr>
      <t>个性化分期定义参照《商业银行信用卡业务监督管理办法》（中国银监会令</t>
    </r>
    <r>
      <rPr>
        <sz val="12"/>
        <rFont val="Times New Roman"/>
        <charset val="134"/>
      </rPr>
      <t>2011</t>
    </r>
    <r>
      <rPr>
        <sz val="12"/>
        <rFont val="宋体"/>
        <charset val="134"/>
      </rPr>
      <t>年第</t>
    </r>
    <r>
      <rPr>
        <sz val="12"/>
        <rFont val="Times New Roman"/>
        <charset val="134"/>
      </rPr>
      <t>2</t>
    </r>
    <r>
      <rPr>
        <sz val="12"/>
        <rFont val="宋体"/>
        <charset val="134"/>
      </rPr>
      <t>号）第七十条。</t>
    </r>
  </si>
  <si>
    <r>
      <rPr>
        <sz val="12"/>
        <rFont val="宋体"/>
        <charset val="134"/>
      </rPr>
      <t>分期利率</t>
    </r>
  </si>
  <si>
    <t>FQLL</t>
  </si>
  <si>
    <r>
      <rPr>
        <sz val="12"/>
        <rFont val="宋体"/>
        <charset val="134"/>
      </rPr>
      <t>填报分期实际年化利率。</t>
    </r>
  </si>
  <si>
    <r>
      <rPr>
        <sz val="12"/>
        <rFont val="宋体"/>
        <charset val="134"/>
      </rPr>
      <t>分期期数</t>
    </r>
  </si>
  <si>
    <t>FQQS</t>
  </si>
  <si>
    <r>
      <rPr>
        <sz val="14"/>
        <rFont val="宋体"/>
        <charset val="134"/>
      </rPr>
      <t>表外授信业务</t>
    </r>
  </si>
  <si>
    <r>
      <rPr>
        <sz val="12"/>
        <rFont val="宋体"/>
        <charset val="134"/>
      </rPr>
      <t>票据出票信息表</t>
    </r>
  </si>
  <si>
    <r>
      <rPr>
        <sz val="12"/>
        <rFont val="宋体"/>
        <charset val="134"/>
      </rPr>
      <t>因新增票据贴现和转贴现表，该表仅报送开票信息</t>
    </r>
  </si>
  <si>
    <r>
      <rPr>
        <sz val="12"/>
        <rFont val="宋体"/>
        <charset val="134"/>
      </rPr>
      <t>填报出票的银行机构。关联数据项：机构信息表</t>
    </r>
    <r>
      <rPr>
        <sz val="12"/>
        <rFont val="Times New Roman"/>
        <charset val="134"/>
      </rPr>
      <t>.</t>
    </r>
    <r>
      <rPr>
        <sz val="12"/>
        <rFont val="宋体"/>
        <charset val="134"/>
      </rPr>
      <t>金融许可证号</t>
    </r>
  </si>
  <si>
    <r>
      <rPr>
        <sz val="12"/>
        <rFont val="宋体"/>
        <charset val="134"/>
      </rPr>
      <t>填报出票的银行机构。关联数据项：机构信息表</t>
    </r>
    <r>
      <rPr>
        <sz val="12"/>
        <rFont val="Times New Roman"/>
        <charset val="134"/>
      </rPr>
      <t>.</t>
    </r>
    <r>
      <rPr>
        <sz val="12"/>
        <rFont val="宋体"/>
        <charset val="134"/>
      </rPr>
      <t>内部机构号。填写开出票据行的内部机构号。</t>
    </r>
  </si>
  <si>
    <r>
      <rPr>
        <sz val="12"/>
        <rFont val="宋体"/>
        <charset val="134"/>
      </rPr>
      <t>填报出票的银行机构。关联数据项：机构信息表</t>
    </r>
    <r>
      <rPr>
        <sz val="12"/>
        <rFont val="Times New Roman"/>
        <charset val="134"/>
      </rPr>
      <t>.</t>
    </r>
    <r>
      <rPr>
        <sz val="12"/>
        <rFont val="宋体"/>
        <charset val="134"/>
      </rPr>
      <t>银行机构名称</t>
    </r>
  </si>
  <si>
    <t>CPRBH</t>
  </si>
  <si>
    <r>
      <rPr>
        <sz val="12"/>
        <rFont val="宋体"/>
        <charset val="134"/>
      </rPr>
      <t>如果为代理承兑业务该项允许为空。</t>
    </r>
  </si>
  <si>
    <r>
      <rPr>
        <sz val="12"/>
        <rFont val="宋体"/>
        <charset val="134"/>
      </rPr>
      <t>如果出票人为个人客户，则为隐私，银行机构变形，变形规则见《采集技术接口说明》。如果出票人为对公客户，则为非隐私，不做变形。</t>
    </r>
  </si>
  <si>
    <r>
      <rPr>
        <sz val="12"/>
        <rFont val="宋体"/>
        <charset val="134"/>
      </rPr>
      <t>出票人账号</t>
    </r>
  </si>
  <si>
    <t>CPRZH</t>
  </si>
  <si>
    <r>
      <rPr>
        <sz val="12"/>
        <rFont val="宋体"/>
        <charset val="134"/>
      </rPr>
      <t>填报票面上的出票人账号，优先填报外部账号。</t>
    </r>
  </si>
  <si>
    <r>
      <rPr>
        <sz val="12"/>
        <rFont val="宋体"/>
        <charset val="134"/>
      </rPr>
      <t>出票人开户行名称</t>
    </r>
  </si>
  <si>
    <t>CPRKHHMC</t>
  </si>
  <si>
    <r>
      <rPr>
        <sz val="12"/>
        <rFont val="宋体"/>
        <charset val="134"/>
      </rPr>
      <t>收款人名称</t>
    </r>
  </si>
  <si>
    <r>
      <rPr>
        <sz val="12"/>
        <rFont val="宋体"/>
        <charset val="134"/>
      </rPr>
      <t>票面上的收款人。如果为个人，则为隐私，银行机构变形，变性规则见《采集技术接口说明》。其他情况为非隐私，不作变形。</t>
    </r>
  </si>
  <si>
    <r>
      <rPr>
        <sz val="12"/>
        <rFont val="宋体"/>
        <charset val="134"/>
      </rPr>
      <t>收款人账号</t>
    </r>
  </si>
  <si>
    <t>SKRZH</t>
  </si>
  <si>
    <r>
      <rPr>
        <sz val="12"/>
        <rFont val="宋体"/>
        <charset val="134"/>
      </rPr>
      <t>填报票面上的收款人账号</t>
    </r>
  </si>
  <si>
    <r>
      <rPr>
        <sz val="12"/>
        <rFont val="宋体"/>
        <charset val="134"/>
      </rPr>
      <t>收款人开户行名称</t>
    </r>
  </si>
  <si>
    <t>SKRKHHMC</t>
  </si>
  <si>
    <r>
      <rPr>
        <sz val="12"/>
        <rFont val="宋体"/>
        <charset val="134"/>
      </rPr>
      <t>填报票面上的收款人开户行名称</t>
    </r>
  </si>
  <si>
    <r>
      <rPr>
        <sz val="12"/>
        <rFont val="宋体"/>
        <charset val="134"/>
      </rPr>
      <t>是否在本行贴现</t>
    </r>
  </si>
  <si>
    <t>SFZBHTX</t>
  </si>
  <si>
    <r>
      <rPr>
        <sz val="12"/>
        <rFont val="宋体"/>
        <charset val="134"/>
      </rPr>
      <t>贸易背景</t>
    </r>
  </si>
  <si>
    <t>MYBJ</t>
  </si>
  <si>
    <t>C..58</t>
  </si>
  <si>
    <r>
      <rPr>
        <sz val="12"/>
        <rFont val="宋体"/>
        <charset val="134"/>
      </rPr>
      <t>票据开票的贸易背景简述。</t>
    </r>
  </si>
  <si>
    <r>
      <rPr>
        <sz val="12"/>
        <rFont val="宋体"/>
        <charset val="134"/>
      </rPr>
      <t>其他费用币种</t>
    </r>
  </si>
  <si>
    <r>
      <rPr>
        <sz val="12"/>
        <rFont val="宋体"/>
        <charset val="134"/>
      </rPr>
      <t>填写本行收取客户的除手续费以外的币种，如果没有允许为空。</t>
    </r>
  </si>
  <si>
    <r>
      <rPr>
        <sz val="12"/>
        <rFont val="宋体"/>
        <charset val="134"/>
      </rPr>
      <t>其他费用金额</t>
    </r>
  </si>
  <si>
    <r>
      <rPr>
        <sz val="12"/>
        <rFont val="宋体"/>
        <charset val="134"/>
      </rPr>
      <t>填写本行收取客户的除手续费以为的其他费用的金额，如果没有填写默认值</t>
    </r>
    <r>
      <rPr>
        <sz val="12"/>
        <rFont val="Times New Roman"/>
        <charset val="134"/>
      </rPr>
      <t>0</t>
    </r>
    <r>
      <rPr>
        <sz val="12"/>
        <rFont val="宋体"/>
        <charset val="134"/>
      </rPr>
      <t>。</t>
    </r>
  </si>
  <si>
    <r>
      <rPr>
        <sz val="12"/>
        <rFont val="宋体"/>
        <charset val="134"/>
      </rPr>
      <t>以现金担保的在此填报，以其他形式的保证在担保合同表里报送。多个保证金币种统一按一种币种转换合计报送。如没有保证金，填写默认值</t>
    </r>
    <r>
      <rPr>
        <sz val="12"/>
        <rFont val="Times New Roman"/>
        <charset val="134"/>
      </rPr>
      <t>0</t>
    </r>
    <r>
      <rPr>
        <sz val="12"/>
        <rFont val="宋体"/>
        <charset val="134"/>
      </rPr>
      <t>。</t>
    </r>
  </si>
  <si>
    <r>
      <rPr>
        <sz val="12"/>
        <rFont val="宋体"/>
        <charset val="134"/>
      </rPr>
      <t>以现金担保的在此填报，以其他形式的保证在担保合同表里报送。若没有允许为空。多个保证金币种统一按一种币种转换合计报送。</t>
    </r>
  </si>
  <si>
    <r>
      <rPr>
        <sz val="12"/>
        <rFont val="宋体"/>
        <charset val="134"/>
      </rPr>
      <t>以现金担保的在此填报，以其他形式的保证在担保合同表里报送。若没有填默认值</t>
    </r>
    <r>
      <rPr>
        <sz val="12"/>
        <rFont val="Times New Roman"/>
        <charset val="134"/>
      </rPr>
      <t>0</t>
    </r>
    <r>
      <rPr>
        <sz val="12"/>
        <rFont val="宋体"/>
        <charset val="134"/>
      </rPr>
      <t>。多个保证金币种统一按一种币种转换合计报送。</t>
    </r>
  </si>
  <si>
    <t>JBYGH</t>
  </si>
  <si>
    <r>
      <rPr>
        <sz val="12"/>
        <rFont val="宋体"/>
        <charset val="134"/>
      </rPr>
      <t>指受理该笔业务的客户经理工号，自动办理的允许为空。关联数据项：员工表</t>
    </r>
    <r>
      <rPr>
        <sz val="12"/>
        <rFont val="Times New Roman"/>
        <charset val="134"/>
      </rPr>
      <t>.</t>
    </r>
    <r>
      <rPr>
        <sz val="12"/>
        <rFont val="宋体"/>
        <charset val="134"/>
      </rPr>
      <t>工号。</t>
    </r>
  </si>
  <si>
    <r>
      <rPr>
        <sz val="12"/>
        <rFont val="宋体"/>
        <charset val="134"/>
      </rPr>
      <t>保函与信用证表</t>
    </r>
  </si>
  <si>
    <r>
      <rPr>
        <sz val="12"/>
        <rFont val="宋体"/>
        <charset val="134"/>
      </rPr>
      <t>填报办理该业务的银行机构。关联数据项：机构信息表</t>
    </r>
    <r>
      <rPr>
        <sz val="12"/>
        <rFont val="Times New Roman"/>
        <charset val="134"/>
      </rPr>
      <t>.</t>
    </r>
    <r>
      <rPr>
        <sz val="12"/>
        <rFont val="宋体"/>
        <charset val="134"/>
      </rPr>
      <t>金融许可证号</t>
    </r>
  </si>
  <si>
    <r>
      <rPr>
        <sz val="12"/>
        <rFont val="宋体"/>
        <charset val="134"/>
      </rPr>
      <t>填报办理该业务的银行机构。关联数据项：机构信息表</t>
    </r>
    <r>
      <rPr>
        <sz val="12"/>
        <rFont val="Times New Roman"/>
        <charset val="134"/>
      </rPr>
      <t>.</t>
    </r>
    <r>
      <rPr>
        <sz val="12"/>
        <rFont val="宋体"/>
        <charset val="134"/>
      </rPr>
      <t>内部机构号</t>
    </r>
  </si>
  <si>
    <r>
      <rPr>
        <sz val="12"/>
        <rFont val="宋体"/>
        <charset val="134"/>
      </rPr>
      <t>填报办理该业务的银行机构。关联数据项：机构信息表</t>
    </r>
    <r>
      <rPr>
        <sz val="12"/>
        <rFont val="Times New Roman"/>
        <charset val="134"/>
      </rPr>
      <t>.</t>
    </r>
    <r>
      <rPr>
        <sz val="12"/>
        <rFont val="宋体"/>
        <charset val="134"/>
      </rPr>
      <t>银行机构名称</t>
    </r>
  </si>
  <si>
    <r>
      <rPr>
        <sz val="12"/>
        <rFont val="宋体"/>
        <charset val="134"/>
      </rPr>
      <t>合同编号</t>
    </r>
  </si>
  <si>
    <t>HTBH</t>
  </si>
  <si>
    <r>
      <rPr>
        <sz val="12"/>
        <rFont val="Times New Roman"/>
        <charset val="134"/>
      </rPr>
      <t>PK</t>
    </r>
    <r>
      <rPr>
        <sz val="12"/>
        <rFont val="宋体"/>
        <charset val="134"/>
      </rPr>
      <t>。识别该笔业务的唯一编号，可以是信用证、保函编号，可以是业务合同编号。</t>
    </r>
  </si>
  <si>
    <r>
      <rPr>
        <sz val="12"/>
        <rFont val="宋体"/>
        <charset val="134"/>
      </rPr>
      <t>业务种类</t>
    </r>
  </si>
  <si>
    <t>YWZL</t>
  </si>
  <si>
    <r>
      <rPr>
        <sz val="12"/>
        <rFont val="宋体"/>
        <charset val="134"/>
      </rPr>
      <t>指银行办理保函与信用证业务的业务种类。</t>
    </r>
  </si>
  <si>
    <r>
      <rPr>
        <sz val="12"/>
        <rFont val="Times New Roman"/>
        <charset val="134"/>
      </rPr>
      <t>PK</t>
    </r>
    <r>
      <rPr>
        <sz val="12"/>
        <rFont val="宋体"/>
        <charset val="134"/>
      </rPr>
      <t>。指合同约定的币种。同一合同多个币种的按照多条报送。</t>
    </r>
  </si>
  <si>
    <r>
      <rPr>
        <sz val="12"/>
        <rFont val="宋体"/>
        <charset val="134"/>
      </rPr>
      <t>已兑付金额</t>
    </r>
  </si>
  <si>
    <t>YDFJE</t>
  </si>
  <si>
    <r>
      <rPr>
        <sz val="12"/>
        <rFont val="宋体"/>
        <charset val="134"/>
      </rPr>
      <t>指填报机构实际已支付的金额。若无兑付金额允许填报为</t>
    </r>
    <r>
      <rPr>
        <sz val="12"/>
        <rFont val="Times New Roman"/>
        <charset val="134"/>
      </rPr>
      <t>0</t>
    </r>
    <r>
      <rPr>
        <sz val="12"/>
        <rFont val="宋体"/>
        <charset val="134"/>
      </rPr>
      <t>。</t>
    </r>
  </si>
  <si>
    <r>
      <rPr>
        <sz val="12"/>
        <rFont val="宋体"/>
        <charset val="134"/>
      </rPr>
      <t>待支付金额</t>
    </r>
  </si>
  <si>
    <r>
      <rPr>
        <sz val="12"/>
        <rFont val="宋体"/>
        <charset val="134"/>
      </rPr>
      <t>指申请人未支付的金额，包含已承兑待支付金额。保函等或有担保允许填报为</t>
    </r>
    <r>
      <rPr>
        <sz val="12"/>
        <rFont val="Times New Roman"/>
        <charset val="134"/>
      </rPr>
      <t>0</t>
    </r>
    <r>
      <rPr>
        <sz val="12"/>
        <rFont val="宋体"/>
        <charset val="134"/>
      </rPr>
      <t>。</t>
    </r>
  </si>
  <si>
    <t>KTQSRQ</t>
  </si>
  <si>
    <r>
      <rPr>
        <sz val="12"/>
        <rFont val="宋体"/>
        <charset val="134"/>
      </rPr>
      <t>填报保函或信用证合同信息，非贸易合同信息。</t>
    </r>
  </si>
  <si>
    <t>KTDQRQ</t>
  </si>
  <si>
    <r>
      <rPr>
        <sz val="12"/>
        <rFont val="宋体"/>
        <charset val="134"/>
      </rPr>
      <t>申请人编号</t>
    </r>
  </si>
  <si>
    <t>SQRBH</t>
  </si>
  <si>
    <r>
      <rPr>
        <sz val="12"/>
        <rFont val="宋体"/>
        <charset val="134"/>
      </rPr>
      <t>指申请人的客户统一编号。如本行不做为开证行，办理信用证保兑业务时客户统一编号可以为空。</t>
    </r>
  </si>
  <si>
    <r>
      <rPr>
        <sz val="12"/>
        <rFont val="宋体"/>
        <charset val="134"/>
      </rPr>
      <t>申请人名称</t>
    </r>
  </si>
  <si>
    <t>SQRMC</t>
  </si>
  <si>
    <r>
      <rPr>
        <sz val="12"/>
        <rFont val="宋体"/>
        <charset val="134"/>
      </rPr>
      <t>如果申请人为个人客户，则为隐私，银行机构变形，个人变性规则见《采集技术接口说明》。如果申请人为对公客户，则为非隐私，不做变形。如果为境内涉密机构的，填报为</t>
    </r>
    <r>
      <rPr>
        <sz val="12"/>
        <rFont val="Times New Roman"/>
        <charset val="134"/>
      </rPr>
      <t>“*********”</t>
    </r>
    <r>
      <rPr>
        <sz val="12"/>
        <rFont val="宋体"/>
        <charset val="134"/>
      </rPr>
      <t>。不可为空。</t>
    </r>
  </si>
  <si>
    <r>
      <rPr>
        <sz val="12"/>
        <rFont val="宋体"/>
        <charset val="134"/>
      </rPr>
      <t>申请人国家代码</t>
    </r>
  </si>
  <si>
    <t>SQRGJDM</t>
  </si>
  <si>
    <r>
      <rPr>
        <sz val="12"/>
        <rFont val="宋体"/>
        <charset val="134"/>
      </rPr>
      <t>如非国际业务填写默认值</t>
    </r>
    <r>
      <rPr>
        <sz val="12"/>
        <rFont val="Times New Roman"/>
        <charset val="134"/>
      </rPr>
      <t>CHN</t>
    </r>
  </si>
  <si>
    <r>
      <rPr>
        <sz val="12"/>
        <rFont val="宋体"/>
        <charset val="134"/>
      </rPr>
      <t>受益人名称</t>
    </r>
  </si>
  <si>
    <t>SYRMC</t>
  </si>
  <si>
    <r>
      <rPr>
        <sz val="12"/>
        <rFont val="宋体"/>
        <charset val="134"/>
      </rPr>
      <t>如果受益人为个人客户，则为隐私，银行机构变形，个人变性规则见《采集技术接口说明》。如果受益人为对公客户，则为非隐私，不做变形。如果为境内涉密机构的，填报为</t>
    </r>
    <r>
      <rPr>
        <sz val="12"/>
        <rFont val="Times New Roman"/>
        <charset val="134"/>
      </rPr>
      <t>“*********”</t>
    </r>
    <r>
      <rPr>
        <sz val="12"/>
        <rFont val="宋体"/>
        <charset val="134"/>
      </rPr>
      <t>。信用风险仍在银行的销售与购买协议允许为空。</t>
    </r>
  </si>
  <si>
    <r>
      <rPr>
        <sz val="12"/>
        <rFont val="宋体"/>
        <charset val="134"/>
      </rPr>
      <t>受益人国家代码</t>
    </r>
  </si>
  <si>
    <t>SYRGJDM</t>
  </si>
  <si>
    <r>
      <rPr>
        <sz val="12"/>
        <rFont val="宋体"/>
        <charset val="134"/>
      </rPr>
      <t>如非国际业务填写默认值</t>
    </r>
    <r>
      <rPr>
        <sz val="12"/>
        <rFont val="Times New Roman"/>
        <charset val="134"/>
      </rPr>
      <t>CHN</t>
    </r>
    <r>
      <rPr>
        <sz val="12"/>
        <rFont val="宋体"/>
        <charset val="134"/>
      </rPr>
      <t>。</t>
    </r>
  </si>
  <si>
    <r>
      <rPr>
        <sz val="12"/>
        <rFont val="宋体"/>
        <charset val="134"/>
      </rPr>
      <t>受益人开户行账号</t>
    </r>
  </si>
  <si>
    <t>SYRZH</t>
  </si>
  <si>
    <r>
      <rPr>
        <sz val="12"/>
        <rFont val="宋体"/>
        <charset val="134"/>
      </rPr>
      <t>填报实际向受益人支付的银行机构结算账户。信用风险仍在银行的销售与购买协议允许为空。</t>
    </r>
  </si>
  <si>
    <r>
      <rPr>
        <sz val="12"/>
        <rFont val="宋体"/>
        <charset val="134"/>
      </rPr>
      <t>受益人开户行名称</t>
    </r>
  </si>
  <si>
    <t>SYRKHHMC</t>
  </si>
  <si>
    <r>
      <rPr>
        <sz val="12"/>
        <rFont val="宋体"/>
        <charset val="134"/>
      </rPr>
      <t>填报实际向受益人支付的银行机构全称，境外机构可以填报英文。信用风险仍在银行的销售与购买协议允许为空。</t>
    </r>
  </si>
  <si>
    <r>
      <rPr>
        <sz val="12"/>
        <rFont val="宋体"/>
        <charset val="134"/>
      </rPr>
      <t>支付期限</t>
    </r>
  </si>
  <si>
    <t>ZFQX</t>
  </si>
  <si>
    <r>
      <rPr>
        <sz val="12"/>
        <rFont val="宋体"/>
        <charset val="134"/>
      </rPr>
      <t>信用证见单提示付款</t>
    </r>
    <r>
      <rPr>
        <sz val="12"/>
        <rFont val="Times New Roman"/>
        <charset val="134"/>
      </rPr>
      <t>/</t>
    </r>
    <r>
      <rPr>
        <sz val="12"/>
        <rFont val="宋体"/>
        <charset val="134"/>
      </rPr>
      <t>承兑后，本行作为开证行付款的天数，如为即期则为</t>
    </r>
    <r>
      <rPr>
        <sz val="12"/>
        <rFont val="Times New Roman"/>
        <charset val="134"/>
      </rPr>
      <t>0</t>
    </r>
    <r>
      <rPr>
        <sz val="12"/>
        <rFont val="宋体"/>
        <charset val="134"/>
      </rPr>
      <t>天。信用风险仍在银行的销售与购买协议允许为空。</t>
    </r>
  </si>
  <si>
    <r>
      <rPr>
        <sz val="12"/>
        <rFont val="宋体"/>
        <charset val="134"/>
      </rPr>
      <t>合同贸易背景</t>
    </r>
  </si>
  <si>
    <t>HTMYBJ</t>
  </si>
  <si>
    <r>
      <rPr>
        <sz val="12"/>
        <rFont val="宋体"/>
        <charset val="134"/>
      </rPr>
      <t>指开立保函或信用证的交易内容、货品或服务的描述。</t>
    </r>
  </si>
  <si>
    <r>
      <rPr>
        <sz val="12"/>
        <rFont val="宋体"/>
        <charset val="134"/>
      </rPr>
      <t>若没有允许为空。多个币种统一按一种币种转换合计报送。</t>
    </r>
  </si>
  <si>
    <r>
      <rPr>
        <sz val="12"/>
        <rFont val="宋体"/>
        <charset val="134"/>
      </rPr>
      <t>交易背景信息表</t>
    </r>
  </si>
  <si>
    <t>PJHHTH</t>
  </si>
  <si>
    <r>
      <rPr>
        <sz val="12"/>
        <rFont val="Times New Roman"/>
        <charset val="134"/>
      </rPr>
      <t>PK</t>
    </r>
    <r>
      <rPr>
        <sz val="12"/>
        <rFont val="宋体"/>
        <charset val="134"/>
      </rPr>
      <t>。票据号码、保函编号、信用证编号或者合同编号，不可为空。关联数据项：票据号码（票据出票信息、票据贴现、票据转贴现）</t>
    </r>
    <r>
      <rPr>
        <sz val="12"/>
        <rFont val="Times New Roman"/>
        <charset val="134"/>
      </rPr>
      <t xml:space="preserve">or </t>
    </r>
    <r>
      <rPr>
        <sz val="12"/>
        <rFont val="宋体"/>
        <charset val="134"/>
      </rPr>
      <t>保函与信用证表</t>
    </r>
    <r>
      <rPr>
        <sz val="12"/>
        <rFont val="Times New Roman"/>
        <charset val="134"/>
      </rPr>
      <t>.</t>
    </r>
    <r>
      <rPr>
        <sz val="12"/>
        <rFont val="宋体"/>
        <charset val="134"/>
      </rPr>
      <t>合同编号</t>
    </r>
    <r>
      <rPr>
        <sz val="12"/>
        <rFont val="Times New Roman"/>
        <charset val="134"/>
      </rPr>
      <t xml:space="preserve"> or </t>
    </r>
    <r>
      <rPr>
        <sz val="12"/>
        <rFont val="宋体"/>
        <charset val="134"/>
      </rPr>
      <t>贸易融资信息表</t>
    </r>
    <r>
      <rPr>
        <sz val="12"/>
        <rFont val="Times New Roman"/>
        <charset val="134"/>
      </rPr>
      <t>.</t>
    </r>
    <r>
      <rPr>
        <sz val="12"/>
        <rFont val="宋体"/>
        <charset val="134"/>
      </rPr>
      <t>信贷合同号</t>
    </r>
  </si>
  <si>
    <r>
      <rPr>
        <sz val="12"/>
        <rFont val="宋体"/>
        <charset val="134"/>
      </rPr>
      <t>指票据金额或保函、信用证、保理融资的业务合同金额。</t>
    </r>
  </si>
  <si>
    <t>DJBH</t>
  </si>
  <si>
    <t>DJZL</t>
  </si>
  <si>
    <r>
      <rPr>
        <sz val="12"/>
        <rFont val="宋体"/>
        <charset val="134"/>
      </rPr>
      <t>单据币种</t>
    </r>
  </si>
  <si>
    <t>DJBZ</t>
  </si>
  <si>
    <r>
      <rPr>
        <sz val="12"/>
        <rFont val="宋体"/>
        <charset val="134"/>
      </rPr>
      <t>单据金额</t>
    </r>
  </si>
  <si>
    <t>DJJE</t>
  </si>
  <si>
    <r>
      <rPr>
        <sz val="12"/>
        <rFont val="宋体"/>
        <charset val="134"/>
      </rPr>
      <t>单据上实际对应的金额。</t>
    </r>
  </si>
  <si>
    <r>
      <rPr>
        <sz val="12"/>
        <rFont val="宋体"/>
        <charset val="134"/>
      </rPr>
      <t>委托贷款信息表</t>
    </r>
  </si>
  <si>
    <r>
      <rPr>
        <sz val="12"/>
        <rFont val="宋体"/>
        <charset val="134"/>
      </rPr>
      <t>填报办理该业务的关联数据项：机构信息表</t>
    </r>
    <r>
      <rPr>
        <sz val="12"/>
        <rFont val="Times New Roman"/>
        <charset val="134"/>
      </rPr>
      <t>.</t>
    </r>
    <r>
      <rPr>
        <sz val="12"/>
        <rFont val="宋体"/>
        <charset val="134"/>
      </rPr>
      <t>内部机构号</t>
    </r>
  </si>
  <si>
    <r>
      <rPr>
        <sz val="12"/>
        <rFont val="Times New Roman"/>
        <charset val="134"/>
      </rPr>
      <t>PK</t>
    </r>
    <r>
      <rPr>
        <sz val="12"/>
        <rFont val="宋体"/>
        <charset val="134"/>
      </rPr>
      <t>。现金管理项下委托贷款填写与客户签订的现金管理合同编号。当委托贷款类型不为现金管理项下委托贷款时，需关联数据项：信贷合同表</t>
    </r>
    <r>
      <rPr>
        <sz val="12"/>
        <rFont val="Times New Roman"/>
        <charset val="134"/>
      </rPr>
      <t>.</t>
    </r>
    <r>
      <rPr>
        <sz val="12"/>
        <rFont val="宋体"/>
        <charset val="134"/>
      </rPr>
      <t>信贷合同号。</t>
    </r>
  </si>
  <si>
    <r>
      <rPr>
        <sz val="12"/>
        <rFont val="Times New Roman"/>
        <charset val="134"/>
      </rPr>
      <t>PK</t>
    </r>
    <r>
      <rPr>
        <sz val="12"/>
        <rFont val="宋体"/>
        <charset val="134"/>
      </rPr>
      <t>。现金管理项下委托贷款填写能唯一识别该笔委托贷款业务的编号。当委托贷款类型不为现金管理项下委托贷款时，需填写信贷借据号，并关联数据项：个人信贷业务借据表</t>
    </r>
    <r>
      <rPr>
        <sz val="12"/>
        <rFont val="Times New Roman"/>
        <charset val="134"/>
      </rPr>
      <t>.</t>
    </r>
    <r>
      <rPr>
        <sz val="12"/>
        <rFont val="宋体"/>
        <charset val="134"/>
      </rPr>
      <t>信贷借据号</t>
    </r>
    <r>
      <rPr>
        <sz val="12"/>
        <rFont val="Times New Roman"/>
        <charset val="134"/>
      </rPr>
      <t xml:space="preserve"> or </t>
    </r>
    <r>
      <rPr>
        <sz val="12"/>
        <rFont val="宋体"/>
        <charset val="134"/>
      </rPr>
      <t>对公信贷业务借据表</t>
    </r>
    <r>
      <rPr>
        <sz val="12"/>
        <rFont val="Times New Roman"/>
        <charset val="134"/>
      </rPr>
      <t>.</t>
    </r>
    <r>
      <rPr>
        <sz val="12"/>
        <rFont val="宋体"/>
        <charset val="134"/>
      </rPr>
      <t>信贷借据号。</t>
    </r>
  </si>
  <si>
    <t>WTDKLX</t>
  </si>
  <si>
    <r>
      <rPr>
        <sz val="12"/>
        <rFont val="宋体"/>
        <charset val="134"/>
      </rPr>
      <t>委托贷款实际发放金额。</t>
    </r>
  </si>
  <si>
    <r>
      <rPr>
        <sz val="12"/>
        <rFont val="宋体"/>
        <charset val="134"/>
      </rPr>
      <t>委托贷款实际发放日期。</t>
    </r>
  </si>
  <si>
    <r>
      <rPr>
        <sz val="12"/>
        <rFont val="宋体"/>
        <charset val="134"/>
      </rPr>
      <t>委托贷款实际到期日期，现金管理项下委托贷款到期日期可以填报现金管理合同有效日期，也允许填报默认日期。</t>
    </r>
  </si>
  <si>
    <r>
      <rPr>
        <sz val="12"/>
        <rFont val="宋体"/>
        <charset val="134"/>
      </rPr>
      <t>委托人编号</t>
    </r>
  </si>
  <si>
    <t>WTRBH</t>
  </si>
  <si>
    <r>
      <rPr>
        <sz val="12"/>
        <rFont val="宋体"/>
        <charset val="134"/>
      </rPr>
      <t>填写委托人的客户统一编号。</t>
    </r>
  </si>
  <si>
    <r>
      <rPr>
        <sz val="12"/>
        <rFont val="宋体"/>
        <charset val="134"/>
      </rPr>
      <t>委托人名称</t>
    </r>
  </si>
  <si>
    <t>WTRMC</t>
  </si>
  <si>
    <r>
      <rPr>
        <sz val="12"/>
        <rFont val="宋体"/>
        <charset val="134"/>
      </rPr>
      <t>如果委托人为个人客户，则为隐私，银行机构变形，变性规则见《采集技术接口说明》，其他情况则为非隐私，不做变形。</t>
    </r>
  </si>
  <si>
    <r>
      <rPr>
        <sz val="12"/>
        <rFont val="宋体"/>
        <charset val="134"/>
      </rPr>
      <t>委托人账号</t>
    </r>
  </si>
  <si>
    <t>WTRZH</t>
  </si>
  <si>
    <r>
      <rPr>
        <sz val="12"/>
        <rFont val="宋体"/>
        <charset val="134"/>
      </rPr>
      <t>填写委托资金实际所在的账号，不可填中间过渡账户或借款人账户，不可为空。</t>
    </r>
  </si>
  <si>
    <r>
      <rPr>
        <sz val="12"/>
        <rFont val="宋体"/>
        <charset val="134"/>
      </rPr>
      <t>委托人开户行名称</t>
    </r>
  </si>
  <si>
    <t>WTRKHHMC</t>
  </si>
  <si>
    <r>
      <rPr>
        <sz val="12"/>
        <rFont val="宋体"/>
        <charset val="134"/>
      </rPr>
      <t>委托资金的开户银行名称。</t>
    </r>
  </si>
  <si>
    <r>
      <rPr>
        <sz val="12"/>
        <rFont val="宋体"/>
        <charset val="134"/>
      </rPr>
      <t>如果借款人为个人，则为隐私，银行机构变形，变性规则见《采集技术接口说明》。其他情况则为非隐私，不作变形。</t>
    </r>
  </si>
  <si>
    <r>
      <rPr>
        <sz val="12"/>
        <rFont val="宋体"/>
        <charset val="134"/>
      </rPr>
      <t>受益人账号</t>
    </r>
  </si>
  <si>
    <r>
      <rPr>
        <sz val="12"/>
        <rFont val="宋体"/>
        <charset val="134"/>
      </rPr>
      <t>填写委托贷款实际发放入账的账号，不可填中间过渡账户，不可为空。</t>
    </r>
  </si>
  <si>
    <r>
      <rPr>
        <sz val="12"/>
        <rFont val="宋体"/>
        <charset val="134"/>
      </rPr>
      <t>是否收息</t>
    </r>
  </si>
  <si>
    <t>SFSX</t>
  </si>
  <si>
    <r>
      <rPr>
        <sz val="12"/>
        <rFont val="宋体"/>
        <charset val="134"/>
      </rPr>
      <t>填写本行收取客户的手续费金额，如果没有手续费填写为</t>
    </r>
    <r>
      <rPr>
        <sz val="12"/>
        <rFont val="Times New Roman"/>
        <charset val="134"/>
      </rPr>
      <t>0</t>
    </r>
    <r>
      <rPr>
        <sz val="12"/>
        <rFont val="宋体"/>
        <charset val="134"/>
      </rPr>
      <t>。对于现金管理项下委托贷款，如果手续费在合同签订时一次收取的，在合同签订后的第一笔放款下填报手续费金额，之后的放款不再填报。</t>
    </r>
  </si>
  <si>
    <r>
      <rPr>
        <sz val="12"/>
        <rFont val="宋体"/>
        <charset val="134"/>
      </rPr>
      <t>对于现金管理项下委托贷款，每发生一笔放款仅报送一次，以后不再报送，贷款状态以</t>
    </r>
    <r>
      <rPr>
        <sz val="12"/>
        <rFont val="Times New Roman"/>
        <charset val="134"/>
      </rPr>
      <t>“</t>
    </r>
    <r>
      <rPr>
        <sz val="12"/>
        <rFont val="宋体"/>
        <charset val="134"/>
      </rPr>
      <t>其他</t>
    </r>
    <r>
      <rPr>
        <sz val="12"/>
        <rFont val="Times New Roman"/>
        <charset val="134"/>
      </rPr>
      <t>-</t>
    </r>
    <r>
      <rPr>
        <sz val="12"/>
        <rFont val="宋体"/>
        <charset val="134"/>
      </rPr>
      <t>现金管理项下</t>
    </r>
    <r>
      <rPr>
        <sz val="12"/>
        <rFont val="Times New Roman"/>
        <charset val="134"/>
      </rPr>
      <t>”</t>
    </r>
    <r>
      <rPr>
        <sz val="12"/>
        <rFont val="宋体"/>
        <charset val="134"/>
      </rPr>
      <t>报送。</t>
    </r>
  </si>
  <si>
    <r>
      <rPr>
        <sz val="12"/>
        <rFont val="宋体"/>
        <charset val="134"/>
      </rPr>
      <t>代理代销交易信息表</t>
    </r>
  </si>
  <si>
    <r>
      <rPr>
        <sz val="12"/>
        <rFont val="宋体"/>
        <charset val="134"/>
      </rPr>
      <t>填报办理该业务的银行机构。关联数据项：机构信息表</t>
    </r>
    <r>
      <rPr>
        <sz val="12"/>
        <rFont val="Times New Roman"/>
        <charset val="134"/>
      </rPr>
      <t>.</t>
    </r>
    <r>
      <rPr>
        <sz val="12"/>
        <rFont val="宋体"/>
        <charset val="134"/>
      </rPr>
      <t>内部机构号。填写经办的银行机构。</t>
    </r>
  </si>
  <si>
    <r>
      <rPr>
        <sz val="12"/>
        <rFont val="宋体"/>
        <charset val="134"/>
      </rPr>
      <t>填报购买产品的客户编号。关联数据项：个人基础信息表</t>
    </r>
    <r>
      <rPr>
        <sz val="12"/>
        <rFont val="Times New Roman"/>
        <charset val="134"/>
      </rPr>
      <t>.</t>
    </r>
    <r>
      <rPr>
        <sz val="12"/>
        <rFont val="宋体"/>
        <charset val="134"/>
      </rPr>
      <t>客户统一编号或对公客户信息表</t>
    </r>
    <r>
      <rPr>
        <sz val="12"/>
        <rFont val="Times New Roman"/>
        <charset val="134"/>
      </rPr>
      <t>.</t>
    </r>
    <r>
      <rPr>
        <sz val="12"/>
        <rFont val="宋体"/>
        <charset val="134"/>
      </rPr>
      <t>客户统一编号。</t>
    </r>
  </si>
  <si>
    <r>
      <rPr>
        <sz val="12"/>
        <rFont val="宋体"/>
        <charset val="134"/>
      </rPr>
      <t>填报购买产品的客户编号。关联数据项：个人基础信息表</t>
    </r>
    <r>
      <rPr>
        <sz val="12"/>
        <rFont val="Times New Roman"/>
        <charset val="134"/>
      </rPr>
      <t>.</t>
    </r>
    <r>
      <rPr>
        <sz val="12"/>
        <rFont val="宋体"/>
        <charset val="134"/>
      </rPr>
      <t>客户姓名或对公客户信息表</t>
    </r>
    <r>
      <rPr>
        <sz val="12"/>
        <rFont val="Times New Roman"/>
        <charset val="134"/>
      </rPr>
      <t>.</t>
    </r>
    <r>
      <rPr>
        <sz val="12"/>
        <rFont val="宋体"/>
        <charset val="134"/>
      </rPr>
      <t>客户名称。</t>
    </r>
  </si>
  <si>
    <r>
      <rPr>
        <sz val="12"/>
        <rFont val="宋体"/>
        <charset val="134"/>
      </rPr>
      <t>客户账号</t>
    </r>
  </si>
  <si>
    <t>KHZH</t>
  </si>
  <si>
    <r>
      <rPr>
        <sz val="12"/>
        <rFont val="宋体"/>
        <charset val="134"/>
      </rPr>
      <t>填报客户付款的账号，如果为现金交易，可以为空。</t>
    </r>
  </si>
  <si>
    <r>
      <rPr>
        <sz val="12"/>
        <rFont val="宋体"/>
        <charset val="134"/>
      </rPr>
      <t>开户行名称</t>
    </r>
  </si>
  <si>
    <t>KHHMC</t>
  </si>
  <si>
    <r>
      <rPr>
        <sz val="12"/>
        <rFont val="宋体"/>
        <charset val="134"/>
      </rPr>
      <t>填报客户缴款的开户行名称，如果为现金交易，可以为空。</t>
    </r>
  </si>
  <si>
    <t>JYBH</t>
  </si>
  <si>
    <r>
      <rPr>
        <sz val="12"/>
        <rFont val="Times New Roman"/>
        <charset val="134"/>
      </rPr>
      <t>PK</t>
    </r>
    <r>
      <rPr>
        <sz val="12"/>
        <rFont val="宋体"/>
        <charset val="134"/>
      </rPr>
      <t>。识别交易的唯一编号。</t>
    </r>
  </si>
  <si>
    <t>DLDXJYLX</t>
  </si>
  <si>
    <r>
      <rPr>
        <sz val="12"/>
        <rFont val="宋体"/>
        <charset val="134"/>
      </rPr>
      <t>参照</t>
    </r>
    <r>
      <rPr>
        <sz val="12"/>
        <rFont val="Times New Roman"/>
        <charset val="134"/>
      </rPr>
      <t>1104</t>
    </r>
    <r>
      <rPr>
        <sz val="12"/>
        <rFont val="宋体"/>
        <charset val="134"/>
      </rPr>
      <t>报表</t>
    </r>
    <r>
      <rPr>
        <sz val="12"/>
        <rFont val="Times New Roman"/>
        <charset val="134"/>
      </rPr>
      <t>G01_I</t>
    </r>
    <r>
      <rPr>
        <sz val="12"/>
        <rFont val="宋体"/>
        <charset val="134"/>
      </rPr>
      <t>中代理代销业务的分类口径。</t>
    </r>
  </si>
  <si>
    <r>
      <rPr>
        <sz val="12"/>
        <rFont val="宋体"/>
        <charset val="134"/>
      </rPr>
      <t>代销产品名称</t>
    </r>
  </si>
  <si>
    <t>DXCPMC</t>
  </si>
  <si>
    <r>
      <rPr>
        <sz val="12"/>
        <rFont val="宋体"/>
        <charset val="134"/>
      </rPr>
      <t>交易日期</t>
    </r>
  </si>
  <si>
    <t>JYRQ</t>
  </si>
  <si>
    <r>
      <rPr>
        <sz val="12"/>
        <rFont val="宋体"/>
        <charset val="134"/>
      </rPr>
      <t>填写客户实际购买并缴费的日期。</t>
    </r>
  </si>
  <si>
    <r>
      <rPr>
        <sz val="12"/>
        <rFont val="宋体"/>
        <charset val="134"/>
      </rPr>
      <t>填写客户实际购买并缴费的金额。</t>
    </r>
  </si>
  <si>
    <r>
      <rPr>
        <sz val="12"/>
        <rFont val="宋体"/>
        <charset val="134"/>
      </rPr>
      <t>发行机构名称</t>
    </r>
  </si>
  <si>
    <t>FXJGMC</t>
  </si>
  <si>
    <r>
      <rPr>
        <sz val="12"/>
        <rFont val="宋体"/>
        <charset val="134"/>
      </rPr>
      <t>填写发行机构的全称。</t>
    </r>
  </si>
  <si>
    <r>
      <rPr>
        <sz val="12"/>
        <rFont val="宋体"/>
        <charset val="134"/>
      </rPr>
      <t>发行机构评级</t>
    </r>
  </si>
  <si>
    <t>FXJGPJ</t>
  </si>
  <si>
    <r>
      <rPr>
        <sz val="12"/>
        <rFont val="宋体"/>
        <charset val="134"/>
      </rPr>
      <t>允许填报内部评级。</t>
    </r>
  </si>
  <si>
    <r>
      <rPr>
        <sz val="12"/>
        <rFont val="宋体"/>
        <charset val="134"/>
      </rPr>
      <t>发行机构评级机构</t>
    </r>
  </si>
  <si>
    <t>FXJGPJJG</t>
  </si>
  <si>
    <r>
      <rPr>
        <sz val="12"/>
        <rFont val="宋体"/>
        <charset val="134"/>
      </rPr>
      <t>评级机构名称，如果没有允许为空。</t>
    </r>
  </si>
  <si>
    <r>
      <rPr>
        <sz val="12"/>
        <rFont val="宋体"/>
        <charset val="134"/>
      </rPr>
      <t>发行机构清算账号</t>
    </r>
  </si>
  <si>
    <t>FXJGQSZH</t>
  </si>
  <si>
    <r>
      <rPr>
        <sz val="12"/>
        <rFont val="宋体"/>
        <charset val="134"/>
      </rPr>
      <t>填写发行机构清算账户的账号，优先填报外部账号。</t>
    </r>
  </si>
  <si>
    <r>
      <rPr>
        <sz val="12"/>
        <rFont val="宋体"/>
        <charset val="134"/>
      </rPr>
      <t>发行机构清算行名</t>
    </r>
  </si>
  <si>
    <t>FXJGQSHM</t>
  </si>
  <si>
    <r>
      <rPr>
        <sz val="12"/>
        <rFont val="宋体"/>
        <charset val="134"/>
      </rPr>
      <t>发行机构清算账户的所属行名。第三方支付平台填写第三方支付平台名称。</t>
    </r>
  </si>
  <si>
    <r>
      <rPr>
        <sz val="12"/>
        <rFont val="宋体"/>
        <charset val="134"/>
      </rPr>
      <t>融资人名称</t>
    </r>
  </si>
  <si>
    <t>RZRMC</t>
  </si>
  <si>
    <r>
      <rPr>
        <sz val="12"/>
        <rFont val="宋体"/>
        <charset val="134"/>
      </rPr>
      <t>代销产品融资人的名称。如融资人即发行人，则填发行机构名称。如有多个融资人的，填报融资比例最高的名称。银行应按照《关于规范商业银行代理销售业务的通知》（银监发〔</t>
    </r>
    <r>
      <rPr>
        <sz val="12"/>
        <rFont val="Times New Roman"/>
        <charset val="134"/>
      </rPr>
      <t>2016</t>
    </r>
    <r>
      <rPr>
        <sz val="12"/>
        <rFont val="宋体"/>
        <charset val="134"/>
      </rPr>
      <t>〕</t>
    </r>
    <r>
      <rPr>
        <sz val="12"/>
        <rFont val="Times New Roman"/>
        <charset val="134"/>
      </rPr>
      <t>24</t>
    </r>
    <r>
      <rPr>
        <sz val="12"/>
        <rFont val="宋体"/>
        <charset val="134"/>
      </rPr>
      <t>号）代销产品准入管理等相关规定进行尽职调查，如不掌握融资人信息的，允许为空。</t>
    </r>
  </si>
  <si>
    <r>
      <rPr>
        <sz val="12"/>
        <rFont val="宋体"/>
        <charset val="134"/>
      </rPr>
      <t>融资人所属行业</t>
    </r>
  </si>
  <si>
    <t>RZRSSHY</t>
  </si>
  <si>
    <r>
      <rPr>
        <sz val="12"/>
        <rFont val="宋体"/>
        <charset val="134"/>
      </rPr>
      <t>代销产品融资人所属行业。如融资人即发行人，则填发行机构所属行业。如有多个融资人的，填报融资比例最高的融资人行业。如不掌握融资人信息的，允许为空。</t>
    </r>
  </si>
  <si>
    <t>JYYGH</t>
  </si>
  <si>
    <r>
      <rPr>
        <sz val="12"/>
        <rFont val="宋体"/>
        <charset val="134"/>
      </rPr>
      <t>指推荐人或有权销售人的员工号，自动办理的允许为空。关联数据项：员工表</t>
    </r>
    <r>
      <rPr>
        <sz val="12"/>
        <rFont val="Times New Roman"/>
        <charset val="134"/>
      </rPr>
      <t>.</t>
    </r>
    <r>
      <rPr>
        <sz val="12"/>
        <rFont val="宋体"/>
        <charset val="134"/>
      </rPr>
      <t>工号。</t>
    </r>
  </si>
  <si>
    <r>
      <rPr>
        <sz val="14"/>
        <rFont val="宋体"/>
        <charset val="134"/>
      </rPr>
      <t>资金交易信息</t>
    </r>
  </si>
  <si>
    <r>
      <rPr>
        <sz val="12"/>
        <rFont val="宋体"/>
        <charset val="134"/>
      </rPr>
      <t>汇率信息表</t>
    </r>
  </si>
  <si>
    <r>
      <rPr>
        <sz val="12"/>
        <rFont val="宋体"/>
        <charset val="134"/>
      </rPr>
      <t>外币数量</t>
    </r>
  </si>
  <si>
    <t>WBSL</t>
  </si>
  <si>
    <r>
      <rPr>
        <sz val="12"/>
        <rFont val="宋体"/>
        <charset val="134"/>
      </rPr>
      <t>国家外汇管理局公布的人民币汇率中间价。可以是</t>
    </r>
    <r>
      <rPr>
        <sz val="12"/>
        <rFont val="Times New Roman"/>
        <charset val="134"/>
      </rPr>
      <t>1</t>
    </r>
    <r>
      <rPr>
        <sz val="12"/>
        <rFont val="宋体"/>
        <charset val="134"/>
      </rPr>
      <t>外币折合多少本币，也可以是</t>
    </r>
    <r>
      <rPr>
        <sz val="12"/>
        <rFont val="Times New Roman"/>
        <charset val="134"/>
      </rPr>
      <t>100</t>
    </r>
    <r>
      <rPr>
        <sz val="12"/>
        <rFont val="宋体"/>
        <charset val="134"/>
      </rPr>
      <t>外币折合多少本币。</t>
    </r>
  </si>
  <si>
    <r>
      <rPr>
        <sz val="12"/>
        <rFont val="宋体"/>
        <charset val="134"/>
      </rPr>
      <t>折本币数量</t>
    </r>
  </si>
  <si>
    <t>ZBBSL</t>
  </si>
  <si>
    <r>
      <rPr>
        <sz val="12"/>
        <rFont val="宋体"/>
        <charset val="134"/>
      </rPr>
      <t>本币币种</t>
    </r>
  </si>
  <si>
    <t>BBBZ</t>
  </si>
  <si>
    <r>
      <rPr>
        <sz val="12"/>
        <rFont val="宋体"/>
        <charset val="134"/>
      </rPr>
      <t>汇率日期</t>
    </r>
  </si>
  <si>
    <t>HLRQ</t>
  </si>
  <si>
    <r>
      <rPr>
        <sz val="12"/>
        <rFont val="Times New Roman"/>
        <charset val="134"/>
      </rPr>
      <t>PK</t>
    </r>
    <r>
      <rPr>
        <sz val="12"/>
        <rFont val="宋体"/>
        <charset val="134"/>
      </rPr>
      <t>。指汇率公布日期。</t>
    </r>
  </si>
  <si>
    <r>
      <rPr>
        <sz val="12"/>
        <rFont val="宋体"/>
        <charset val="134"/>
      </rPr>
      <t>金融工具信息表</t>
    </r>
  </si>
  <si>
    <r>
      <rPr>
        <sz val="12"/>
        <rFont val="宋体"/>
        <charset val="134"/>
      </rPr>
      <t>关联数据项：机构信息表</t>
    </r>
    <r>
      <rPr>
        <sz val="12"/>
        <rFont val="Times New Roman"/>
        <charset val="134"/>
      </rPr>
      <t>.</t>
    </r>
    <r>
      <rPr>
        <sz val="12"/>
        <rFont val="宋体"/>
        <charset val="134"/>
      </rPr>
      <t>内部机构号。填写经办的银行机构。</t>
    </r>
  </si>
  <si>
    <t>JRGJBH</t>
  </si>
  <si>
    <r>
      <rPr>
        <sz val="12"/>
        <rFont val="Times New Roman"/>
        <charset val="134"/>
      </rPr>
      <t>PK</t>
    </r>
    <r>
      <rPr>
        <sz val="12"/>
        <rFont val="宋体"/>
        <charset val="134"/>
      </rPr>
      <t>。不可为空。</t>
    </r>
  </si>
  <si>
    <t>JRGJMC</t>
  </si>
  <si>
    <r>
      <rPr>
        <sz val="12"/>
        <rFont val="宋体"/>
        <charset val="134"/>
      </rPr>
      <t>可根据业务分类来填写，如存放同业：存放</t>
    </r>
    <r>
      <rPr>
        <sz val="12"/>
        <rFont val="Times New Roman"/>
        <charset val="134"/>
      </rPr>
      <t>XX</t>
    </r>
    <r>
      <rPr>
        <sz val="12"/>
        <rFont val="宋体"/>
        <charset val="134"/>
      </rPr>
      <t>银行；同业借款：</t>
    </r>
    <r>
      <rPr>
        <sz val="12"/>
        <rFont val="Times New Roman"/>
        <charset val="134"/>
      </rPr>
      <t>XX</t>
    </r>
    <r>
      <rPr>
        <sz val="12"/>
        <rFont val="宋体"/>
        <charset val="134"/>
      </rPr>
      <t>银行</t>
    </r>
    <r>
      <rPr>
        <sz val="12"/>
        <rFont val="Times New Roman"/>
        <charset val="134"/>
      </rPr>
      <t>XX</t>
    </r>
    <r>
      <rPr>
        <sz val="12"/>
        <rFont val="宋体"/>
        <charset val="134"/>
      </rPr>
      <t>借款；衍生品工具：</t>
    </r>
    <r>
      <rPr>
        <sz val="12"/>
        <rFont val="Times New Roman"/>
        <charset val="134"/>
      </rPr>
      <t>XX</t>
    </r>
    <r>
      <rPr>
        <sz val="12"/>
        <rFont val="宋体"/>
        <charset val="134"/>
      </rPr>
      <t>机构</t>
    </r>
    <r>
      <rPr>
        <sz val="12"/>
        <rFont val="Times New Roman"/>
        <charset val="134"/>
      </rPr>
      <t>XX</t>
    </r>
    <r>
      <rPr>
        <sz val="12"/>
        <rFont val="宋体"/>
        <charset val="134"/>
      </rPr>
      <t>类产品</t>
    </r>
    <r>
      <rPr>
        <sz val="12"/>
        <rFont val="Times New Roman"/>
        <charset val="134"/>
      </rPr>
      <t>XX</t>
    </r>
    <r>
      <rPr>
        <sz val="12"/>
        <rFont val="宋体"/>
        <charset val="134"/>
      </rPr>
      <t>合约。资产类型如果是基金、理财、资管计划等产品的，金融工具名称必须填写产品全称，如</t>
    </r>
    <r>
      <rPr>
        <sz val="12"/>
        <rFont val="Times New Roman"/>
        <charset val="134"/>
      </rPr>
      <t>XX</t>
    </r>
    <r>
      <rPr>
        <sz val="12"/>
        <rFont val="宋体"/>
        <charset val="134"/>
      </rPr>
      <t>券商</t>
    </r>
    <r>
      <rPr>
        <sz val="12"/>
        <rFont val="Times New Roman"/>
        <charset val="134"/>
      </rPr>
      <t>XX</t>
    </r>
    <r>
      <rPr>
        <sz val="12"/>
        <rFont val="宋体"/>
        <charset val="134"/>
      </rPr>
      <t>资管计划</t>
    </r>
    <r>
      <rPr>
        <sz val="12"/>
        <rFont val="Times New Roman"/>
        <charset val="134"/>
      </rPr>
      <t>X</t>
    </r>
    <r>
      <rPr>
        <sz val="12"/>
        <rFont val="宋体"/>
        <charset val="134"/>
      </rPr>
      <t>期，</t>
    </r>
    <r>
      <rPr>
        <sz val="12"/>
        <rFont val="Times New Roman"/>
        <charset val="134"/>
      </rPr>
      <t>XX</t>
    </r>
    <r>
      <rPr>
        <sz val="12"/>
        <rFont val="宋体"/>
        <charset val="134"/>
      </rPr>
      <t>银行同业理财产品</t>
    </r>
    <r>
      <rPr>
        <sz val="12"/>
        <rFont val="Times New Roman"/>
        <charset val="134"/>
      </rPr>
      <t>X</t>
    </r>
    <r>
      <rPr>
        <sz val="12"/>
        <rFont val="宋体"/>
        <charset val="134"/>
      </rPr>
      <t>期。不可为空。</t>
    </r>
  </si>
  <si>
    <r>
      <rPr>
        <sz val="12"/>
        <rFont val="宋体"/>
        <charset val="134"/>
      </rPr>
      <t>填报金融工具穿透前对应的资产类型。</t>
    </r>
  </si>
  <si>
    <r>
      <rPr>
        <sz val="12"/>
        <rFont val="宋体"/>
        <charset val="134"/>
      </rPr>
      <t>发行价格</t>
    </r>
  </si>
  <si>
    <t>FXJG</t>
  </si>
  <si>
    <r>
      <rPr>
        <sz val="12"/>
        <rFont val="宋体"/>
        <charset val="134"/>
      </rPr>
      <t>标准化的如标准化债券、证券类产品，填报单位发行金额。非标准化的业务填报发行总金额。衍生品类合约交易填报合约金额。</t>
    </r>
  </si>
  <si>
    <r>
      <rPr>
        <sz val="12"/>
        <rFont val="宋体"/>
        <charset val="134"/>
      </rPr>
      <t>发行总规模</t>
    </r>
  </si>
  <si>
    <t>FXZGM</t>
  </si>
  <si>
    <r>
      <rPr>
        <sz val="12"/>
        <rFont val="宋体"/>
        <charset val="134"/>
      </rPr>
      <t>填报该金融工具发行总规模或业务总金额。</t>
    </r>
  </si>
  <si>
    <r>
      <rPr>
        <sz val="12"/>
        <rFont val="宋体"/>
        <charset val="134"/>
      </rPr>
      <t>填发行主体而不是代理人，如果没有对应发行机构的填报交易对手。</t>
    </r>
  </si>
  <si>
    <t>FXJGDM</t>
  </si>
  <si>
    <r>
      <rPr>
        <sz val="12"/>
        <rFont val="宋体"/>
        <charset val="134"/>
      </rPr>
      <t>填发行主体而不是代理人。如果没有发行机构的填报交易对手。</t>
    </r>
  </si>
  <si>
    <r>
      <rPr>
        <sz val="12"/>
        <rFont val="宋体"/>
        <charset val="134"/>
      </rPr>
      <t>发行国别</t>
    </r>
  </si>
  <si>
    <t>FXGB</t>
  </si>
  <si>
    <r>
      <rPr>
        <sz val="12"/>
        <rFont val="宋体"/>
        <charset val="134"/>
      </rPr>
      <t>填写发行主体所在国家。</t>
    </r>
  </si>
  <si>
    <r>
      <rPr>
        <sz val="12"/>
        <rFont val="宋体"/>
        <charset val="134"/>
      </rPr>
      <t>发行日期</t>
    </r>
  </si>
  <si>
    <t>FXRQ</t>
  </si>
  <si>
    <r>
      <rPr>
        <sz val="12"/>
        <rFont val="宋体"/>
        <charset val="134"/>
      </rPr>
      <t>没有对应发行日期的填写交易日期。</t>
    </r>
  </si>
  <si>
    <r>
      <rPr>
        <sz val="12"/>
        <rFont val="宋体"/>
        <charset val="134"/>
      </rPr>
      <t>没有对应到期日期的填写交易日期。</t>
    </r>
  </si>
  <si>
    <r>
      <rPr>
        <sz val="12"/>
        <rFont val="宋体"/>
        <charset val="134"/>
      </rPr>
      <t>按业务实际填写，浮动利率填写最新利率，没有利率的业务可以为空。</t>
    </r>
  </si>
  <si>
    <r>
      <rPr>
        <sz val="12"/>
        <rFont val="宋体"/>
        <charset val="134"/>
      </rPr>
      <t>含权标识</t>
    </r>
  </si>
  <si>
    <t>HQBS</t>
  </si>
  <si>
    <r>
      <rPr>
        <sz val="12"/>
        <rFont val="宋体"/>
        <charset val="134"/>
      </rPr>
      <t>最近评估价格</t>
    </r>
  </si>
  <si>
    <t>ZJPGJG</t>
  </si>
  <si>
    <r>
      <rPr>
        <sz val="12"/>
        <rFont val="宋体"/>
        <charset val="134"/>
      </rPr>
      <t>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r>
  </si>
  <si>
    <r>
      <rPr>
        <sz val="12"/>
        <rFont val="宋体"/>
        <charset val="134"/>
      </rPr>
      <t>评估价格日期</t>
    </r>
  </si>
  <si>
    <t>PGJGRQ</t>
  </si>
  <si>
    <r>
      <rPr>
        <sz val="12"/>
        <rFont val="宋体"/>
        <charset val="134"/>
      </rPr>
      <t>基础资产编号</t>
    </r>
  </si>
  <si>
    <t>JCZCBH</t>
  </si>
  <si>
    <r>
      <rPr>
        <sz val="12"/>
        <rFont val="Times New Roman"/>
        <charset val="134"/>
      </rPr>
      <t>PK</t>
    </r>
    <r>
      <rPr>
        <sz val="12"/>
        <rFont val="宋体"/>
        <charset val="134"/>
      </rPr>
      <t>。仅同业往来大类下的同业存单，债券和同业投资大类下的所有业务需填报穿透后的基础资产相关信息，其他业务可以为空。基础资产如果对应多个，按多条报送。</t>
    </r>
    <r>
      <rPr>
        <sz val="12"/>
        <rFont val="Times New Roman"/>
        <charset val="134"/>
      </rPr>
      <t xml:space="preserve">
</t>
    </r>
    <r>
      <rPr>
        <sz val="12"/>
        <rFont val="宋体"/>
        <charset val="134"/>
      </rPr>
      <t>同业存单和债券业务的基础资产为证券的，资产编码使用证券代码，资产名称使用证券简称，基础资产客户为证券发行人；</t>
    </r>
    <r>
      <rPr>
        <sz val="12"/>
        <rFont val="Times New Roman"/>
        <charset val="134"/>
      </rPr>
      <t xml:space="preserve">
</t>
    </r>
    <r>
      <rPr>
        <sz val="12"/>
        <rFont val="宋体"/>
        <charset val="134"/>
      </rPr>
      <t>股权投资业务的基础资产为股权，基础资产客户为股权归属公司；</t>
    </r>
    <r>
      <rPr>
        <sz val="12"/>
        <rFont val="Times New Roman"/>
        <charset val="134"/>
      </rPr>
      <t xml:space="preserve">
</t>
    </r>
    <r>
      <rPr>
        <sz val="12"/>
        <rFont val="宋体"/>
        <charset val="134"/>
      </rPr>
      <t>投资的基础资产为信贷资产（或收益权）、不良资产包（或收益权），基础资产客户为信贷资产、不良资产包原始出让方（银行）；</t>
    </r>
    <r>
      <rPr>
        <sz val="12"/>
        <rFont val="Times New Roman"/>
        <charset val="134"/>
      </rPr>
      <t xml:space="preserve">
</t>
    </r>
    <r>
      <rPr>
        <sz val="12"/>
        <rFont val="宋体"/>
        <charset val="134"/>
      </rPr>
      <t>公募基金、私募基金、理财业务的基础资产为产品本身，资产编码使用基金代码，资产名称使用产品简称，基础资产客户为产品的发行人或管理人；</t>
    </r>
    <r>
      <rPr>
        <sz val="12"/>
        <rFont val="Times New Roman"/>
        <charset val="134"/>
      </rPr>
      <t xml:space="preserve">
</t>
    </r>
    <r>
      <rPr>
        <sz val="12"/>
        <rFont val="宋体"/>
        <charset val="134"/>
      </rPr>
      <t>资管产品（包括非保本理财产品）、其他投资的基础资产为穿透后的底层投资，基础资产客户为底层投资的最终兑付方，与</t>
    </r>
    <r>
      <rPr>
        <sz val="12"/>
        <rFont val="Times New Roman"/>
        <charset val="134"/>
      </rPr>
      <t>G31</t>
    </r>
    <r>
      <rPr>
        <sz val="12"/>
        <rFont val="宋体"/>
        <charset val="134"/>
      </rPr>
      <t>原则保持一致。</t>
    </r>
  </si>
  <si>
    <r>
      <rPr>
        <sz val="12"/>
        <rFont val="宋体"/>
        <charset val="134"/>
      </rPr>
      <t>基础资产名称</t>
    </r>
  </si>
  <si>
    <t>JCZCMC</t>
  </si>
  <si>
    <r>
      <rPr>
        <sz val="12"/>
        <rFont val="宋体"/>
        <charset val="134"/>
      </rPr>
      <t>仅同业往来大类下的同业存单，债券和同业投资大类下的所有业务需填报穿透后的基础资产相关信息，其他业务可以为空。基础资产如果对应多个，按多条报送。</t>
    </r>
  </si>
  <si>
    <r>
      <rPr>
        <sz val="12"/>
        <rFont val="宋体"/>
        <charset val="134"/>
      </rPr>
      <t>基础资产规模</t>
    </r>
  </si>
  <si>
    <t>JCZCGM</t>
  </si>
  <si>
    <r>
      <rPr>
        <sz val="12"/>
        <rFont val="宋体"/>
        <charset val="134"/>
      </rPr>
      <t>基础资产占比</t>
    </r>
  </si>
  <si>
    <t>JCZCZB</t>
  </si>
  <si>
    <r>
      <rPr>
        <sz val="12"/>
        <rFont val="宋体"/>
        <charset val="134"/>
      </rPr>
      <t>仅同业往来大类下的同业存单，债券和同业投资大类下的所有业务需填报穿透后的基础资产相关信息，其他业务可以为空。基础资产如果对应多个，按多条报送。填报基础资产规模占资产总规模的百分比。</t>
    </r>
  </si>
  <si>
    <r>
      <rPr>
        <sz val="12"/>
        <rFont val="宋体"/>
        <charset val="134"/>
      </rPr>
      <t>基础资产评级</t>
    </r>
  </si>
  <si>
    <t>JCZCPJ</t>
  </si>
  <si>
    <r>
      <rPr>
        <sz val="12"/>
        <rFont val="宋体"/>
        <charset val="134"/>
      </rPr>
      <t>基础资产评级机构</t>
    </r>
  </si>
  <si>
    <t>JCZCPJJG</t>
  </si>
  <si>
    <r>
      <rPr>
        <sz val="12"/>
        <rFont val="宋体"/>
        <charset val="134"/>
      </rPr>
      <t>基础资产客户名称</t>
    </r>
  </si>
  <si>
    <t>JCZCKHMC</t>
  </si>
  <si>
    <r>
      <rPr>
        <sz val="12"/>
        <rFont val="宋体"/>
        <charset val="134"/>
      </rPr>
      <t>基础资产客户国家</t>
    </r>
  </si>
  <si>
    <t>JCZCKHGJ</t>
  </si>
  <si>
    <r>
      <rPr>
        <sz val="12"/>
        <rFont val="宋体"/>
        <charset val="134"/>
      </rPr>
      <t>基础资产客户评级</t>
    </r>
  </si>
  <si>
    <t>JCZCKHPJ</t>
  </si>
  <si>
    <r>
      <rPr>
        <sz val="12"/>
        <rFont val="宋体"/>
        <charset val="134"/>
      </rPr>
      <t>基础资产客户评级机构</t>
    </r>
  </si>
  <si>
    <t>JCZCKHPJJG</t>
  </si>
  <si>
    <r>
      <rPr>
        <sz val="12"/>
        <rFont val="宋体"/>
        <charset val="134"/>
      </rPr>
      <t>基础资产客户行业</t>
    </r>
  </si>
  <si>
    <t>JCZCHKHHY</t>
  </si>
  <si>
    <r>
      <rPr>
        <sz val="12"/>
        <rFont val="宋体"/>
        <charset val="134"/>
      </rPr>
      <t>最终投向类型</t>
    </r>
  </si>
  <si>
    <t>ZZTXLX</t>
  </si>
  <si>
    <r>
      <rPr>
        <sz val="12"/>
        <rFont val="宋体"/>
        <charset val="134"/>
      </rPr>
      <t>最终投向行业</t>
    </r>
  </si>
  <si>
    <t>ZZTXHY</t>
  </si>
  <si>
    <r>
      <rPr>
        <sz val="12"/>
        <rFont val="宋体"/>
        <charset val="134"/>
      </rPr>
      <t>自营资金交易信息表</t>
    </r>
  </si>
  <si>
    <t>JYZHLX</t>
  </si>
  <si>
    <r>
      <rPr>
        <sz val="12"/>
        <rFont val="宋体"/>
        <charset val="134"/>
      </rPr>
      <t>关联数据项：金融工具信息表</t>
    </r>
    <r>
      <rPr>
        <sz val="12"/>
        <rFont val="Times New Roman"/>
        <charset val="134"/>
      </rPr>
      <t>.</t>
    </r>
    <r>
      <rPr>
        <sz val="12"/>
        <rFont val="宋体"/>
        <charset val="134"/>
      </rPr>
      <t>金融工具编号</t>
    </r>
  </si>
  <si>
    <r>
      <rPr>
        <sz val="12"/>
        <rFont val="宋体"/>
        <charset val="134"/>
      </rPr>
      <t>关联数据项：金融工具信息表</t>
    </r>
    <r>
      <rPr>
        <sz val="12"/>
        <rFont val="Times New Roman"/>
        <charset val="134"/>
      </rPr>
      <t>.</t>
    </r>
    <r>
      <rPr>
        <sz val="12"/>
        <rFont val="宋体"/>
        <charset val="134"/>
      </rPr>
      <t>金融工具名称</t>
    </r>
  </si>
  <si>
    <t>YEDL</t>
  </si>
  <si>
    <t>YWXL</t>
  </si>
  <si>
    <t>CPMC</t>
  </si>
  <si>
    <r>
      <rPr>
        <sz val="12"/>
        <rFont val="Times New Roman"/>
        <charset val="134"/>
      </rPr>
      <t>PK</t>
    </r>
    <r>
      <rPr>
        <sz val="12"/>
        <rFont val="宋体"/>
        <charset val="134"/>
      </rPr>
      <t>。资产类业务余额增加填写为买入，余额减少为卖出。</t>
    </r>
  </si>
  <si>
    <r>
      <rPr>
        <sz val="12"/>
        <rFont val="宋体"/>
        <charset val="134"/>
      </rPr>
      <t>合约币种</t>
    </r>
  </si>
  <si>
    <t>MYBJBZ</t>
  </si>
  <si>
    <r>
      <rPr>
        <sz val="12"/>
        <rFont val="宋体"/>
        <charset val="134"/>
      </rPr>
      <t>合约金额</t>
    </r>
  </si>
  <si>
    <t>MYBJJE</t>
  </si>
  <si>
    <r>
      <rPr>
        <sz val="12"/>
        <rFont val="宋体"/>
        <charset val="134"/>
      </rPr>
      <t>填报交易本金金额。</t>
    </r>
  </si>
  <si>
    <r>
      <rPr>
        <sz val="12"/>
        <rFont val="宋体"/>
        <charset val="134"/>
      </rPr>
      <t>年化利率</t>
    </r>
  </si>
  <si>
    <t>NHLL</t>
  </si>
  <si>
    <r>
      <rPr>
        <sz val="12"/>
        <rFont val="宋体"/>
        <charset val="134"/>
      </rPr>
      <t>成交时该业务的原始到期收益率年化值（净值类产品除外）。</t>
    </r>
  </si>
  <si>
    <r>
      <rPr>
        <sz val="12"/>
        <rFont val="宋体"/>
        <charset val="134"/>
      </rPr>
      <t>合同约定生效日期，若无该字段信息可填报交易日期。</t>
    </r>
  </si>
  <si>
    <r>
      <rPr>
        <sz val="12"/>
        <rFont val="宋体"/>
        <charset val="134"/>
      </rPr>
      <t>对于永续债、需要赎回才能终止的业务（如货币基金、债券基金等）统一填报默认值（</t>
    </r>
    <r>
      <rPr>
        <sz val="12"/>
        <rFont val="Times New Roman"/>
        <charset val="134"/>
      </rPr>
      <t>99991231</t>
    </r>
    <r>
      <rPr>
        <sz val="12"/>
        <rFont val="宋体"/>
        <charset val="134"/>
      </rPr>
      <t>）</t>
    </r>
  </si>
  <si>
    <r>
      <rPr>
        <sz val="12"/>
        <rFont val="宋体"/>
        <charset val="134"/>
      </rPr>
      <t>本方清算账号</t>
    </r>
  </si>
  <si>
    <t>BFQSZH</t>
  </si>
  <si>
    <r>
      <rPr>
        <sz val="12"/>
        <rFont val="宋体"/>
        <charset val="134"/>
      </rPr>
      <t>填报机构进行交易实际使用的账号。</t>
    </r>
  </si>
  <si>
    <t>JYDSLB</t>
  </si>
  <si>
    <r>
      <rPr>
        <sz val="12"/>
        <rFont val="宋体"/>
        <charset val="134"/>
      </rPr>
      <t>如果交易对手为个人，则为隐私，银行机构变形，个人变性规则见《采集技术接口说明》。如果为境内涉密机构的，填报为</t>
    </r>
    <r>
      <rPr>
        <sz val="12"/>
        <rFont val="Times New Roman"/>
        <charset val="134"/>
      </rPr>
      <t>“*********”</t>
    </r>
    <r>
      <rPr>
        <sz val="12"/>
        <rFont val="宋体"/>
        <charset val="134"/>
      </rPr>
      <t>。其他情况，则为非隐私，不做变形。</t>
    </r>
  </si>
  <si>
    <r>
      <rPr>
        <sz val="12"/>
        <rFont val="宋体"/>
        <charset val="134"/>
      </rPr>
      <t>交易对手评级</t>
    </r>
  </si>
  <si>
    <t>JYDSPJ</t>
  </si>
  <si>
    <r>
      <rPr>
        <sz val="12"/>
        <rFont val="宋体"/>
        <charset val="134"/>
      </rPr>
      <t>允许填报内部评级，如交易对手为个人，允许为空</t>
    </r>
  </si>
  <si>
    <r>
      <rPr>
        <sz val="12"/>
        <rFont val="宋体"/>
        <charset val="134"/>
      </rPr>
      <t>交易对手评级机构</t>
    </r>
  </si>
  <si>
    <t>JYDSPJJG</t>
  </si>
  <si>
    <t>JYDSZH</t>
  </si>
  <si>
    <r>
      <rPr>
        <sz val="12"/>
        <rFont val="宋体"/>
        <charset val="134"/>
      </rPr>
      <t>填写交易对手结算实际使用的账号。</t>
    </r>
  </si>
  <si>
    <r>
      <rPr>
        <sz val="12"/>
        <rFont val="宋体"/>
        <charset val="134"/>
      </rPr>
      <t>交易对手开户行号</t>
    </r>
  </si>
  <si>
    <t>JYDSKHHH</t>
  </si>
  <si>
    <r>
      <rPr>
        <sz val="12"/>
        <rFont val="宋体"/>
        <charset val="134"/>
      </rPr>
      <t>交易对手开户行名</t>
    </r>
  </si>
  <si>
    <t>JYDSKHHM</t>
  </si>
  <si>
    <r>
      <rPr>
        <sz val="12"/>
        <rFont val="宋体"/>
        <charset val="134"/>
      </rPr>
      <t>委托管理标志</t>
    </r>
  </si>
  <si>
    <t>WTGLBZ</t>
  </si>
  <si>
    <r>
      <rPr>
        <sz val="12"/>
        <rFont val="宋体"/>
        <charset val="134"/>
      </rPr>
      <t>是否资金通过通道委托其他机构投资标识</t>
    </r>
  </si>
  <si>
    <r>
      <rPr>
        <sz val="12"/>
        <rFont val="宋体"/>
        <charset val="134"/>
      </rPr>
      <t>关联数据项：员工表</t>
    </r>
    <r>
      <rPr>
        <sz val="12"/>
        <rFont val="Times New Roman"/>
        <charset val="134"/>
      </rPr>
      <t>.</t>
    </r>
    <r>
      <rPr>
        <sz val="12"/>
        <rFont val="宋体"/>
        <charset val="134"/>
      </rPr>
      <t>工号</t>
    </r>
  </si>
  <si>
    <t xml:space="preserve"> </t>
  </si>
  <si>
    <r>
      <rPr>
        <sz val="12"/>
        <rFont val="宋体"/>
        <charset val="134"/>
      </rPr>
      <t>自营资金业务余额表</t>
    </r>
  </si>
  <si>
    <r>
      <rPr>
        <sz val="12"/>
        <rFont val="Times New Roman"/>
        <charset val="134"/>
      </rPr>
      <t>PK</t>
    </r>
    <r>
      <rPr>
        <sz val="12"/>
        <rFont val="宋体"/>
        <charset val="134"/>
      </rPr>
      <t>。关联数据项：金融工具信息表</t>
    </r>
    <r>
      <rPr>
        <sz val="12"/>
        <rFont val="Times New Roman"/>
        <charset val="134"/>
      </rPr>
      <t>.</t>
    </r>
    <r>
      <rPr>
        <sz val="12"/>
        <rFont val="宋体"/>
        <charset val="134"/>
      </rPr>
      <t>金融工具编号</t>
    </r>
  </si>
  <si>
    <r>
      <rPr>
        <sz val="12"/>
        <rFont val="宋体"/>
        <charset val="134"/>
      </rPr>
      <t>本报表涉及所有业务的交易币种、科目币种、清算金额币种均应相同。</t>
    </r>
  </si>
  <si>
    <r>
      <rPr>
        <sz val="12"/>
        <rFont val="宋体"/>
        <charset val="134"/>
      </rPr>
      <t>持有成本</t>
    </r>
  </si>
  <si>
    <t>CYCB</t>
  </si>
  <si>
    <r>
      <rPr>
        <sz val="12"/>
        <rFont val="宋体"/>
        <charset val="134"/>
      </rPr>
      <t>填写自营资金交易实际支付成本，同一产品合并计算。</t>
    </r>
  </si>
  <si>
    <r>
      <rPr>
        <sz val="12"/>
        <rFont val="宋体"/>
        <charset val="134"/>
      </rPr>
      <t>账面余额</t>
    </r>
  </si>
  <si>
    <t>ZMYE</t>
  </si>
  <si>
    <r>
      <rPr>
        <sz val="12"/>
        <rFont val="宋体"/>
        <charset val="134"/>
      </rPr>
      <t>填写财务口径账面估值总额，含本金及利息，同一产品合并计算。</t>
    </r>
  </si>
  <si>
    <r>
      <rPr>
        <sz val="12"/>
        <rFont val="宋体"/>
        <charset val="134"/>
      </rPr>
      <t>本期收益</t>
    </r>
  </si>
  <si>
    <t>BQSY</t>
  </si>
  <si>
    <r>
      <rPr>
        <sz val="12"/>
        <rFont val="宋体"/>
        <charset val="134"/>
      </rPr>
      <t>对于净值型产品，份额赎回按照</t>
    </r>
    <r>
      <rPr>
        <sz val="12"/>
        <rFont val="Times New Roman"/>
        <charset val="134"/>
      </rPr>
      <t>“</t>
    </r>
    <r>
      <rPr>
        <sz val="12"/>
        <rFont val="宋体"/>
        <charset val="134"/>
      </rPr>
      <t>先进先出</t>
    </r>
    <r>
      <rPr>
        <sz val="12"/>
        <rFont val="Times New Roman"/>
        <charset val="134"/>
      </rPr>
      <t>”</t>
    </r>
    <r>
      <rPr>
        <sz val="12"/>
        <rFont val="宋体"/>
        <charset val="134"/>
      </rPr>
      <t>原则计算赎回部分的实际收益；对于非净值型产品，按照赎回金额与当前持有产品总价值的比例来计算本次赎回部分的收益。</t>
    </r>
  </si>
  <si>
    <r>
      <rPr>
        <sz val="12"/>
        <rFont val="宋体"/>
        <charset val="134"/>
      </rPr>
      <t>累计收益</t>
    </r>
  </si>
  <si>
    <t>LJSY</t>
  </si>
  <si>
    <r>
      <rPr>
        <sz val="12"/>
        <rFont val="宋体"/>
        <charset val="134"/>
      </rPr>
      <t>客户在某个产品下获得的累计收益（即历史月份本期收益的加总，若历史某月末时点不持有该产品，则累计收益自下个月起重新从零计算）。</t>
    </r>
  </si>
  <si>
    <r>
      <rPr>
        <sz val="12"/>
        <rFont val="宋体"/>
        <charset val="134"/>
      </rPr>
      <t>该业务在存量日的最新到期收益率。无到期收益率的允许为空。</t>
    </r>
  </si>
  <si>
    <t>XYFXQZ</t>
  </si>
  <si>
    <r>
      <rPr>
        <sz val="12"/>
        <rFont val="宋体"/>
        <charset val="134"/>
      </rPr>
      <t>负债类业务可以为空。</t>
    </r>
  </si>
  <si>
    <r>
      <rPr>
        <sz val="12"/>
        <rFont val="宋体"/>
        <charset val="134"/>
      </rPr>
      <t>按照需要进行五级分类的资产进行风险分类。到期业务填报到期前的五级分类。</t>
    </r>
  </si>
  <si>
    <r>
      <rPr>
        <sz val="12"/>
        <rFont val="宋体"/>
        <charset val="134"/>
      </rPr>
      <t>减值准备</t>
    </r>
  </si>
  <si>
    <t>JZZB</t>
  </si>
  <si>
    <r>
      <rPr>
        <sz val="12"/>
        <rFont val="宋体"/>
        <charset val="134"/>
      </rPr>
      <t>对于不需要计提减值准备的资产，如</t>
    </r>
    <r>
      <rPr>
        <sz val="12"/>
        <rFont val="Times New Roman"/>
        <charset val="134"/>
      </rPr>
      <t>FVPTL</t>
    </r>
    <r>
      <rPr>
        <sz val="12"/>
        <rFont val="宋体"/>
        <charset val="134"/>
      </rPr>
      <t>类的资产则填为</t>
    </r>
    <r>
      <rPr>
        <sz val="12"/>
        <rFont val="Times New Roman"/>
        <charset val="134"/>
      </rPr>
      <t>0</t>
    </r>
  </si>
  <si>
    <r>
      <rPr>
        <sz val="12"/>
        <rFont val="宋体"/>
        <charset val="134"/>
      </rPr>
      <t>起息日期</t>
    </r>
  </si>
  <si>
    <r>
      <rPr>
        <sz val="12"/>
        <rFont val="宋体"/>
        <charset val="134"/>
      </rPr>
      <t>金融资产起息日</t>
    </r>
  </si>
  <si>
    <r>
      <rPr>
        <sz val="12"/>
        <rFont val="宋体"/>
        <charset val="134"/>
      </rPr>
      <t>金融资产到期日。对于永续债、需要赎回才能终止的业务（如货币基金、债券基金等）统一填报默认值（如</t>
    </r>
    <r>
      <rPr>
        <sz val="12"/>
        <rFont val="Times New Roman"/>
        <charset val="134"/>
      </rPr>
      <t>9999</t>
    </r>
    <r>
      <rPr>
        <sz val="12"/>
        <rFont val="宋体"/>
        <charset val="134"/>
      </rPr>
      <t>年</t>
    </r>
    <r>
      <rPr>
        <sz val="12"/>
        <rFont val="Times New Roman"/>
        <charset val="134"/>
      </rPr>
      <t>12</t>
    </r>
    <r>
      <rPr>
        <sz val="12"/>
        <rFont val="宋体"/>
        <charset val="134"/>
      </rPr>
      <t>月</t>
    </r>
    <r>
      <rPr>
        <sz val="12"/>
        <rFont val="Times New Roman"/>
        <charset val="134"/>
      </rPr>
      <t>31</t>
    </r>
    <r>
      <rPr>
        <sz val="12"/>
        <rFont val="宋体"/>
        <charset val="134"/>
      </rPr>
      <t>日）</t>
    </r>
  </si>
  <si>
    <r>
      <rPr>
        <sz val="12"/>
        <rFont val="宋体"/>
        <charset val="134"/>
      </rPr>
      <t>即期及衍生品交易信息表</t>
    </r>
  </si>
  <si>
    <r>
      <rPr>
        <sz val="12"/>
        <rFont val="宋体"/>
        <charset val="134"/>
      </rPr>
      <t>业务品种</t>
    </r>
  </si>
  <si>
    <t>YWPZ</t>
  </si>
  <si>
    <t>JCZCLX</t>
  </si>
  <si>
    <r>
      <rPr>
        <sz val="12"/>
        <rFont val="宋体"/>
        <charset val="134"/>
      </rPr>
      <t>即期交易填报标的资产名称。掉期（互换）交易填报买方向卖方交付的资产名称。信用违约互换填报信用事件。</t>
    </r>
  </si>
  <si>
    <r>
      <rPr>
        <sz val="12"/>
        <rFont val="宋体"/>
        <charset val="134"/>
      </rPr>
      <t>套期保值、代客、做市、自营定义见《银行业金融机构衍生产品交易业务管理暂行办法》（中国银监会令</t>
    </r>
    <r>
      <rPr>
        <sz val="12"/>
        <rFont val="Times New Roman"/>
        <charset val="134"/>
      </rPr>
      <t>2011</t>
    </r>
    <r>
      <rPr>
        <sz val="12"/>
        <rFont val="宋体"/>
        <charset val="134"/>
      </rPr>
      <t>年第</t>
    </r>
    <r>
      <rPr>
        <sz val="12"/>
        <rFont val="Times New Roman"/>
        <charset val="134"/>
      </rPr>
      <t>1</t>
    </r>
    <r>
      <rPr>
        <sz val="12"/>
        <rFont val="宋体"/>
        <charset val="134"/>
      </rPr>
      <t>号）第四条，代客平盘指银行业金融机构为对冲代客交易相关风险而进行的交易。</t>
    </r>
  </si>
  <si>
    <t>HYZL</t>
  </si>
  <si>
    <r>
      <rPr>
        <sz val="12"/>
        <rFont val="宋体"/>
        <charset val="134"/>
      </rPr>
      <t>即期交易定义参照《银行办理结售汇业务管理办法》（中国人民银行令〔</t>
    </r>
    <r>
      <rPr>
        <sz val="12"/>
        <rFont val="Times New Roman"/>
        <charset val="134"/>
      </rPr>
      <t>2014</t>
    </r>
    <r>
      <rPr>
        <sz val="12"/>
        <rFont val="宋体"/>
        <charset val="134"/>
      </rPr>
      <t>〕第</t>
    </r>
    <r>
      <rPr>
        <sz val="12"/>
        <rFont val="Times New Roman"/>
        <charset val="134"/>
      </rPr>
      <t>2</t>
    </r>
    <r>
      <rPr>
        <sz val="12"/>
        <rFont val="宋体"/>
        <charset val="134"/>
      </rPr>
      <t>号）第三条第三项。</t>
    </r>
  </si>
  <si>
    <t>JYZT</t>
  </si>
  <si>
    <r>
      <rPr>
        <sz val="12"/>
        <rFont val="宋体"/>
        <charset val="134"/>
      </rPr>
      <t>变更是指成交后对原合约内容进行调整，包括部分平盘、重组等。终止、变更、估值、行权交易编号与原交易编号保持一致。</t>
    </r>
  </si>
  <si>
    <r>
      <rPr>
        <sz val="12"/>
        <rFont val="宋体"/>
        <charset val="134"/>
      </rPr>
      <t>买方名称</t>
    </r>
  </si>
  <si>
    <t>MFMC1</t>
  </si>
  <si>
    <r>
      <rPr>
        <sz val="12"/>
        <rFont val="宋体"/>
        <charset val="134"/>
      </rPr>
      <t>交易双方中支付成交价格或者收取交易标的一方。期权类交易中买方为可以行使选择权并支付期权费的一方，信用违约互换交易中买方为支付保费的一方。</t>
    </r>
  </si>
  <si>
    <r>
      <rPr>
        <sz val="12"/>
        <rFont val="宋体"/>
        <charset val="134"/>
      </rPr>
      <t>买方客户统一编号</t>
    </r>
  </si>
  <si>
    <t>MFKHTYBH1</t>
  </si>
  <si>
    <r>
      <rPr>
        <sz val="12"/>
        <rFont val="宋体"/>
        <charset val="134"/>
      </rPr>
      <t>卖方名称</t>
    </r>
  </si>
  <si>
    <t>MFMC2</t>
  </si>
  <si>
    <r>
      <rPr>
        <sz val="12"/>
        <rFont val="宋体"/>
        <charset val="134"/>
      </rPr>
      <t>交易双方中收取成交价格或者交付交易标的一方。期权类交易中卖方为收取期权费的一方，信用违约互换交易中卖方为收取保费的一方。</t>
    </r>
  </si>
  <si>
    <r>
      <rPr>
        <sz val="12"/>
        <rFont val="宋体"/>
        <charset val="134"/>
      </rPr>
      <t>卖方客户统一编号</t>
    </r>
  </si>
  <si>
    <t>MFKHTYBH2</t>
  </si>
  <si>
    <r>
      <rPr>
        <sz val="12"/>
        <rFont val="宋体"/>
        <charset val="134"/>
      </rPr>
      <t>交易时间</t>
    </r>
  </si>
  <si>
    <t>JYSJ</t>
  </si>
  <si>
    <r>
      <rPr>
        <sz val="12"/>
        <rFont val="宋体"/>
        <charset val="134"/>
      </rPr>
      <t>根据不同的合约种类填报到期日期、交割日期、计息终止日期，或者实际行权日期、提前终止日期。涉及多次交割的交易填报首次交割日期，远期择期交易填报最远端到期日期。到期时间为月份按</t>
    </r>
    <r>
      <rPr>
        <sz val="12"/>
        <rFont val="Times New Roman"/>
        <charset val="134"/>
      </rPr>
      <t>YYYYMM</t>
    </r>
    <r>
      <rPr>
        <sz val="12"/>
        <rFont val="宋体"/>
        <charset val="134"/>
      </rPr>
      <t>格式填报。</t>
    </r>
  </si>
  <si>
    <r>
      <rPr>
        <sz val="12"/>
        <rFont val="宋体"/>
        <charset val="134"/>
      </rPr>
      <t>截止日期</t>
    </r>
  </si>
  <si>
    <r>
      <rPr>
        <sz val="12"/>
        <rFont val="宋体"/>
        <charset val="134"/>
      </rPr>
      <t>交易有效期截止日期。</t>
    </r>
  </si>
  <si>
    <t>JGPL</t>
  </si>
  <si>
    <r>
      <rPr>
        <sz val="12"/>
        <rFont val="宋体"/>
        <charset val="134"/>
      </rPr>
      <t>适用于多次交割的交易，如利率互换、交叉货币互换等。交割日期不确定以及到期交割的交易不填报。</t>
    </r>
  </si>
  <si>
    <r>
      <rPr>
        <sz val="12"/>
        <rFont val="宋体"/>
        <charset val="134"/>
      </rPr>
      <t>标的数量</t>
    </r>
  </si>
  <si>
    <t>BDSL</t>
  </si>
  <si>
    <r>
      <rPr>
        <sz val="12"/>
        <rFont val="宋体"/>
        <charset val="134"/>
      </rPr>
      <t>卖方可能向买方交付的资产数量，或基础资产的名义本金。交叉货币互换填报近端卖方向买方支付的本金。普通看跌期权填报买方可能向卖方交付的资产数量。</t>
    </r>
  </si>
  <si>
    <r>
      <rPr>
        <sz val="12"/>
        <rFont val="宋体"/>
        <charset val="134"/>
      </rPr>
      <t>标的数量单位</t>
    </r>
  </si>
  <si>
    <t>BDSLDW</t>
  </si>
  <si>
    <r>
      <rPr>
        <sz val="12"/>
        <rFont val="宋体"/>
        <charset val="134"/>
      </rPr>
      <t>货币单位为《</t>
    </r>
    <r>
      <rPr>
        <sz val="12"/>
        <rFont val="Times New Roman"/>
        <charset val="134"/>
      </rPr>
      <t xml:space="preserve">GB/T 12406 </t>
    </r>
    <r>
      <rPr>
        <sz val="12"/>
        <rFont val="宋体"/>
        <charset val="134"/>
      </rPr>
      <t>表示货币和资金的代码》中的三字母代码，如</t>
    </r>
    <r>
      <rPr>
        <sz val="12"/>
        <rFont val="Times New Roman"/>
        <charset val="134"/>
      </rPr>
      <t>CNY</t>
    </r>
    <r>
      <rPr>
        <sz val="12"/>
        <rFont val="宋体"/>
        <charset val="134"/>
      </rPr>
      <t>；商品及贵金属为盎司、桶、磅等。汇率单位为</t>
    </r>
    <r>
      <rPr>
        <sz val="12"/>
        <rFont val="Times New Roman"/>
        <charset val="134"/>
      </rPr>
      <t>USDCNY</t>
    </r>
    <r>
      <rPr>
        <sz val="12"/>
        <rFont val="宋体"/>
        <charset val="134"/>
      </rPr>
      <t>、</t>
    </r>
    <r>
      <rPr>
        <sz val="12"/>
        <rFont val="Times New Roman"/>
        <charset val="134"/>
      </rPr>
      <t>EURUSD</t>
    </r>
    <r>
      <rPr>
        <sz val="12"/>
        <rFont val="宋体"/>
        <charset val="134"/>
      </rPr>
      <t>等；债券单位为面值单位，如中国国债单位为</t>
    </r>
    <r>
      <rPr>
        <sz val="12"/>
        <rFont val="Times New Roman"/>
        <charset val="134"/>
      </rPr>
      <t>CNY</t>
    </r>
    <r>
      <rPr>
        <sz val="12"/>
        <rFont val="宋体"/>
        <charset val="134"/>
      </rPr>
      <t>；利率单位为</t>
    </r>
    <r>
      <rPr>
        <sz val="12"/>
        <rFont val="Times New Roman"/>
        <charset val="134"/>
      </rPr>
      <t>BP</t>
    </r>
    <r>
      <rPr>
        <sz val="12"/>
        <rFont val="宋体"/>
        <charset val="134"/>
      </rPr>
      <t>。</t>
    </r>
  </si>
  <si>
    <r>
      <rPr>
        <sz val="12"/>
        <rFont val="宋体"/>
        <charset val="134"/>
      </rPr>
      <t>成交价格</t>
    </r>
  </si>
  <si>
    <t>CJJG</t>
  </si>
  <si>
    <r>
      <rPr>
        <sz val="12"/>
        <rFont val="宋体"/>
        <charset val="134"/>
      </rPr>
      <t>买方向卖方交付的资产数量。期权类交易填报期权费。浮动利率填报利率加点，对应利率指标在数据项</t>
    </r>
    <r>
      <rPr>
        <sz val="12"/>
        <rFont val="Times New Roman"/>
        <charset val="134"/>
      </rPr>
      <t>“</t>
    </r>
    <r>
      <rPr>
        <sz val="12"/>
        <rFont val="宋体"/>
        <charset val="134"/>
      </rPr>
      <t>基础资产名称</t>
    </r>
    <r>
      <rPr>
        <sz val="12"/>
        <rFont val="Times New Roman"/>
        <charset val="134"/>
      </rPr>
      <t>”</t>
    </r>
    <r>
      <rPr>
        <sz val="12"/>
        <rFont val="宋体"/>
        <charset val="134"/>
      </rPr>
      <t>中体现。</t>
    </r>
  </si>
  <si>
    <r>
      <rPr>
        <sz val="12"/>
        <rFont val="宋体"/>
        <charset val="134"/>
      </rPr>
      <t>成交价格单位</t>
    </r>
  </si>
  <si>
    <t>CJJGDW</t>
  </si>
  <si>
    <r>
      <rPr>
        <sz val="12"/>
        <rFont val="宋体"/>
        <charset val="134"/>
      </rPr>
      <t>货币单位为《</t>
    </r>
    <r>
      <rPr>
        <sz val="12"/>
        <rFont val="Times New Roman"/>
        <charset val="134"/>
      </rPr>
      <t xml:space="preserve">GB/T 12406 </t>
    </r>
    <r>
      <rPr>
        <sz val="12"/>
        <rFont val="宋体"/>
        <charset val="134"/>
      </rPr>
      <t>表示货币和资金的代码》中的三字母代码，如</t>
    </r>
    <r>
      <rPr>
        <sz val="12"/>
        <rFont val="Times New Roman"/>
        <charset val="134"/>
      </rPr>
      <t>CNY</t>
    </r>
    <r>
      <rPr>
        <sz val="12"/>
        <rFont val="宋体"/>
        <charset val="134"/>
      </rPr>
      <t>；商品及贵金属为盎司、桶、磅等。汇率单位为</t>
    </r>
    <r>
      <rPr>
        <sz val="12"/>
        <rFont val="Times New Roman"/>
        <charset val="134"/>
      </rPr>
      <t>USDCNY</t>
    </r>
    <r>
      <rPr>
        <sz val="12"/>
        <rFont val="宋体"/>
        <charset val="134"/>
      </rPr>
      <t>、</t>
    </r>
    <r>
      <rPr>
        <sz val="12"/>
        <rFont val="Times New Roman"/>
        <charset val="134"/>
      </rPr>
      <t>EURUSD</t>
    </r>
    <r>
      <rPr>
        <sz val="12"/>
        <rFont val="宋体"/>
        <charset val="134"/>
      </rPr>
      <t>等；债券单位为面值单位，如国债单位为</t>
    </r>
    <r>
      <rPr>
        <sz val="12"/>
        <rFont val="Times New Roman"/>
        <charset val="134"/>
      </rPr>
      <t>CNY</t>
    </r>
    <r>
      <rPr>
        <sz val="12"/>
        <rFont val="宋体"/>
        <charset val="134"/>
      </rPr>
      <t>；利率单位为</t>
    </r>
    <r>
      <rPr>
        <sz val="12"/>
        <rFont val="Times New Roman"/>
        <charset val="134"/>
      </rPr>
      <t>BP</t>
    </r>
    <r>
      <rPr>
        <sz val="12"/>
        <rFont val="宋体"/>
        <charset val="134"/>
      </rPr>
      <t>。</t>
    </r>
  </si>
  <si>
    <t>JYCS</t>
  </si>
  <si>
    <t>JGFS</t>
  </si>
  <si>
    <r>
      <rPr>
        <sz val="12"/>
        <rFont val="宋体"/>
        <charset val="134"/>
      </rPr>
      <t>差额是指以现金差额方式交割。净额是指中央清算所净额结算。</t>
    </r>
  </si>
  <si>
    <t>QQLX</t>
  </si>
  <si>
    <r>
      <rPr>
        <sz val="12"/>
        <rFont val="宋体"/>
        <charset val="134"/>
      </rPr>
      <t>仅期权类交易填报。</t>
    </r>
  </si>
  <si>
    <t>XQFS</t>
  </si>
  <si>
    <r>
      <rPr>
        <sz val="12"/>
        <rFont val="宋体"/>
        <charset val="134"/>
      </rPr>
      <t>欧式期权指期权买入方必须在期权到期日才能行使选择权的期权，美式期权是指期权买入方可以在成交后有效期内任何一天行使选择权的期权，百慕大期权是指可以在期权到期日前所规定的某些日期行使选择权的期权。仅期权类交易填报。</t>
    </r>
  </si>
  <si>
    <r>
      <rPr>
        <sz val="12"/>
        <rFont val="宋体"/>
        <charset val="134"/>
      </rPr>
      <t>行权价格</t>
    </r>
  </si>
  <si>
    <t>XQJG</t>
  </si>
  <si>
    <r>
      <rPr>
        <sz val="12"/>
        <rFont val="宋体"/>
        <charset val="134"/>
      </rPr>
      <t>约定的行权价格（总价）或行权条件边界。仅期权类交易填报。</t>
    </r>
  </si>
  <si>
    <r>
      <rPr>
        <sz val="12"/>
        <rFont val="宋体"/>
        <charset val="134"/>
      </rPr>
      <t>行权价格单位</t>
    </r>
  </si>
  <si>
    <t>XQJGDW</t>
  </si>
  <si>
    <r>
      <rPr>
        <sz val="12"/>
        <rFont val="宋体"/>
        <charset val="134"/>
      </rPr>
      <t>货币单位为《</t>
    </r>
    <r>
      <rPr>
        <sz val="12"/>
        <rFont val="Times New Roman"/>
        <charset val="134"/>
      </rPr>
      <t xml:space="preserve">GB/T 12406 </t>
    </r>
    <r>
      <rPr>
        <sz val="12"/>
        <rFont val="宋体"/>
        <charset val="134"/>
      </rPr>
      <t>表示货币和资金的代码》中的三字母代码，如</t>
    </r>
    <r>
      <rPr>
        <sz val="12"/>
        <rFont val="Times New Roman"/>
        <charset val="134"/>
      </rPr>
      <t>CNY</t>
    </r>
    <r>
      <rPr>
        <sz val="12"/>
        <rFont val="宋体"/>
        <charset val="134"/>
      </rPr>
      <t>；汇率单位为</t>
    </r>
    <r>
      <rPr>
        <sz val="12"/>
        <rFont val="Times New Roman"/>
        <charset val="134"/>
      </rPr>
      <t>USDCNY</t>
    </r>
    <r>
      <rPr>
        <sz val="12"/>
        <rFont val="宋体"/>
        <charset val="134"/>
      </rPr>
      <t>、</t>
    </r>
    <r>
      <rPr>
        <sz val="12"/>
        <rFont val="Times New Roman"/>
        <charset val="134"/>
      </rPr>
      <t>EURUSD</t>
    </r>
    <r>
      <rPr>
        <sz val="12"/>
        <rFont val="宋体"/>
        <charset val="134"/>
      </rPr>
      <t>等；利率单位为</t>
    </r>
    <r>
      <rPr>
        <sz val="12"/>
        <rFont val="Times New Roman"/>
        <charset val="134"/>
      </rPr>
      <t>BP</t>
    </r>
    <r>
      <rPr>
        <sz val="12"/>
        <rFont val="宋体"/>
        <charset val="134"/>
      </rPr>
      <t>。仅期权类交易填报。</t>
    </r>
  </si>
  <si>
    <r>
      <rPr>
        <sz val="12"/>
        <rFont val="宋体"/>
        <charset val="134"/>
      </rPr>
      <t>保证金标志</t>
    </r>
  </si>
  <si>
    <r>
      <rPr>
        <sz val="12"/>
        <rFont val="宋体"/>
        <charset val="134"/>
      </rPr>
      <t>交易是否有保证金。</t>
    </r>
  </si>
  <si>
    <r>
      <rPr>
        <sz val="12"/>
        <rFont val="宋体"/>
        <charset val="134"/>
      </rPr>
      <t>主协议名称</t>
    </r>
  </si>
  <si>
    <t>ZXYMC</t>
  </si>
  <si>
    <r>
      <rPr>
        <sz val="12"/>
        <rFont val="宋体"/>
        <charset val="134"/>
      </rPr>
      <t>衍生品交易双方签署的主协议名称，如：</t>
    </r>
    <r>
      <rPr>
        <sz val="12"/>
        <rFont val="Times New Roman"/>
        <charset val="134"/>
      </rPr>
      <t>ISDA</t>
    </r>
    <r>
      <rPr>
        <sz val="12"/>
        <rFont val="宋体"/>
        <charset val="134"/>
      </rPr>
      <t>、</t>
    </r>
    <r>
      <rPr>
        <sz val="12"/>
        <rFont val="Times New Roman"/>
        <charset val="134"/>
      </rPr>
      <t>NAFMII</t>
    </r>
    <r>
      <rPr>
        <sz val="12"/>
        <rFont val="宋体"/>
        <charset val="134"/>
      </rPr>
      <t>等，未签署不填报。多个主协议之间用英文半角分号</t>
    </r>
    <r>
      <rPr>
        <sz val="12"/>
        <rFont val="Times New Roman"/>
        <charset val="134"/>
      </rPr>
      <t>“;”</t>
    </r>
    <r>
      <rPr>
        <sz val="12"/>
        <rFont val="宋体"/>
        <charset val="134"/>
      </rPr>
      <t>分隔。</t>
    </r>
  </si>
  <si>
    <r>
      <rPr>
        <sz val="12"/>
        <rFont val="宋体"/>
        <charset val="134"/>
      </rPr>
      <t>中央交易对手</t>
    </r>
  </si>
  <si>
    <t>ZYJYDS</t>
  </si>
  <si>
    <r>
      <rPr>
        <sz val="12"/>
        <rFont val="宋体"/>
        <charset val="134"/>
      </rPr>
      <t>估值金额</t>
    </r>
  </si>
  <si>
    <t>GZJE</t>
  </si>
  <si>
    <r>
      <rPr>
        <sz val="12"/>
        <rFont val="宋体"/>
        <charset val="134"/>
      </rPr>
      <t>估值币种</t>
    </r>
  </si>
  <si>
    <t>GZBZ</t>
  </si>
  <si>
    <r>
      <rPr>
        <sz val="12"/>
        <rFont val="宋体"/>
        <charset val="134"/>
      </rPr>
      <t>估值日期</t>
    </r>
  </si>
  <si>
    <t>GZRQ</t>
  </si>
  <si>
    <r>
      <rPr>
        <sz val="12"/>
        <rFont val="宋体"/>
        <charset val="134"/>
      </rPr>
      <t>交易员工号</t>
    </r>
  </si>
  <si>
    <r>
      <rPr>
        <sz val="14"/>
        <rFont val="宋体"/>
        <charset val="134"/>
      </rPr>
      <t>理财业务</t>
    </r>
  </si>
  <si>
    <r>
      <rPr>
        <sz val="12"/>
        <rFont val="宋体"/>
        <charset val="134"/>
      </rPr>
      <t>理财产品信息表</t>
    </r>
  </si>
  <si>
    <t/>
  </si>
  <si>
    <r>
      <rPr>
        <sz val="12"/>
        <rFont val="宋体"/>
        <charset val="134"/>
      </rPr>
      <t>全量表，报送截止采集日有效的数据以及与上一采集日期间失效的数据。该表体现截至统计时点所有在全国银行业理财信息登记系统中取得产品登记编码并成功发行的理财产品相关信息。</t>
    </r>
    <r>
      <rPr>
        <sz val="12"/>
        <rFont val="Times New Roman"/>
        <charset val="134"/>
      </rPr>
      <t xml:space="preserve">
</t>
    </r>
    <r>
      <rPr>
        <sz val="12"/>
        <rFont val="宋体"/>
        <charset val="134"/>
      </rPr>
      <t>包含银行及理财公司数据。</t>
    </r>
  </si>
  <si>
    <r>
      <rPr>
        <sz val="12"/>
        <rFont val="宋体"/>
        <charset val="134"/>
      </rPr>
      <t>删除产品统计日、申报期预计客户最高年收益率、申报期预计客户最低年收益率、发行期预计客户最高年收益率、发行期预计客户最低年收益率、产品</t>
    </r>
    <r>
      <rPr>
        <sz val="12"/>
        <rFont val="Times New Roman"/>
        <charset val="134"/>
      </rPr>
      <t>ID</t>
    </r>
    <r>
      <rPr>
        <sz val="12"/>
        <rFont val="宋体"/>
        <charset val="134"/>
      </rPr>
      <t>、产品品牌、产品设计人姓名、产品设计人身份证号、投资资产类型、产品收益类型、会计核算方式、是否有预期收益率、是否有收益率测算依据、发行期预计平均收益率。</t>
    </r>
  </si>
  <si>
    <t>CPDJBM</t>
  </si>
  <si>
    <r>
      <rPr>
        <sz val="12"/>
        <rFont val="Times New Roman"/>
        <charset val="134"/>
      </rPr>
      <t>PK</t>
    </r>
    <r>
      <rPr>
        <sz val="12"/>
        <rFont val="宋体"/>
        <charset val="134"/>
      </rPr>
      <t>。对公募理财产品，产品登记编码为大写字母和数字构成的</t>
    </r>
    <r>
      <rPr>
        <sz val="12"/>
        <rFont val="Times New Roman"/>
        <charset val="134"/>
      </rPr>
      <t>14</t>
    </r>
    <r>
      <rPr>
        <sz val="12"/>
        <rFont val="宋体"/>
        <charset val="134"/>
      </rPr>
      <t>位特征组合码。编码分为三段，从左至右分别为：</t>
    </r>
    <r>
      <rPr>
        <sz val="12"/>
        <rFont val="Times New Roman"/>
        <charset val="134"/>
      </rPr>
      <t>6</t>
    </r>
    <r>
      <rPr>
        <sz val="12"/>
        <rFont val="宋体"/>
        <charset val="134"/>
      </rPr>
      <t>位金融机构代码；</t>
    </r>
    <r>
      <rPr>
        <sz val="12"/>
        <rFont val="Times New Roman"/>
        <charset val="134"/>
      </rPr>
      <t>2</t>
    </r>
    <r>
      <rPr>
        <sz val="12"/>
        <rFont val="宋体"/>
        <charset val="134"/>
      </rPr>
      <t>位年度码；</t>
    </r>
    <r>
      <rPr>
        <sz val="12"/>
        <rFont val="Times New Roman"/>
        <charset val="134"/>
      </rPr>
      <t>6</t>
    </r>
    <r>
      <rPr>
        <sz val="12"/>
        <rFont val="宋体"/>
        <charset val="134"/>
      </rPr>
      <t>位顺序码。其中金融机构代码采用《金融机构编码规范》编发的法人机构代码（即金融机构代码前</t>
    </r>
    <r>
      <rPr>
        <sz val="12"/>
        <rFont val="Times New Roman"/>
        <charset val="134"/>
      </rPr>
      <t>6</t>
    </r>
    <r>
      <rPr>
        <sz val="12"/>
        <rFont val="宋体"/>
        <charset val="134"/>
      </rPr>
      <t>位）；年度码采用产品募集起始日（从）所在年度的后两位数字编码。</t>
    </r>
    <r>
      <rPr>
        <sz val="12"/>
        <rFont val="Times New Roman"/>
        <charset val="134"/>
      </rPr>
      <t xml:space="preserve">
</t>
    </r>
    <r>
      <rPr>
        <sz val="12"/>
        <rFont val="宋体"/>
        <charset val="134"/>
      </rPr>
      <t>对私募理财产品，产品登记编码为大写字母和数字构成的</t>
    </r>
    <r>
      <rPr>
        <sz val="12"/>
        <rFont val="Times New Roman"/>
        <charset val="134"/>
      </rPr>
      <t>15</t>
    </r>
    <r>
      <rPr>
        <sz val="12"/>
        <rFont val="宋体"/>
        <charset val="134"/>
      </rPr>
      <t>位特征组合码。编码分为四段，从左至右分别为：</t>
    </r>
    <r>
      <rPr>
        <sz val="12"/>
        <rFont val="Times New Roman"/>
        <charset val="134"/>
      </rPr>
      <t>6</t>
    </r>
    <r>
      <rPr>
        <sz val="12"/>
        <rFont val="宋体"/>
        <charset val="134"/>
      </rPr>
      <t>位金融机构代码；</t>
    </r>
    <r>
      <rPr>
        <sz val="12"/>
        <rFont val="Times New Roman"/>
        <charset val="134"/>
      </rPr>
      <t>2</t>
    </r>
    <r>
      <rPr>
        <sz val="12"/>
        <rFont val="宋体"/>
        <charset val="134"/>
      </rPr>
      <t>位年度码；</t>
    </r>
    <r>
      <rPr>
        <sz val="12"/>
        <rFont val="Times New Roman"/>
        <charset val="134"/>
      </rPr>
      <t>1</t>
    </r>
    <r>
      <rPr>
        <sz val="12"/>
        <rFont val="宋体"/>
        <charset val="134"/>
      </rPr>
      <t>位标识码；</t>
    </r>
    <r>
      <rPr>
        <sz val="12"/>
        <rFont val="Times New Roman"/>
        <charset val="134"/>
      </rPr>
      <t>6</t>
    </r>
    <r>
      <rPr>
        <sz val="12"/>
        <rFont val="宋体"/>
        <charset val="134"/>
      </rPr>
      <t>位顺序码。其中金融机构代码采用《金融机构编码规范》编发的法人机构代码（即金融机构代码前</t>
    </r>
    <r>
      <rPr>
        <sz val="12"/>
        <rFont val="Times New Roman"/>
        <charset val="134"/>
      </rPr>
      <t>6</t>
    </r>
    <r>
      <rPr>
        <sz val="12"/>
        <rFont val="宋体"/>
        <charset val="134"/>
      </rPr>
      <t>位）；年度码采用产品募集起始日所在年度的后两位数字编码；标识码分为大写字母</t>
    </r>
    <r>
      <rPr>
        <sz val="12"/>
        <rFont val="Times New Roman"/>
        <charset val="134"/>
      </rPr>
      <t>A</t>
    </r>
    <r>
      <rPr>
        <sz val="12"/>
        <rFont val="宋体"/>
        <charset val="134"/>
      </rPr>
      <t>。</t>
    </r>
    <r>
      <rPr>
        <sz val="12"/>
        <rFont val="Times New Roman"/>
        <charset val="134"/>
      </rPr>
      <t xml:space="preserve">
</t>
    </r>
  </si>
  <si>
    <r>
      <rPr>
        <sz val="12"/>
        <rFont val="宋体"/>
        <charset val="134"/>
      </rPr>
      <t>理财产品代码</t>
    </r>
  </si>
  <si>
    <t>LCCPDM</t>
  </si>
  <si>
    <t>HNBZM</t>
  </si>
  <si>
    <r>
      <rPr>
        <sz val="12"/>
        <rFont val="宋体"/>
        <charset val="134"/>
      </rPr>
      <t>发行机构赋予理财产品的称谓。</t>
    </r>
  </si>
  <si>
    <r>
      <rPr>
        <sz val="12"/>
        <rFont val="宋体"/>
        <charset val="134"/>
      </rPr>
      <t>内设机构、虚拟机构及营业部如有金融许可证的填写金融许可证号，没有金融许可证的取本级或上一级管理机构的金融许可证号，优先取本级。</t>
    </r>
  </si>
  <si>
    <r>
      <rPr>
        <sz val="12"/>
        <rFont val="宋体"/>
        <charset val="134"/>
      </rPr>
      <t>负责理财产品发行、销售、管理、运作的机构类型。</t>
    </r>
  </si>
  <si>
    <r>
      <rPr>
        <sz val="12"/>
        <rFont val="宋体"/>
        <charset val="134"/>
      </rPr>
      <t>发行机构类型</t>
    </r>
  </si>
  <si>
    <t>FXJGLX</t>
  </si>
  <si>
    <r>
      <rPr>
        <sz val="12"/>
        <rFont val="宋体"/>
        <charset val="134"/>
      </rPr>
      <t>由理财中心系统自动计算生成，非发行机构直接填写内容。</t>
    </r>
  </si>
  <si>
    <t>CPQC</t>
  </si>
  <si>
    <r>
      <rPr>
        <sz val="12"/>
        <rFont val="宋体"/>
        <charset val="134"/>
      </rPr>
      <t>同一产品品牌下所发行的理财产品期次序号。</t>
    </r>
  </si>
  <si>
    <r>
      <rPr>
        <sz val="12"/>
        <rFont val="宋体"/>
        <charset val="134"/>
      </rPr>
      <t>产品期限</t>
    </r>
  </si>
  <si>
    <t>CPQX</t>
  </si>
  <si>
    <r>
      <rPr>
        <sz val="12"/>
        <rFont val="宋体"/>
        <charset val="134"/>
      </rPr>
      <t>对于封闭式产品，指产品起息日到终止日之间的时间长度；对于开放式产品，指每次开放申购赎回的周期（即多久开放一次）。</t>
    </r>
  </si>
  <si>
    <r>
      <rPr>
        <sz val="12"/>
        <rFont val="宋体"/>
        <charset val="134"/>
      </rPr>
      <t>产品风险等级</t>
    </r>
  </si>
  <si>
    <t>CPFXDJ</t>
  </si>
  <si>
    <r>
      <rPr>
        <sz val="12"/>
        <rFont val="宋体"/>
        <charset val="134"/>
      </rPr>
      <t>目标客户类型</t>
    </r>
  </si>
  <si>
    <t>MBKHLX</t>
  </si>
  <si>
    <t>ZJTXDQ</t>
  </si>
  <si>
    <r>
      <rPr>
        <sz val="12"/>
        <rFont val="宋体"/>
        <charset val="134"/>
      </rPr>
      <t>理财产品资金投资的地区。</t>
    </r>
  </si>
  <si>
    <t>CPYZMS</t>
  </si>
  <si>
    <t>CPZCPZFS</t>
  </si>
  <si>
    <t>CPGLMS</t>
  </si>
  <si>
    <r>
      <rPr>
        <sz val="12"/>
        <rFont val="Times New Roman"/>
        <charset val="134"/>
      </rPr>
      <t>“</t>
    </r>
    <r>
      <rPr>
        <sz val="12"/>
        <rFont val="宋体"/>
        <charset val="134"/>
      </rPr>
      <t>本行</t>
    </r>
    <r>
      <rPr>
        <sz val="12"/>
        <rFont val="Times New Roman"/>
        <charset val="134"/>
      </rPr>
      <t>”</t>
    </r>
    <r>
      <rPr>
        <sz val="12"/>
        <rFont val="宋体"/>
        <charset val="134"/>
      </rPr>
      <t>修改为</t>
    </r>
    <r>
      <rPr>
        <sz val="12"/>
        <rFont val="Times New Roman"/>
        <charset val="134"/>
      </rPr>
      <t>“</t>
    </r>
    <r>
      <rPr>
        <sz val="12"/>
        <rFont val="宋体"/>
        <charset val="134"/>
      </rPr>
      <t>本机构</t>
    </r>
    <r>
      <rPr>
        <sz val="12"/>
        <rFont val="Times New Roman"/>
        <charset val="134"/>
      </rPr>
      <t>”</t>
    </r>
    <r>
      <rPr>
        <sz val="12"/>
        <rFont val="宋体"/>
        <charset val="134"/>
      </rPr>
      <t>，</t>
    </r>
    <r>
      <rPr>
        <sz val="12"/>
        <rFont val="Times New Roman"/>
        <charset val="134"/>
      </rPr>
      <t>“</t>
    </r>
    <r>
      <rPr>
        <sz val="12"/>
        <rFont val="宋体"/>
        <charset val="134"/>
      </rPr>
      <t>他行</t>
    </r>
    <r>
      <rPr>
        <sz val="12"/>
        <rFont val="Times New Roman"/>
        <charset val="134"/>
      </rPr>
      <t>”</t>
    </r>
    <r>
      <rPr>
        <sz val="12"/>
        <rFont val="宋体"/>
        <charset val="134"/>
      </rPr>
      <t>修改为</t>
    </r>
    <r>
      <rPr>
        <sz val="12"/>
        <rFont val="Times New Roman"/>
        <charset val="134"/>
      </rPr>
      <t>“</t>
    </r>
    <r>
      <rPr>
        <sz val="12"/>
        <rFont val="宋体"/>
        <charset val="134"/>
      </rPr>
      <t>其他机构</t>
    </r>
    <r>
      <rPr>
        <sz val="12"/>
        <rFont val="Times New Roman"/>
        <charset val="134"/>
      </rPr>
      <t>”</t>
    </r>
  </si>
  <si>
    <r>
      <rPr>
        <sz val="12"/>
        <rFont val="宋体"/>
        <charset val="134"/>
      </rPr>
      <t>实际管理人</t>
    </r>
  </si>
  <si>
    <t>SJGLR</t>
  </si>
  <si>
    <r>
      <rPr>
        <sz val="12"/>
        <rFont val="宋体"/>
        <charset val="134"/>
      </rPr>
      <t>除发行机构以外的产品管理人机构名称。</t>
    </r>
  </si>
  <si>
    <t>GLFS</t>
  </si>
  <si>
    <r>
      <rPr>
        <sz val="12"/>
        <rFont val="宋体"/>
        <charset val="134"/>
      </rPr>
      <t>理财产品的管理方式。</t>
    </r>
  </si>
  <si>
    <r>
      <rPr>
        <sz val="12"/>
        <rFont val="宋体"/>
        <charset val="134"/>
      </rPr>
      <t>删去</t>
    </r>
    <r>
      <rPr>
        <sz val="12"/>
        <rFont val="Times New Roman"/>
        <charset val="134"/>
      </rPr>
      <t>“</t>
    </r>
    <r>
      <rPr>
        <sz val="12"/>
        <rFont val="宋体"/>
        <charset val="134"/>
      </rPr>
      <t>相关信息自</t>
    </r>
    <r>
      <rPr>
        <sz val="12"/>
        <rFont val="Times New Roman"/>
        <charset val="134"/>
      </rPr>
      <t>2020</t>
    </r>
    <r>
      <rPr>
        <sz val="12"/>
        <rFont val="宋体"/>
        <charset val="134"/>
      </rPr>
      <t>年</t>
    </r>
    <r>
      <rPr>
        <sz val="12"/>
        <rFont val="Times New Roman"/>
        <charset val="134"/>
      </rPr>
      <t>6</t>
    </r>
    <r>
      <rPr>
        <sz val="12"/>
        <rFont val="宋体"/>
        <charset val="134"/>
      </rPr>
      <t>月提供</t>
    </r>
    <r>
      <rPr>
        <sz val="12"/>
        <rFont val="Times New Roman"/>
        <charset val="134"/>
      </rPr>
      <t>”</t>
    </r>
  </si>
  <si>
    <r>
      <rPr>
        <sz val="12"/>
        <rFont val="宋体"/>
        <charset val="134"/>
      </rPr>
      <t>产品审批人姓名</t>
    </r>
  </si>
  <si>
    <t>CPSPRXM</t>
  </si>
  <si>
    <r>
      <rPr>
        <sz val="12"/>
        <rFont val="宋体"/>
        <charset val="134"/>
      </rPr>
      <t>同意将理财产品相关材料提交监管部门审阅的行内最终审批人。非隐私，不做变形。</t>
    </r>
  </si>
  <si>
    <r>
      <rPr>
        <sz val="12"/>
        <rFont val="宋体"/>
        <charset val="134"/>
      </rPr>
      <t>产品审批人身份证号</t>
    </r>
  </si>
  <si>
    <t>CPSPRSFZH</t>
  </si>
  <si>
    <r>
      <rPr>
        <sz val="12"/>
        <rFont val="宋体"/>
        <charset val="134"/>
      </rPr>
      <t>同意将理财产品相关材料提交监管部门审阅的行内最终审批人。隐私，银行机构变形。变形规则见《采集技术接口说明》。</t>
    </r>
  </si>
  <si>
    <r>
      <rPr>
        <sz val="12"/>
        <rFont val="宋体"/>
        <charset val="134"/>
      </rPr>
      <t>投资经理姓名</t>
    </r>
  </si>
  <si>
    <t>TZJLXM</t>
  </si>
  <si>
    <r>
      <rPr>
        <sz val="12"/>
        <rFont val="宋体"/>
        <charset val="134"/>
      </rPr>
      <t>产品投资主要责任人姓名。非隐私，不做变形。</t>
    </r>
  </si>
  <si>
    <r>
      <rPr>
        <sz val="12"/>
        <rFont val="宋体"/>
        <charset val="134"/>
      </rPr>
      <t>投资经理身份证号</t>
    </r>
  </si>
  <si>
    <t>TZJLSFZH</t>
  </si>
  <si>
    <r>
      <rPr>
        <sz val="12"/>
        <rFont val="宋体"/>
        <charset val="134"/>
      </rPr>
      <t>产品投资主要责任人身份证号。隐私，银行机构变形。变形规则见《采集技术接口说明》。</t>
    </r>
  </si>
  <si>
    <t>CPDJFS</t>
  </si>
  <si>
    <r>
      <rPr>
        <sz val="12"/>
        <rFont val="宋体"/>
        <charset val="134"/>
      </rPr>
      <t>综合定价同时包含公允价值定价和成本法定价。</t>
    </r>
  </si>
  <si>
    <r>
      <rPr>
        <sz val="12"/>
        <rFont val="宋体"/>
        <charset val="134"/>
      </rPr>
      <t>结构性产品挂钩标的</t>
    </r>
  </si>
  <si>
    <t>JGXCPGGBD</t>
  </si>
  <si>
    <t>HZMS</t>
  </si>
  <si>
    <r>
      <rPr>
        <sz val="12"/>
        <rFont val="Times New Roman"/>
        <charset val="134"/>
      </rPr>
      <t xml:space="preserve">1. </t>
    </r>
    <r>
      <rPr>
        <sz val="12"/>
        <rFont val="宋体"/>
        <charset val="134"/>
      </rPr>
      <t>独立运作：商业银行独立进行理财产品运作。</t>
    </r>
    <r>
      <rPr>
        <sz val="12"/>
        <rFont val="Times New Roman"/>
        <charset val="134"/>
      </rPr>
      <t xml:space="preserve">
2. </t>
    </r>
    <r>
      <rPr>
        <sz val="12"/>
        <rFont val="宋体"/>
        <charset val="134"/>
      </rPr>
      <t>银信：商业银行和信托公司合作进行理财产品运作。</t>
    </r>
    <r>
      <rPr>
        <sz val="12"/>
        <rFont val="Times New Roman"/>
        <charset val="134"/>
      </rPr>
      <t xml:space="preserve">
3. </t>
    </r>
    <r>
      <rPr>
        <sz val="12"/>
        <rFont val="宋体"/>
        <charset val="134"/>
      </rPr>
      <t>银保：商业银行和保险公司合作进行理财产品运作。</t>
    </r>
    <r>
      <rPr>
        <sz val="12"/>
        <rFont val="Times New Roman"/>
        <charset val="134"/>
      </rPr>
      <t xml:space="preserve">
4. </t>
    </r>
    <r>
      <rPr>
        <sz val="12"/>
        <rFont val="宋体"/>
        <charset val="134"/>
      </rPr>
      <t>银基：商业银行和基金公司合作进行理财产品运作。</t>
    </r>
    <r>
      <rPr>
        <sz val="12"/>
        <rFont val="Times New Roman"/>
        <charset val="134"/>
      </rPr>
      <t xml:space="preserve">
5. </t>
    </r>
    <r>
      <rPr>
        <sz val="12"/>
        <rFont val="宋体"/>
        <charset val="134"/>
      </rPr>
      <t>银证：商业银行和证券公司合作进行理财产品运作。</t>
    </r>
    <r>
      <rPr>
        <sz val="12"/>
        <rFont val="Times New Roman"/>
        <charset val="134"/>
      </rPr>
      <t xml:space="preserve">
6. </t>
    </r>
    <r>
      <rPr>
        <sz val="12"/>
        <rFont val="宋体"/>
        <charset val="134"/>
      </rPr>
      <t>混合类：商业银行采用两种以上的合作模式进行理财产品运作。</t>
    </r>
    <r>
      <rPr>
        <sz val="12"/>
        <rFont val="Times New Roman"/>
        <charset val="134"/>
      </rPr>
      <t xml:space="preserve">
7. </t>
    </r>
    <r>
      <rPr>
        <sz val="12"/>
        <rFont val="宋体"/>
        <charset val="134"/>
      </rPr>
      <t>其他：商业银行和其他机构合作进行理财产品运作。</t>
    </r>
  </si>
  <si>
    <r>
      <rPr>
        <sz val="12"/>
        <rFont val="Times New Roman"/>
        <charset val="134"/>
      </rPr>
      <t>“</t>
    </r>
    <r>
      <rPr>
        <sz val="12"/>
        <rFont val="宋体"/>
        <charset val="134"/>
      </rPr>
      <t>他行</t>
    </r>
    <r>
      <rPr>
        <sz val="12"/>
        <rFont val="Times New Roman"/>
        <charset val="134"/>
      </rPr>
      <t>”</t>
    </r>
    <r>
      <rPr>
        <sz val="12"/>
        <rFont val="宋体"/>
        <charset val="134"/>
      </rPr>
      <t>修改为</t>
    </r>
    <r>
      <rPr>
        <sz val="12"/>
        <rFont val="Times New Roman"/>
        <charset val="134"/>
      </rPr>
      <t>“</t>
    </r>
    <r>
      <rPr>
        <sz val="12"/>
        <rFont val="宋体"/>
        <charset val="134"/>
      </rPr>
      <t>其他机构</t>
    </r>
    <r>
      <rPr>
        <sz val="12"/>
        <rFont val="Times New Roman"/>
        <charset val="134"/>
      </rPr>
      <t>”</t>
    </r>
  </si>
  <si>
    <r>
      <rPr>
        <sz val="12"/>
        <rFont val="宋体"/>
        <charset val="134"/>
      </rPr>
      <t>合作机构名称</t>
    </r>
  </si>
  <si>
    <t>HZJGMC</t>
  </si>
  <si>
    <r>
      <rPr>
        <sz val="12"/>
        <rFont val="宋体"/>
        <charset val="134"/>
      </rPr>
      <t>所有与商业银行合作进行理财产品运作的机构名称。</t>
    </r>
  </si>
  <si>
    <t>TZZCZLJBL</t>
  </si>
  <si>
    <r>
      <rPr>
        <sz val="12"/>
        <rFont val="宋体"/>
        <charset val="134"/>
      </rPr>
      <t>募集币种</t>
    </r>
  </si>
  <si>
    <t>MJBZ</t>
  </si>
  <si>
    <r>
      <rPr>
        <sz val="12"/>
        <rFont val="宋体"/>
        <charset val="134"/>
      </rPr>
      <t>遵循《</t>
    </r>
    <r>
      <rPr>
        <sz val="12"/>
        <rFont val="Times New Roman"/>
        <charset val="134"/>
      </rPr>
      <t xml:space="preserve">GB/T 12406-2008 </t>
    </r>
    <r>
      <rPr>
        <sz val="12"/>
        <rFont val="宋体"/>
        <charset val="134"/>
      </rPr>
      <t>表示货币和资金的代码》的字母代码，如</t>
    </r>
    <r>
      <rPr>
        <sz val="12"/>
        <rFont val="Times New Roman"/>
        <charset val="134"/>
      </rPr>
      <t>CNY</t>
    </r>
    <r>
      <rPr>
        <sz val="12"/>
        <rFont val="宋体"/>
        <charset val="134"/>
      </rPr>
      <t>。多个募集币种用英文半角分号隔开。</t>
    </r>
  </si>
  <si>
    <r>
      <rPr>
        <sz val="12"/>
        <rFont val="宋体"/>
        <charset val="134"/>
      </rPr>
      <t>兑付本金币种</t>
    </r>
  </si>
  <si>
    <t>DFBJBZ</t>
  </si>
  <si>
    <r>
      <rPr>
        <sz val="12"/>
        <rFont val="宋体"/>
        <charset val="134"/>
      </rPr>
      <t>遵循《</t>
    </r>
    <r>
      <rPr>
        <sz val="12"/>
        <rFont val="Times New Roman"/>
        <charset val="134"/>
      </rPr>
      <t xml:space="preserve">GB/T 12406-2008 </t>
    </r>
    <r>
      <rPr>
        <sz val="12"/>
        <rFont val="宋体"/>
        <charset val="134"/>
      </rPr>
      <t>表示货币和资金的代码》的字母代码，如</t>
    </r>
    <r>
      <rPr>
        <sz val="12"/>
        <rFont val="Times New Roman"/>
        <charset val="134"/>
      </rPr>
      <t>CNY</t>
    </r>
    <r>
      <rPr>
        <sz val="12"/>
        <rFont val="宋体"/>
        <charset val="134"/>
      </rPr>
      <t>。多个币种用英文半角分号隔开。</t>
    </r>
  </si>
  <si>
    <r>
      <rPr>
        <sz val="12"/>
        <rFont val="宋体"/>
        <charset val="134"/>
      </rPr>
      <t>兑付收益币种</t>
    </r>
  </si>
  <si>
    <t>DFSYBZ</t>
  </si>
  <si>
    <r>
      <rPr>
        <sz val="12"/>
        <rFont val="宋体"/>
        <charset val="134"/>
      </rPr>
      <t>投资本金到账日</t>
    </r>
  </si>
  <si>
    <t>TZBJDZR</t>
  </si>
  <si>
    <r>
      <rPr>
        <sz val="12"/>
        <rFont val="宋体"/>
        <charset val="134"/>
      </rPr>
      <t>发行机构兑付产品购买者投资本金的资金到账日。</t>
    </r>
  </si>
  <si>
    <r>
      <rPr>
        <sz val="12"/>
        <rFont val="宋体"/>
        <charset val="134"/>
      </rPr>
      <t>投资收益到账日</t>
    </r>
  </si>
  <si>
    <t>TZSYDZR</t>
  </si>
  <si>
    <r>
      <rPr>
        <sz val="12"/>
        <rFont val="宋体"/>
        <charset val="134"/>
      </rPr>
      <t>发行机构兑付产品购买者投资收益的资金到账日。</t>
    </r>
  </si>
  <si>
    <r>
      <rPr>
        <sz val="12"/>
        <rFont val="宋体"/>
        <charset val="134"/>
      </rPr>
      <t>发行机构提前终止权标识</t>
    </r>
  </si>
  <si>
    <t>FXJGTQZZQBZ</t>
  </si>
  <si>
    <r>
      <rPr>
        <sz val="12"/>
        <rFont val="宋体"/>
        <charset val="134"/>
      </rPr>
      <t>理财产品是否具有提高信用等级情况的标识。</t>
    </r>
  </si>
  <si>
    <r>
      <rPr>
        <sz val="12"/>
        <rFont val="宋体"/>
        <charset val="134"/>
      </rPr>
      <t>客户赎回权标识</t>
    </r>
  </si>
  <si>
    <t>KHSHQBZ</t>
  </si>
  <si>
    <r>
      <rPr>
        <sz val="12"/>
        <rFont val="宋体"/>
        <charset val="134"/>
      </rPr>
      <t>客户是否有权提前赎回理财产品的标识。</t>
    </r>
  </si>
  <si>
    <r>
      <rPr>
        <sz val="12"/>
        <rFont val="宋体"/>
        <charset val="134"/>
      </rPr>
      <t>产品增信标识</t>
    </r>
  </si>
  <si>
    <t>CPZXBZ</t>
  </si>
  <si>
    <t>CPZXXS</t>
  </si>
  <si>
    <r>
      <rPr>
        <sz val="12"/>
        <rFont val="宋体"/>
        <charset val="134"/>
      </rPr>
      <t>客户是否有权提前赎回理财产品的标识。涉及多种增信形式，按主要方式填报。</t>
    </r>
  </si>
  <si>
    <r>
      <rPr>
        <sz val="12"/>
        <rFont val="宋体"/>
        <charset val="134"/>
      </rPr>
      <t>是否为结构化（分级）产品</t>
    </r>
  </si>
  <si>
    <t>SFWJGHCP</t>
  </si>
  <si>
    <t>CJLB</t>
  </si>
  <si>
    <r>
      <rPr>
        <sz val="12"/>
        <rFont val="宋体"/>
        <charset val="134"/>
      </rPr>
      <t>收益率分档说明</t>
    </r>
  </si>
  <si>
    <t>SYLFDSM</t>
  </si>
  <si>
    <t>KFMS</t>
  </si>
  <si>
    <r>
      <rPr>
        <sz val="12"/>
        <rFont val="宋体"/>
        <charset val="134"/>
      </rPr>
      <t>开放式理财产品的各开放周期之间是否有固定的间隔天数。</t>
    </r>
  </si>
  <si>
    <t>GLKFZQ</t>
  </si>
  <si>
    <r>
      <rPr>
        <sz val="12"/>
        <rFont val="宋体"/>
        <charset val="134"/>
      </rPr>
      <t>有规律开放的开放式理财产品的开放周期。</t>
    </r>
  </si>
  <si>
    <r>
      <rPr>
        <sz val="12"/>
        <rFont val="宋体"/>
        <charset val="134"/>
      </rPr>
      <t>其他规律开放周期</t>
    </r>
  </si>
  <si>
    <t>QTGLKFZQ</t>
  </si>
  <si>
    <r>
      <rPr>
        <sz val="12"/>
        <rFont val="宋体"/>
        <charset val="134"/>
      </rPr>
      <t>上述规律开放周期无法涵盖的开放式理财产品的规律开放周期。</t>
    </r>
  </si>
  <si>
    <r>
      <rPr>
        <sz val="12"/>
        <rFont val="宋体"/>
        <charset val="134"/>
      </rPr>
      <t>节假日是否开放</t>
    </r>
  </si>
  <si>
    <t>JJRSFKF</t>
  </si>
  <si>
    <r>
      <rPr>
        <sz val="12"/>
        <rFont val="宋体"/>
        <charset val="134"/>
      </rPr>
      <t>开放式理财产品在节假日（包含周末）是否可以申购或赎回。</t>
    </r>
  </si>
  <si>
    <t>PJKFCS</t>
  </si>
  <si>
    <r>
      <rPr>
        <sz val="12"/>
        <rFont val="宋体"/>
        <charset val="134"/>
      </rPr>
      <t>开放式理财产品在一个年度内开放的次数（频率）。</t>
    </r>
  </si>
  <si>
    <t>KFQYWLX</t>
  </si>
  <si>
    <r>
      <rPr>
        <sz val="12"/>
        <rFont val="宋体"/>
        <charset val="134"/>
      </rPr>
      <t>在开放周期内可以办理的业务。</t>
    </r>
  </si>
  <si>
    <r>
      <rPr>
        <sz val="12"/>
        <rFont val="宋体"/>
        <charset val="134"/>
      </rPr>
      <t>募集起始日期</t>
    </r>
  </si>
  <si>
    <t>MJQSRQ</t>
  </si>
  <si>
    <r>
      <rPr>
        <sz val="12"/>
        <rFont val="宋体"/>
        <charset val="134"/>
      </rPr>
      <t>理财产品实际资金募集的开始日期。</t>
    </r>
  </si>
  <si>
    <r>
      <rPr>
        <sz val="12"/>
        <rFont val="宋体"/>
        <charset val="134"/>
      </rPr>
      <t>募集结束日期</t>
    </r>
  </si>
  <si>
    <t>MJJSRQ</t>
  </si>
  <si>
    <r>
      <rPr>
        <sz val="12"/>
        <rFont val="宋体"/>
        <charset val="134"/>
      </rPr>
      <t>理财产品实际资金募集的结束日期。</t>
    </r>
  </si>
  <si>
    <r>
      <rPr>
        <sz val="12"/>
        <rFont val="宋体"/>
        <charset val="134"/>
      </rPr>
      <t>产品起始日期</t>
    </r>
  </si>
  <si>
    <t>CPQSRQ</t>
  </si>
  <si>
    <r>
      <rPr>
        <sz val="12"/>
        <rFont val="宋体"/>
        <charset val="134"/>
      </rPr>
      <t>理财产品募集期结束，产品正式成立，并开始计息的第一天。</t>
    </r>
  </si>
  <si>
    <r>
      <rPr>
        <sz val="12"/>
        <rFont val="宋体"/>
        <charset val="134"/>
      </rPr>
      <t>产品终止日期</t>
    </r>
  </si>
  <si>
    <t>CPZZRQ</t>
  </si>
  <si>
    <r>
      <rPr>
        <sz val="12"/>
        <rFont val="宋体"/>
        <charset val="134"/>
      </rPr>
      <t>理财产品终止的日期。</t>
    </r>
  </si>
  <si>
    <r>
      <rPr>
        <sz val="12"/>
        <rFont val="宋体"/>
        <charset val="134"/>
      </rPr>
      <t>产品实际终止日期</t>
    </r>
  </si>
  <si>
    <t>CPSJZZRQ</t>
  </si>
  <si>
    <r>
      <rPr>
        <sz val="12"/>
        <rFont val="宋体"/>
        <charset val="134"/>
      </rPr>
      <t>理财产品停止计提收益，宣告结束开始兑付的日期。</t>
    </r>
  </si>
  <si>
    <r>
      <rPr>
        <sz val="12"/>
        <rFont val="宋体"/>
        <charset val="134"/>
      </rPr>
      <t>报告登记日期</t>
    </r>
  </si>
  <si>
    <t>BGDJRQ</t>
  </si>
  <si>
    <r>
      <rPr>
        <sz val="12"/>
        <rFont val="宋体"/>
        <charset val="134"/>
      </rPr>
      <t>理财产品在全国银行业理财信息登记系统中完成申报登记的日期，由理财中心系统自动计算生成，非发行机构直接填写内容。</t>
    </r>
  </si>
  <si>
    <r>
      <rPr>
        <sz val="12"/>
        <rFont val="宋体"/>
        <charset val="134"/>
      </rPr>
      <t>终止登记日期</t>
    </r>
  </si>
  <si>
    <t>ZZDJRQ</t>
  </si>
  <si>
    <r>
      <rPr>
        <sz val="12"/>
        <rFont val="宋体"/>
        <charset val="134"/>
      </rPr>
      <t>理财产品在全国银行业理财信息登记系统中完成终止登记的日期，由理财中心系统自动计算生成，非发行机构直接填写内容。</t>
    </r>
  </si>
  <si>
    <r>
      <rPr>
        <sz val="12"/>
        <rFont val="宋体"/>
        <charset val="134"/>
      </rPr>
      <t>发行登记日期</t>
    </r>
  </si>
  <si>
    <t>FXDJRQ</t>
  </si>
  <si>
    <r>
      <rPr>
        <sz val="12"/>
        <rFont val="宋体"/>
        <charset val="134"/>
      </rPr>
      <t>理财产品在全国银行业理财信息登记系统中完成发行登记的日期，由理财中心系统自动计算生成，非发行机构直接填写内容。</t>
    </r>
  </si>
  <si>
    <r>
      <rPr>
        <sz val="12"/>
        <rFont val="宋体"/>
        <charset val="134"/>
      </rPr>
      <t>募集登记日期</t>
    </r>
  </si>
  <si>
    <t>MJDJRQ</t>
  </si>
  <si>
    <r>
      <rPr>
        <sz val="12"/>
        <rFont val="宋体"/>
        <charset val="134"/>
      </rPr>
      <t>理财产品在全国银行业理财信息登记系统中完成募集期总量登记的日期，由理财中心系统自动计算生成，非发行机构直接填写内容。</t>
    </r>
  </si>
  <si>
    <t>CPZT</t>
  </si>
  <si>
    <r>
      <rPr>
        <sz val="12"/>
        <rFont val="宋体"/>
        <charset val="134"/>
      </rPr>
      <t>理财产品在全国银行业理财信息登记系统中的状态，由理财中心系统自动计算生成，非发行机构直接填写内容。</t>
    </r>
  </si>
  <si>
    <t>CPXSQY</t>
  </si>
  <si>
    <r>
      <rPr>
        <sz val="12"/>
        <rFont val="宋体"/>
        <charset val="134"/>
      </rPr>
      <t>理财产品销售所面向的区域。</t>
    </r>
  </si>
  <si>
    <r>
      <rPr>
        <sz val="12"/>
        <rFont val="宋体"/>
        <charset val="134"/>
      </rPr>
      <t>是否有其他机构代销</t>
    </r>
  </si>
  <si>
    <t>SFYQTJGDX</t>
  </si>
  <si>
    <r>
      <rPr>
        <sz val="12"/>
        <rFont val="宋体"/>
        <charset val="134"/>
      </rPr>
      <t>用于标记该理财产品是否被其他金融机构代销。</t>
    </r>
  </si>
  <si>
    <r>
      <rPr>
        <sz val="12"/>
        <rFont val="宋体"/>
        <charset val="134"/>
      </rPr>
      <t>境内托管机构代码</t>
    </r>
  </si>
  <si>
    <t>JNTGJGDM</t>
  </si>
  <si>
    <r>
      <rPr>
        <sz val="12"/>
        <rFont val="宋体"/>
        <charset val="134"/>
      </rPr>
      <t>理财产品在境内的托管机构的代码。</t>
    </r>
  </si>
  <si>
    <r>
      <rPr>
        <sz val="12"/>
        <rFont val="宋体"/>
        <charset val="134"/>
      </rPr>
      <t>境内托管机构名称</t>
    </r>
  </si>
  <si>
    <t>JNTGJGMC</t>
  </si>
  <si>
    <r>
      <rPr>
        <sz val="12"/>
        <rFont val="宋体"/>
        <charset val="134"/>
      </rPr>
      <t>理财产品在境内的托管机构名称。</t>
    </r>
  </si>
  <si>
    <r>
      <rPr>
        <sz val="12"/>
        <rFont val="宋体"/>
        <charset val="134"/>
      </rPr>
      <t>境外托管机构国别</t>
    </r>
  </si>
  <si>
    <t>JWTGJGGB</t>
  </si>
  <si>
    <r>
      <rPr>
        <sz val="12"/>
        <rFont val="宋体"/>
        <charset val="134"/>
      </rPr>
      <t>境外托管机构所属的、并经认定具有特别地理和政治意义的国家名称。多个国别用英文半角分号隔开。</t>
    </r>
  </si>
  <si>
    <r>
      <rPr>
        <sz val="12"/>
        <rFont val="宋体"/>
        <charset val="134"/>
      </rPr>
      <t>境外托管机构名称</t>
    </r>
  </si>
  <si>
    <t>JWTGJGMC</t>
  </si>
  <si>
    <r>
      <rPr>
        <sz val="12"/>
        <rFont val="宋体"/>
        <charset val="134"/>
      </rPr>
      <t>保管理财产品资金，负责清算交割、资产估值、投资监督等事务的中国境外商业银行或者其他专业金融机构的法人机构名称。</t>
    </r>
  </si>
  <si>
    <r>
      <rPr>
        <sz val="12"/>
        <rFont val="宋体"/>
        <charset val="134"/>
      </rPr>
      <t>格式、数据元说明</t>
    </r>
  </si>
  <si>
    <r>
      <rPr>
        <sz val="12"/>
        <rFont val="宋体"/>
        <charset val="134"/>
      </rPr>
      <t>理财产品资金托管账号</t>
    </r>
  </si>
  <si>
    <t>LCCPZJTGZH</t>
  </si>
  <si>
    <r>
      <rPr>
        <sz val="12"/>
        <rFont val="宋体"/>
        <charset val="134"/>
      </rPr>
      <t>理财产品资金托管账户</t>
    </r>
  </si>
  <si>
    <t>LCCPZJTGZHU</t>
  </si>
  <si>
    <r>
      <rPr>
        <sz val="12"/>
        <rFont val="宋体"/>
        <charset val="134"/>
      </rPr>
      <t>非隐私，不做变形。如果为境内涉密法人的，填报为</t>
    </r>
    <r>
      <rPr>
        <sz val="12"/>
        <rFont val="Times New Roman"/>
        <charset val="134"/>
      </rPr>
      <t>“*********”</t>
    </r>
    <r>
      <rPr>
        <sz val="12"/>
        <rFont val="宋体"/>
        <charset val="134"/>
      </rPr>
      <t>。</t>
    </r>
  </si>
  <si>
    <t>XLCPBJ</t>
  </si>
  <si>
    <r>
      <rPr>
        <sz val="12"/>
        <rFont val="宋体"/>
        <charset val="134"/>
      </rPr>
      <t>新产品是指完全符合《关于规范金融机构资产管理业务的指导意见》《商业银行理财业务监督管理办法》《商业银行理财子公司管理办法》等监管规定的理财产品；老产品是指不完全符合《关于规范金融机构资产管理业务的指导意见》《商业银行理财业务监督管理办法》《商业银行理财子公司管理办法》等监管规定的理财产品。</t>
    </r>
    <r>
      <rPr>
        <sz val="12"/>
        <rFont val="Times New Roman"/>
        <charset val="134"/>
      </rPr>
      <t xml:space="preserve">
</t>
    </r>
    <r>
      <rPr>
        <sz val="12"/>
        <rFont val="宋体"/>
        <charset val="134"/>
      </rPr>
      <t>银行发行的终止日期在</t>
    </r>
    <r>
      <rPr>
        <sz val="12"/>
        <rFont val="Times New Roman"/>
        <charset val="134"/>
      </rPr>
      <t>2019</t>
    </r>
    <r>
      <rPr>
        <sz val="12"/>
        <rFont val="宋体"/>
        <charset val="134"/>
      </rPr>
      <t>年</t>
    </r>
    <r>
      <rPr>
        <sz val="12"/>
        <rFont val="Times New Roman"/>
        <charset val="134"/>
      </rPr>
      <t>12</t>
    </r>
    <r>
      <rPr>
        <sz val="12"/>
        <rFont val="宋体"/>
        <charset val="134"/>
      </rPr>
      <t>月</t>
    </r>
    <r>
      <rPr>
        <sz val="12"/>
        <rFont val="Times New Roman"/>
        <charset val="134"/>
      </rPr>
      <t>31</t>
    </r>
    <r>
      <rPr>
        <sz val="12"/>
        <rFont val="宋体"/>
        <charset val="134"/>
      </rPr>
      <t>日（含当日）之后的非保本理财产品，应登记该要素；理财公司发行的理财产品不填写该要素。</t>
    </r>
  </si>
  <si>
    <t>CPMJFS</t>
  </si>
  <si>
    <r>
      <rPr>
        <sz val="12"/>
        <rFont val="宋体"/>
        <charset val="134"/>
      </rPr>
      <t>理财产品募集资金的方式。</t>
    </r>
  </si>
  <si>
    <t>CPTZXZ</t>
  </si>
  <si>
    <r>
      <rPr>
        <sz val="12"/>
        <rFont val="宋体"/>
        <charset val="134"/>
      </rPr>
      <t>根据投资性质的不同，将理财产品进行分类。</t>
    </r>
  </si>
  <si>
    <r>
      <rPr>
        <sz val="12"/>
        <rFont val="宋体"/>
        <charset val="134"/>
      </rPr>
      <t>是否设置最短持有期限</t>
    </r>
  </si>
  <si>
    <t>SFSZZDCYQX</t>
  </si>
  <si>
    <r>
      <rPr>
        <sz val="12"/>
        <rFont val="宋体"/>
        <charset val="134"/>
      </rPr>
      <t>产品对于投资者认购或申购理财产品份额后，是否有必须持有超过一个封闭周期时间的限制。</t>
    </r>
  </si>
  <si>
    <r>
      <rPr>
        <sz val="12"/>
        <rFont val="宋体"/>
        <charset val="134"/>
      </rPr>
      <t>最短持有期限（天）</t>
    </r>
  </si>
  <si>
    <t>ZDCYQX</t>
  </si>
  <si>
    <r>
      <rPr>
        <sz val="12"/>
        <rFont val="宋体"/>
        <charset val="134"/>
      </rPr>
      <t>投资者认购或申购理财产品份额后，必须持有的最短天数。</t>
    </r>
  </si>
  <si>
    <r>
      <rPr>
        <sz val="12"/>
        <rFont val="宋体"/>
        <charset val="134"/>
      </rPr>
      <t>最短持有期后是否自由赎回</t>
    </r>
  </si>
  <si>
    <t>ZDCYQHSFZYSH</t>
  </si>
  <si>
    <r>
      <rPr>
        <sz val="12"/>
        <rFont val="宋体"/>
        <charset val="134"/>
      </rPr>
      <t>投资者认购或申购理财产品份额并满足最短持有期限后，是否可在未来每个产品开放日内对该笔份额进行自由赎回。</t>
    </r>
  </si>
  <si>
    <r>
      <rPr>
        <sz val="12"/>
        <rFont val="宋体"/>
        <charset val="134"/>
      </rPr>
      <t>是否为现金管理类理财产品</t>
    </r>
  </si>
  <si>
    <t>SFWXJGLLLCCP</t>
  </si>
  <si>
    <r>
      <rPr>
        <sz val="12"/>
        <rFont val="宋体"/>
        <charset val="134"/>
      </rPr>
      <t>业绩比较基准上限</t>
    </r>
  </si>
  <si>
    <t>YJBJJZSX</t>
  </si>
  <si>
    <r>
      <rPr>
        <sz val="12"/>
        <rFont val="宋体"/>
        <charset val="134"/>
      </rPr>
      <t>该理财产品或者本机构同类理财产品年化收益的比较标准上限。</t>
    </r>
  </si>
  <si>
    <r>
      <rPr>
        <sz val="12"/>
        <rFont val="宋体"/>
        <charset val="134"/>
      </rPr>
      <t>数据元、数据元说明、格式、备注</t>
    </r>
  </si>
  <si>
    <r>
      <rPr>
        <sz val="12"/>
        <rFont val="Times New Roman"/>
        <charset val="134"/>
      </rPr>
      <t>“</t>
    </r>
    <r>
      <rPr>
        <sz val="12"/>
        <rFont val="宋体"/>
        <charset val="134"/>
      </rPr>
      <t>本行</t>
    </r>
    <r>
      <rPr>
        <sz val="12"/>
        <rFont val="Times New Roman"/>
        <charset val="134"/>
      </rPr>
      <t>”</t>
    </r>
    <r>
      <rPr>
        <sz val="12"/>
        <rFont val="宋体"/>
        <charset val="134"/>
      </rPr>
      <t>修改为</t>
    </r>
    <r>
      <rPr>
        <sz val="12"/>
        <rFont val="Times New Roman"/>
        <charset val="134"/>
      </rPr>
      <t>“</t>
    </r>
    <r>
      <rPr>
        <sz val="12"/>
        <rFont val="宋体"/>
        <charset val="134"/>
      </rPr>
      <t>本机构</t>
    </r>
    <r>
      <rPr>
        <sz val="12"/>
        <rFont val="Times New Roman"/>
        <charset val="134"/>
      </rPr>
      <t>”</t>
    </r>
    <r>
      <rPr>
        <sz val="12"/>
        <rFont val="宋体"/>
        <charset val="134"/>
      </rPr>
      <t>，</t>
    </r>
  </si>
  <si>
    <r>
      <rPr>
        <sz val="12"/>
        <rFont val="宋体"/>
        <charset val="134"/>
      </rPr>
      <t>业绩比较基准下限</t>
    </r>
  </si>
  <si>
    <t>YJBJJZXX</t>
  </si>
  <si>
    <r>
      <rPr>
        <sz val="12"/>
        <rFont val="宋体"/>
        <charset val="134"/>
      </rPr>
      <t>该理财产品或者本机构同类理财产品年化收益的比较标准下限。</t>
    </r>
  </si>
  <si>
    <r>
      <rPr>
        <sz val="12"/>
        <rFont val="宋体"/>
        <charset val="134"/>
      </rPr>
      <t>业绩比较基准说明</t>
    </r>
  </si>
  <si>
    <t>YJBJJZSM</t>
  </si>
  <si>
    <r>
      <rPr>
        <sz val="12"/>
        <rFont val="宋体"/>
        <charset val="134"/>
      </rPr>
      <t>该理财产品或者本机构同类理财产品年化收益的比较标准说明。</t>
    </r>
  </si>
  <si>
    <r>
      <rPr>
        <sz val="12"/>
        <rFont val="宋体"/>
        <charset val="134"/>
      </rPr>
      <t>投资管理费率</t>
    </r>
  </si>
  <si>
    <t>TZGLFL</t>
  </si>
  <si>
    <r>
      <rPr>
        <sz val="12"/>
        <rFont val="宋体"/>
        <charset val="134"/>
      </rPr>
      <t>理财产品管理人从理财产品财产中计提的投资管理费用比例。</t>
    </r>
  </si>
  <si>
    <r>
      <rPr>
        <sz val="12"/>
        <rFont val="宋体"/>
        <charset val="134"/>
      </rPr>
      <t>数据元、数据元说明、格式</t>
    </r>
  </si>
  <si>
    <r>
      <rPr>
        <sz val="12"/>
        <rFont val="宋体"/>
        <charset val="134"/>
      </rPr>
      <t>是否金融同业专属</t>
    </r>
  </si>
  <si>
    <t>SFJRTYZS</t>
  </si>
  <si>
    <r>
      <rPr>
        <sz val="12"/>
        <rFont val="宋体"/>
        <charset val="134"/>
      </rPr>
      <t>是否是专门面向金融同业销售的理财产品。</t>
    </r>
  </si>
  <si>
    <r>
      <rPr>
        <sz val="12"/>
        <rFont val="宋体"/>
        <charset val="134"/>
      </rPr>
      <t>托管费率</t>
    </r>
  </si>
  <si>
    <t>TGFL</t>
  </si>
  <si>
    <r>
      <rPr>
        <sz val="12"/>
        <rFont val="宋体"/>
        <charset val="134"/>
      </rPr>
      <t>理财产品管理人为支付托管费而从理财产品财产中计提的费用比例。</t>
    </r>
  </si>
  <si>
    <r>
      <rPr>
        <sz val="12"/>
        <rFont val="宋体"/>
        <charset val="134"/>
      </rPr>
      <t>计划募集金额</t>
    </r>
  </si>
  <si>
    <t>JHMJJE</t>
  </si>
  <si>
    <r>
      <rPr>
        <sz val="12"/>
        <rFont val="宋体"/>
        <charset val="134"/>
      </rPr>
      <t>理财产品计划募集资金总额。单位为人民币。</t>
    </r>
  </si>
  <si>
    <r>
      <rPr>
        <sz val="12"/>
        <rFont val="宋体"/>
        <charset val="134"/>
      </rPr>
      <t>数据元、数据元说明</t>
    </r>
  </si>
  <si>
    <r>
      <rPr>
        <sz val="12"/>
        <rFont val="宋体"/>
        <charset val="134"/>
      </rPr>
      <t>实际募集金额</t>
    </r>
  </si>
  <si>
    <t>SJMJJE</t>
  </si>
  <si>
    <r>
      <rPr>
        <sz val="12"/>
        <rFont val="宋体"/>
        <charset val="134"/>
      </rPr>
      <t>理财产品实际募集资金总额。单位为人民币。</t>
    </r>
  </si>
  <si>
    <r>
      <rPr>
        <sz val="12"/>
        <rFont val="宋体"/>
        <charset val="134"/>
      </rPr>
      <t>银行实际实现收入</t>
    </r>
  </si>
  <si>
    <t>YHSJSXSR</t>
  </si>
  <si>
    <r>
      <rPr>
        <sz val="12"/>
        <rFont val="宋体"/>
        <charset val="134"/>
      </rPr>
      <t>理财产品到期、兑付客户收益后，产品发行机构实际取得的各项净收入总和。单位为人民币。</t>
    </r>
  </si>
  <si>
    <r>
      <rPr>
        <sz val="12"/>
        <rFont val="宋体"/>
        <charset val="134"/>
      </rPr>
      <t>兑付客户收益</t>
    </r>
  </si>
  <si>
    <t>DFKHSY</t>
  </si>
  <si>
    <r>
      <rPr>
        <sz val="12"/>
        <rFont val="宋体"/>
        <charset val="134"/>
      </rPr>
      <t>理财产品到期后，按照理财产品说明书载明的相关事项计算的，实际支付给客户的累计理财收益。当发生产品本金损失的情况时，该要素须填写负值。单位为人民币。</t>
    </r>
  </si>
  <si>
    <r>
      <rPr>
        <sz val="12"/>
        <rFont val="宋体"/>
        <charset val="134"/>
      </rPr>
      <t>兑付客户总金额</t>
    </r>
  </si>
  <si>
    <t>DFKHZJE</t>
  </si>
  <si>
    <r>
      <rPr>
        <sz val="12"/>
        <rFont val="宋体"/>
        <charset val="134"/>
      </rPr>
      <t>理财产品到期后，实际支付客户的本金及收益金额总和。单位为人民币。</t>
    </r>
  </si>
  <si>
    <r>
      <rPr>
        <sz val="12"/>
        <rFont val="宋体"/>
        <charset val="134"/>
      </rPr>
      <t>客户实际年化收益率</t>
    </r>
  </si>
  <si>
    <t>KHSJNHSYL</t>
  </si>
  <si>
    <r>
      <rPr>
        <sz val="12"/>
        <rFont val="宋体"/>
        <charset val="134"/>
      </rPr>
      <t>理财产品到期后，客户取得的实际年化收益率。</t>
    </r>
  </si>
  <si>
    <r>
      <rPr>
        <sz val="12"/>
        <rFont val="宋体"/>
        <charset val="134"/>
      </rPr>
      <t>产品实际年化收益率</t>
    </r>
  </si>
  <si>
    <t>CPSJNHSYL</t>
  </si>
  <si>
    <r>
      <rPr>
        <sz val="12"/>
        <rFont val="宋体"/>
        <charset val="134"/>
      </rPr>
      <t>理财产品到期后，该产品实际取得的年化收益率。</t>
    </r>
  </si>
  <si>
    <r>
      <rPr>
        <sz val="12"/>
        <rFont val="Times New Roman"/>
        <charset val="134"/>
      </rPr>
      <t>PK</t>
    </r>
    <r>
      <rPr>
        <sz val="12"/>
        <rFont val="宋体"/>
        <charset val="134"/>
      </rPr>
      <t>。采集日期指该期（批次）数据报送的期末日期，例如：按日采集的表，采集日期应为每日；按月采集的表，采集日期应为月末最后一天；以此类推。有特殊报送要求的，应以报送要求的截至日期为采集日期。同</t>
    </r>
    <r>
      <rPr>
        <sz val="12"/>
        <rFont val="Times New Roman"/>
        <charset val="134"/>
      </rPr>
      <t>2019</t>
    </r>
    <r>
      <rPr>
        <sz val="12"/>
        <rFont val="宋体"/>
        <charset val="134"/>
      </rPr>
      <t>版规范中产品统计日期。首次报送时，由于理财产品信息表为全量报送，补报时点的产品采集日期均为</t>
    </r>
    <r>
      <rPr>
        <sz val="12"/>
        <rFont val="Times New Roman"/>
        <charset val="134"/>
      </rPr>
      <t>20191130</t>
    </r>
    <r>
      <rPr>
        <sz val="12"/>
        <rFont val="宋体"/>
        <charset val="134"/>
      </rPr>
      <t>。</t>
    </r>
  </si>
  <si>
    <r>
      <rPr>
        <sz val="12"/>
        <rFont val="宋体"/>
        <charset val="134"/>
      </rPr>
      <t>理财产品状态表</t>
    </r>
  </si>
  <si>
    <r>
      <rPr>
        <sz val="12"/>
        <rFont val="宋体"/>
        <charset val="134"/>
      </rPr>
      <t>全量表，报送截止采集日有效的数据以及与上一采集日期间失效的数据。该表体现统计期末存续的理财产品状态及运营情况等信息。</t>
    </r>
    <r>
      <rPr>
        <sz val="12"/>
        <rFont val="Times New Roman"/>
        <charset val="134"/>
      </rPr>
      <t xml:space="preserve">
</t>
    </r>
    <r>
      <rPr>
        <sz val="12"/>
        <rFont val="宋体"/>
        <charset val="134"/>
      </rPr>
      <t>包含银行及理财公司数据。</t>
    </r>
  </si>
  <si>
    <r>
      <rPr>
        <sz val="12"/>
        <rFont val="宋体"/>
        <charset val="134"/>
      </rPr>
      <t>删除开放式产品易变现资产期末持仓占比、封闭式产品债权类资产平均期限错配比、非标债权资产持仓比例、最新预期收益率、产品统计日、产品</t>
    </r>
    <r>
      <rPr>
        <sz val="12"/>
        <rFont val="Times New Roman"/>
        <charset val="134"/>
      </rPr>
      <t>ID</t>
    </r>
    <r>
      <rPr>
        <sz val="12"/>
        <rFont val="宋体"/>
        <charset val="134"/>
      </rPr>
      <t>、币种</t>
    </r>
  </si>
  <si>
    <r>
      <rPr>
        <sz val="12"/>
        <rFont val="宋体"/>
        <charset val="134"/>
      </rPr>
      <t>负责理财产品分发、销售的法人机构，同时也是理财产品募集资金的管理和运作机构。</t>
    </r>
  </si>
  <si>
    <r>
      <rPr>
        <sz val="12"/>
        <rFont val="宋体"/>
        <charset val="134"/>
      </rPr>
      <t>累计申购金额</t>
    </r>
  </si>
  <si>
    <t>LJSGJE</t>
  </si>
  <si>
    <r>
      <rPr>
        <sz val="12"/>
        <rFont val="宋体"/>
        <charset val="134"/>
      </rPr>
      <t>计算在</t>
    </r>
    <r>
      <rPr>
        <sz val="12"/>
        <rFont val="Times New Roman"/>
        <charset val="134"/>
      </rPr>
      <t>“</t>
    </r>
    <r>
      <rPr>
        <sz val="12"/>
        <rFont val="宋体"/>
        <charset val="134"/>
      </rPr>
      <t>产品起始日期</t>
    </r>
    <r>
      <rPr>
        <sz val="12"/>
        <rFont val="Times New Roman"/>
        <charset val="134"/>
      </rPr>
      <t>”</t>
    </r>
    <r>
      <rPr>
        <sz val="12"/>
        <rFont val="宋体"/>
        <charset val="134"/>
      </rPr>
      <t>到统计日期间，理财产品存续期登记的</t>
    </r>
    <r>
      <rPr>
        <sz val="12"/>
        <rFont val="Times New Roman"/>
        <charset val="134"/>
      </rPr>
      <t>“</t>
    </r>
    <r>
      <rPr>
        <sz val="12"/>
        <rFont val="宋体"/>
        <charset val="134"/>
      </rPr>
      <t>该币种累计申购金额（元）</t>
    </r>
    <r>
      <rPr>
        <sz val="12"/>
        <rFont val="Times New Roman"/>
        <charset val="134"/>
      </rPr>
      <t>”</t>
    </r>
    <r>
      <rPr>
        <sz val="12"/>
        <rFont val="宋体"/>
        <charset val="134"/>
      </rPr>
      <t>的加总。</t>
    </r>
    <r>
      <rPr>
        <sz val="12"/>
        <rFont val="Times New Roman"/>
        <charset val="134"/>
      </rPr>
      <t xml:space="preserve">
</t>
    </r>
    <r>
      <rPr>
        <sz val="12"/>
        <rFont val="宋体"/>
        <charset val="134"/>
      </rPr>
      <t>对于</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日前成立的产品，只能统计</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日至本统计期末的累计数据。</t>
    </r>
    <r>
      <rPr>
        <sz val="12"/>
        <rFont val="Times New Roman"/>
        <charset val="134"/>
      </rPr>
      <t xml:space="preserve">
</t>
    </r>
    <r>
      <rPr>
        <sz val="12"/>
        <rFont val="宋体"/>
        <charset val="134"/>
      </rPr>
      <t>由银行业理财登记托管中心系统自动计算生成。</t>
    </r>
    <r>
      <rPr>
        <sz val="12"/>
        <rFont val="Times New Roman"/>
        <charset val="134"/>
      </rPr>
      <t xml:space="preserve">
</t>
    </r>
    <r>
      <rPr>
        <sz val="12"/>
        <rFont val="宋体"/>
        <charset val="134"/>
      </rPr>
      <t>单位为人民币。</t>
    </r>
  </si>
  <si>
    <r>
      <rPr>
        <sz val="12"/>
        <rFont val="宋体"/>
        <charset val="134"/>
      </rPr>
      <t>数据元、数据元说明、备注</t>
    </r>
  </si>
  <si>
    <r>
      <rPr>
        <sz val="12"/>
        <rFont val="宋体"/>
        <charset val="134"/>
      </rPr>
      <t>累计申购份额</t>
    </r>
  </si>
  <si>
    <t>LJSGFE</t>
  </si>
  <si>
    <r>
      <rPr>
        <sz val="12"/>
        <rFont val="宋体"/>
        <charset val="134"/>
      </rPr>
      <t>计算在</t>
    </r>
    <r>
      <rPr>
        <sz val="12"/>
        <rFont val="Times New Roman"/>
        <charset val="134"/>
      </rPr>
      <t>“</t>
    </r>
    <r>
      <rPr>
        <sz val="12"/>
        <rFont val="宋体"/>
        <charset val="134"/>
      </rPr>
      <t>产品起始日期</t>
    </r>
    <r>
      <rPr>
        <sz val="12"/>
        <rFont val="Times New Roman"/>
        <charset val="134"/>
      </rPr>
      <t>”</t>
    </r>
    <r>
      <rPr>
        <sz val="12"/>
        <rFont val="宋体"/>
        <charset val="134"/>
      </rPr>
      <t>到统计日期间，理财产品存续期登记的</t>
    </r>
    <r>
      <rPr>
        <sz val="12"/>
        <rFont val="Times New Roman"/>
        <charset val="134"/>
      </rPr>
      <t>“</t>
    </r>
    <r>
      <rPr>
        <sz val="12"/>
        <rFont val="宋体"/>
        <charset val="134"/>
      </rPr>
      <t>累计申购份额</t>
    </r>
    <r>
      <rPr>
        <sz val="12"/>
        <rFont val="Times New Roman"/>
        <charset val="134"/>
      </rPr>
      <t>”</t>
    </r>
    <r>
      <rPr>
        <sz val="12"/>
        <rFont val="宋体"/>
        <charset val="134"/>
      </rPr>
      <t>的加总。</t>
    </r>
    <r>
      <rPr>
        <sz val="12"/>
        <rFont val="Times New Roman"/>
        <charset val="134"/>
      </rPr>
      <t xml:space="preserve">
</t>
    </r>
    <r>
      <rPr>
        <sz val="12"/>
        <rFont val="宋体"/>
        <charset val="134"/>
      </rPr>
      <t>对于</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日前成立的产品，只能统计</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日至本统计期末的累计数据。</t>
    </r>
    <r>
      <rPr>
        <sz val="12"/>
        <rFont val="Times New Roman"/>
        <charset val="134"/>
      </rPr>
      <t xml:space="preserve">
</t>
    </r>
    <r>
      <rPr>
        <sz val="12"/>
        <rFont val="宋体"/>
        <charset val="134"/>
      </rPr>
      <t>由银行业理财登记托管中心系统自动计算生成。</t>
    </r>
  </si>
  <si>
    <r>
      <rPr>
        <sz val="12"/>
        <rFont val="宋体"/>
        <charset val="134"/>
      </rPr>
      <t>累计兑付金额</t>
    </r>
  </si>
  <si>
    <t>LJDFJE</t>
  </si>
  <si>
    <r>
      <rPr>
        <sz val="12"/>
        <rFont val="宋体"/>
        <charset val="134"/>
      </rPr>
      <t>计算在</t>
    </r>
    <r>
      <rPr>
        <sz val="12"/>
        <rFont val="Times New Roman"/>
        <charset val="134"/>
      </rPr>
      <t>“</t>
    </r>
    <r>
      <rPr>
        <sz val="12"/>
        <rFont val="宋体"/>
        <charset val="134"/>
      </rPr>
      <t>产品起始日期</t>
    </r>
    <r>
      <rPr>
        <sz val="12"/>
        <rFont val="Times New Roman"/>
        <charset val="134"/>
      </rPr>
      <t>”</t>
    </r>
    <r>
      <rPr>
        <sz val="12"/>
        <rFont val="宋体"/>
        <charset val="134"/>
      </rPr>
      <t>到统计日期间，理财产品存续期登记的</t>
    </r>
    <r>
      <rPr>
        <sz val="12"/>
        <rFont val="Times New Roman"/>
        <charset val="134"/>
      </rPr>
      <t>“</t>
    </r>
    <r>
      <rPr>
        <sz val="12"/>
        <rFont val="宋体"/>
        <charset val="134"/>
      </rPr>
      <t>该币种累计兑付金额（元）</t>
    </r>
    <r>
      <rPr>
        <sz val="12"/>
        <rFont val="Times New Roman"/>
        <charset val="134"/>
      </rPr>
      <t>”</t>
    </r>
    <r>
      <rPr>
        <sz val="12"/>
        <rFont val="宋体"/>
        <charset val="134"/>
      </rPr>
      <t>的加总。</t>
    </r>
    <r>
      <rPr>
        <strike/>
        <sz val="12"/>
        <rFont val="Times New Roman"/>
        <charset val="134"/>
      </rPr>
      <t xml:space="preserve">
</t>
    </r>
    <r>
      <rPr>
        <sz val="12"/>
        <rFont val="宋体"/>
        <charset val="134"/>
      </rPr>
      <t>对于</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日前成立的产品，只能统计</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日至本统计期末的累计数据。</t>
    </r>
    <r>
      <rPr>
        <sz val="12"/>
        <rFont val="Times New Roman"/>
        <charset val="134"/>
      </rPr>
      <t xml:space="preserve">
</t>
    </r>
    <r>
      <rPr>
        <sz val="12"/>
        <rFont val="宋体"/>
        <charset val="134"/>
      </rPr>
      <t>由银行业理财登记托管中心系统自动计算生成。</t>
    </r>
    <r>
      <rPr>
        <sz val="12"/>
        <rFont val="Times New Roman"/>
        <charset val="134"/>
      </rPr>
      <t xml:space="preserve">
</t>
    </r>
    <r>
      <rPr>
        <sz val="12"/>
        <rFont val="宋体"/>
        <charset val="134"/>
      </rPr>
      <t>单位为人民币。</t>
    </r>
  </si>
  <si>
    <r>
      <rPr>
        <sz val="12"/>
        <rFont val="宋体"/>
        <charset val="134"/>
      </rPr>
      <t>累计兑付收益金额</t>
    </r>
  </si>
  <si>
    <t>LJDFSYJE</t>
  </si>
  <si>
    <r>
      <rPr>
        <sz val="12"/>
        <rFont val="宋体"/>
        <charset val="134"/>
      </rPr>
      <t>计算在</t>
    </r>
    <r>
      <rPr>
        <sz val="12"/>
        <rFont val="Times New Roman"/>
        <charset val="134"/>
      </rPr>
      <t>“</t>
    </r>
    <r>
      <rPr>
        <sz val="12"/>
        <rFont val="宋体"/>
        <charset val="134"/>
      </rPr>
      <t>产品起始日期</t>
    </r>
    <r>
      <rPr>
        <sz val="12"/>
        <rFont val="Times New Roman"/>
        <charset val="134"/>
      </rPr>
      <t>”</t>
    </r>
    <r>
      <rPr>
        <sz val="12"/>
        <rFont val="宋体"/>
        <charset val="134"/>
      </rPr>
      <t>到统计日期间，理财产品存续期登记的</t>
    </r>
    <r>
      <rPr>
        <sz val="12"/>
        <rFont val="Times New Roman"/>
        <charset val="134"/>
      </rPr>
      <t>“</t>
    </r>
    <r>
      <rPr>
        <sz val="12"/>
        <rFont val="宋体"/>
        <charset val="134"/>
      </rPr>
      <t>该币种累计兑付收益金额（元）</t>
    </r>
    <r>
      <rPr>
        <sz val="12"/>
        <rFont val="Times New Roman"/>
        <charset val="134"/>
      </rPr>
      <t>”</t>
    </r>
    <r>
      <rPr>
        <sz val="12"/>
        <rFont val="宋体"/>
        <charset val="134"/>
      </rPr>
      <t>的加总。</t>
    </r>
    <r>
      <rPr>
        <strike/>
        <sz val="12"/>
        <rFont val="Times New Roman"/>
        <charset val="134"/>
      </rPr>
      <t xml:space="preserve">
</t>
    </r>
    <r>
      <rPr>
        <sz val="12"/>
        <rFont val="宋体"/>
        <charset val="134"/>
      </rPr>
      <t>对于</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日前成立的产品，只能统计</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日至本统计期末的累计数据。</t>
    </r>
    <r>
      <rPr>
        <sz val="12"/>
        <rFont val="Times New Roman"/>
        <charset val="134"/>
      </rPr>
      <t xml:space="preserve">
</t>
    </r>
    <r>
      <rPr>
        <sz val="12"/>
        <rFont val="宋体"/>
        <charset val="134"/>
      </rPr>
      <t>由银行业理财登记托管中心系统自动计算生成。</t>
    </r>
    <r>
      <rPr>
        <sz val="12"/>
        <rFont val="Times New Roman"/>
        <charset val="134"/>
      </rPr>
      <t xml:space="preserve">
</t>
    </r>
    <r>
      <rPr>
        <sz val="12"/>
        <rFont val="宋体"/>
        <charset val="134"/>
      </rPr>
      <t>单位为人民币。</t>
    </r>
  </si>
  <si>
    <r>
      <rPr>
        <sz val="12"/>
        <rFont val="宋体"/>
        <charset val="134"/>
      </rPr>
      <t>累计赎回份额</t>
    </r>
  </si>
  <si>
    <t>LJSHFE</t>
  </si>
  <si>
    <r>
      <rPr>
        <sz val="12"/>
        <rFont val="宋体"/>
        <charset val="134"/>
      </rPr>
      <t>计算在</t>
    </r>
    <r>
      <rPr>
        <sz val="12"/>
        <rFont val="Times New Roman"/>
        <charset val="134"/>
      </rPr>
      <t>“</t>
    </r>
    <r>
      <rPr>
        <sz val="12"/>
        <rFont val="宋体"/>
        <charset val="134"/>
      </rPr>
      <t>产品起始日期</t>
    </r>
    <r>
      <rPr>
        <sz val="12"/>
        <rFont val="Times New Roman"/>
        <charset val="134"/>
      </rPr>
      <t>”</t>
    </r>
    <r>
      <rPr>
        <sz val="12"/>
        <rFont val="宋体"/>
        <charset val="134"/>
      </rPr>
      <t>到统计日期间，理财产品存续期登记的</t>
    </r>
    <r>
      <rPr>
        <sz val="12"/>
        <rFont val="Times New Roman"/>
        <charset val="134"/>
      </rPr>
      <t>“</t>
    </r>
    <r>
      <rPr>
        <sz val="12"/>
        <rFont val="宋体"/>
        <charset val="134"/>
      </rPr>
      <t>累计赎回份额</t>
    </r>
    <r>
      <rPr>
        <sz val="12"/>
        <rFont val="Times New Roman"/>
        <charset val="134"/>
      </rPr>
      <t>”</t>
    </r>
    <r>
      <rPr>
        <sz val="12"/>
        <rFont val="宋体"/>
        <charset val="134"/>
      </rPr>
      <t>的加总。</t>
    </r>
    <r>
      <rPr>
        <strike/>
        <sz val="12"/>
        <rFont val="Times New Roman"/>
        <charset val="134"/>
      </rPr>
      <t xml:space="preserve">
</t>
    </r>
    <r>
      <rPr>
        <sz val="12"/>
        <rFont val="宋体"/>
        <charset val="134"/>
      </rPr>
      <t>对于</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日前成立的产品，只能统计</t>
    </r>
    <r>
      <rPr>
        <sz val="12"/>
        <rFont val="Times New Roman"/>
        <charset val="134"/>
      </rPr>
      <t>2013</t>
    </r>
    <r>
      <rPr>
        <sz val="12"/>
        <rFont val="宋体"/>
        <charset val="134"/>
      </rPr>
      <t>年</t>
    </r>
    <r>
      <rPr>
        <sz val="12"/>
        <rFont val="Times New Roman"/>
        <charset val="134"/>
      </rPr>
      <t>1</t>
    </r>
    <r>
      <rPr>
        <sz val="12"/>
        <rFont val="宋体"/>
        <charset val="134"/>
      </rPr>
      <t>月</t>
    </r>
    <r>
      <rPr>
        <sz val="12"/>
        <rFont val="Times New Roman"/>
        <charset val="134"/>
      </rPr>
      <t>1</t>
    </r>
    <r>
      <rPr>
        <sz val="12"/>
        <rFont val="宋体"/>
        <charset val="134"/>
      </rPr>
      <t>日至本统计期末的累计数据。</t>
    </r>
    <r>
      <rPr>
        <sz val="12"/>
        <rFont val="Times New Roman"/>
        <charset val="134"/>
      </rPr>
      <t xml:space="preserve">
</t>
    </r>
    <r>
      <rPr>
        <sz val="12"/>
        <rFont val="宋体"/>
        <charset val="134"/>
      </rPr>
      <t>由银行业理财登记托管中心系统自动计算生成。</t>
    </r>
  </si>
  <si>
    <r>
      <rPr>
        <sz val="12"/>
        <rFont val="宋体"/>
        <charset val="134"/>
      </rPr>
      <t>产品统计日状态</t>
    </r>
  </si>
  <si>
    <t>CPTJRZT</t>
  </si>
  <si>
    <r>
      <rPr>
        <sz val="12"/>
        <rFont val="Times New Roman"/>
        <charset val="134"/>
      </rPr>
      <t>“</t>
    </r>
    <r>
      <rPr>
        <sz val="12"/>
        <rFont val="宋体"/>
        <charset val="134"/>
      </rPr>
      <t>存续</t>
    </r>
    <r>
      <rPr>
        <sz val="12"/>
        <rFont val="Times New Roman"/>
        <charset val="134"/>
      </rPr>
      <t>”</t>
    </r>
    <r>
      <rPr>
        <sz val="12"/>
        <rFont val="宋体"/>
        <charset val="134"/>
      </rPr>
      <t>指：</t>
    </r>
    <r>
      <rPr>
        <sz val="12"/>
        <rFont val="Times New Roman"/>
        <charset val="134"/>
      </rPr>
      <t>“</t>
    </r>
    <r>
      <rPr>
        <sz val="12"/>
        <rFont val="宋体"/>
        <charset val="134"/>
      </rPr>
      <t>产品起始日期</t>
    </r>
    <r>
      <rPr>
        <sz val="12"/>
        <rFont val="Times New Roman"/>
        <charset val="134"/>
      </rPr>
      <t>”&lt;=</t>
    </r>
    <r>
      <rPr>
        <sz val="12"/>
        <rFont val="宋体"/>
        <charset val="134"/>
      </rPr>
      <t>统计日期</t>
    </r>
    <r>
      <rPr>
        <sz val="12"/>
        <rFont val="Times New Roman"/>
        <charset val="134"/>
      </rPr>
      <t>&lt;“</t>
    </r>
    <r>
      <rPr>
        <sz val="12"/>
        <rFont val="宋体"/>
        <charset val="134"/>
      </rPr>
      <t>产品终止日期</t>
    </r>
    <r>
      <rPr>
        <sz val="12"/>
        <rFont val="Times New Roman"/>
        <charset val="134"/>
      </rPr>
      <t>”</t>
    </r>
    <r>
      <rPr>
        <sz val="12"/>
        <rFont val="宋体"/>
        <charset val="134"/>
      </rPr>
      <t>（若已进行终止登记，则取</t>
    </r>
    <r>
      <rPr>
        <sz val="12"/>
        <rFont val="Times New Roman"/>
        <charset val="134"/>
      </rPr>
      <t>“</t>
    </r>
    <r>
      <rPr>
        <sz val="12"/>
        <rFont val="宋体"/>
        <charset val="134"/>
      </rPr>
      <t>理财产品实际终止日期</t>
    </r>
    <r>
      <rPr>
        <sz val="12"/>
        <rFont val="Times New Roman"/>
        <charset val="134"/>
      </rPr>
      <t>”</t>
    </r>
    <r>
      <rPr>
        <sz val="12"/>
        <rFont val="宋体"/>
        <charset val="134"/>
      </rPr>
      <t>），且产品状态为</t>
    </r>
    <r>
      <rPr>
        <sz val="12"/>
        <rFont val="Times New Roman"/>
        <charset val="134"/>
      </rPr>
      <t>“</t>
    </r>
    <r>
      <rPr>
        <sz val="12"/>
        <rFont val="宋体"/>
        <charset val="134"/>
      </rPr>
      <t>已发行登记</t>
    </r>
    <r>
      <rPr>
        <sz val="12"/>
        <rFont val="Times New Roman"/>
        <charset val="134"/>
      </rPr>
      <t>”</t>
    </r>
    <r>
      <rPr>
        <sz val="12"/>
        <rFont val="宋体"/>
        <charset val="134"/>
      </rPr>
      <t>、</t>
    </r>
    <r>
      <rPr>
        <sz val="12"/>
        <rFont val="Times New Roman"/>
        <charset val="134"/>
      </rPr>
      <t>“</t>
    </r>
    <r>
      <rPr>
        <sz val="12"/>
        <rFont val="宋体"/>
        <charset val="134"/>
      </rPr>
      <t>已募集登记</t>
    </r>
    <r>
      <rPr>
        <sz val="12"/>
        <rFont val="Times New Roman"/>
        <charset val="134"/>
      </rPr>
      <t>”</t>
    </r>
    <r>
      <rPr>
        <sz val="12"/>
        <rFont val="宋体"/>
        <charset val="134"/>
      </rPr>
      <t>或</t>
    </r>
    <r>
      <rPr>
        <sz val="12"/>
        <rFont val="Times New Roman"/>
        <charset val="134"/>
      </rPr>
      <t>“</t>
    </r>
    <r>
      <rPr>
        <sz val="12"/>
        <rFont val="宋体"/>
        <charset val="134"/>
      </rPr>
      <t>已终止登记</t>
    </r>
    <r>
      <rPr>
        <sz val="12"/>
        <rFont val="Times New Roman"/>
        <charset val="134"/>
      </rPr>
      <t>”</t>
    </r>
    <r>
      <rPr>
        <sz val="12"/>
        <rFont val="宋体"/>
        <charset val="134"/>
      </rPr>
      <t>。</t>
    </r>
    <r>
      <rPr>
        <sz val="12"/>
        <rFont val="Times New Roman"/>
        <charset val="134"/>
      </rPr>
      <t xml:space="preserve">
</t>
    </r>
    <r>
      <rPr>
        <sz val="12"/>
        <rFont val="宋体"/>
        <charset val="134"/>
      </rPr>
      <t>由银行业理财登记托管中心系统自动计算生成。</t>
    </r>
  </si>
  <si>
    <r>
      <rPr>
        <sz val="12"/>
        <rFont val="宋体"/>
        <charset val="134"/>
      </rPr>
      <t>数据元说明、数据元、备注</t>
    </r>
  </si>
  <si>
    <r>
      <rPr>
        <sz val="12"/>
        <rFont val="宋体"/>
        <charset val="134"/>
      </rPr>
      <t>产品存续余额</t>
    </r>
  </si>
  <si>
    <t>CPCXYE</t>
  </si>
  <si>
    <r>
      <rPr>
        <sz val="12"/>
        <rFont val="宋体"/>
        <charset val="134"/>
      </rPr>
      <t>产品所在月末统计时点的存续余额。</t>
    </r>
    <r>
      <rPr>
        <sz val="12"/>
        <rFont val="Times New Roman"/>
        <charset val="134"/>
      </rPr>
      <t xml:space="preserve">
</t>
    </r>
    <r>
      <rPr>
        <sz val="12"/>
        <rFont val="宋体"/>
        <charset val="134"/>
      </rPr>
      <t>对于净值型产品，为产品发行存续期间内，统计时点之前（含）最近的存续期登记的</t>
    </r>
    <r>
      <rPr>
        <sz val="12"/>
        <rFont val="Times New Roman"/>
        <charset val="134"/>
      </rPr>
      <t>“</t>
    </r>
    <r>
      <rPr>
        <sz val="12"/>
        <rFont val="宋体"/>
        <charset val="134"/>
      </rPr>
      <t>份额</t>
    </r>
    <r>
      <rPr>
        <sz val="12"/>
        <rFont val="Times New Roman"/>
        <charset val="134"/>
      </rPr>
      <t>”*“</t>
    </r>
    <r>
      <rPr>
        <sz val="12"/>
        <rFont val="宋体"/>
        <charset val="134"/>
      </rPr>
      <t>折算人民币净值</t>
    </r>
    <r>
      <rPr>
        <sz val="12"/>
        <rFont val="Times New Roman"/>
        <charset val="134"/>
      </rPr>
      <t>”</t>
    </r>
    <r>
      <rPr>
        <sz val="12"/>
        <rFont val="宋体"/>
        <charset val="134"/>
      </rPr>
      <t>，计算结果为空时取</t>
    </r>
    <r>
      <rPr>
        <sz val="12"/>
        <rFont val="Times New Roman"/>
        <charset val="134"/>
      </rPr>
      <t>“</t>
    </r>
    <r>
      <rPr>
        <sz val="12"/>
        <rFont val="宋体"/>
        <charset val="134"/>
      </rPr>
      <t>实际募集金额（元）</t>
    </r>
    <r>
      <rPr>
        <sz val="12"/>
        <rFont val="Times New Roman"/>
        <charset val="134"/>
      </rPr>
      <t>”</t>
    </r>
    <r>
      <rPr>
        <sz val="12"/>
        <rFont val="宋体"/>
        <charset val="134"/>
      </rPr>
      <t>；对于非净值型产品，为统计时点之前（含）最近的存续期登记的</t>
    </r>
    <r>
      <rPr>
        <sz val="12"/>
        <rFont val="Times New Roman"/>
        <charset val="134"/>
      </rPr>
      <t>“</t>
    </r>
    <r>
      <rPr>
        <sz val="12"/>
        <rFont val="宋体"/>
        <charset val="134"/>
      </rPr>
      <t>产品余额</t>
    </r>
    <r>
      <rPr>
        <sz val="12"/>
        <rFont val="Times New Roman"/>
        <charset val="134"/>
      </rPr>
      <t>”</t>
    </r>
    <r>
      <rPr>
        <sz val="12"/>
        <rFont val="宋体"/>
        <charset val="134"/>
      </rPr>
      <t>（为空时取</t>
    </r>
    <r>
      <rPr>
        <sz val="12"/>
        <rFont val="Times New Roman"/>
        <charset val="134"/>
      </rPr>
      <t>“</t>
    </r>
    <r>
      <rPr>
        <sz val="12"/>
        <rFont val="宋体"/>
        <charset val="134"/>
      </rPr>
      <t>实际募集金额（元）</t>
    </r>
    <r>
      <rPr>
        <sz val="12"/>
        <rFont val="Times New Roman"/>
        <charset val="134"/>
      </rPr>
      <t>”</t>
    </r>
    <r>
      <rPr>
        <sz val="12"/>
        <rFont val="宋体"/>
        <charset val="134"/>
      </rPr>
      <t>）。</t>
    </r>
    <r>
      <rPr>
        <sz val="12"/>
        <rFont val="Times New Roman"/>
        <charset val="134"/>
      </rPr>
      <t xml:space="preserve">
</t>
    </r>
    <r>
      <rPr>
        <sz val="12"/>
        <rFont val="宋体"/>
        <charset val="134"/>
      </rPr>
      <t>由银行业理财登记托管中心系统自动计算生成。</t>
    </r>
    <r>
      <rPr>
        <sz val="12"/>
        <rFont val="Times New Roman"/>
        <charset val="134"/>
      </rPr>
      <t xml:space="preserve">
</t>
    </r>
    <r>
      <rPr>
        <sz val="12"/>
        <rFont val="宋体"/>
        <charset val="134"/>
      </rPr>
      <t>因登记数据准确性、计算方法的不同，可能存在与机构内部产品实际存续余额偏差的情况，仅供参考。</t>
    </r>
    <r>
      <rPr>
        <sz val="12"/>
        <rFont val="Times New Roman"/>
        <charset val="134"/>
      </rPr>
      <t xml:space="preserve">
</t>
    </r>
    <r>
      <rPr>
        <sz val="12"/>
        <rFont val="宋体"/>
        <charset val="134"/>
      </rPr>
      <t>单位为人民币。</t>
    </r>
  </si>
  <si>
    <r>
      <rPr>
        <sz val="12"/>
        <rFont val="宋体"/>
        <charset val="134"/>
      </rPr>
      <t>备注、数据元</t>
    </r>
  </si>
  <si>
    <r>
      <rPr>
        <sz val="12"/>
        <rFont val="宋体"/>
        <charset val="134"/>
      </rPr>
      <t>净值币种</t>
    </r>
  </si>
  <si>
    <t>JZBZ</t>
  </si>
  <si>
    <r>
      <rPr>
        <sz val="12"/>
        <rFont val="宋体"/>
        <charset val="134"/>
      </rPr>
      <t>与初始净值、产品净值和累计净值所对应的币种。</t>
    </r>
  </si>
  <si>
    <r>
      <rPr>
        <sz val="12"/>
        <rFont val="宋体"/>
        <charset val="134"/>
      </rPr>
      <t>初始净值</t>
    </r>
  </si>
  <si>
    <t>CSJZ</t>
  </si>
  <si>
    <r>
      <rPr>
        <sz val="12"/>
        <rFont val="宋体"/>
        <charset val="134"/>
      </rPr>
      <t>在产品正式成立时设定的净值。</t>
    </r>
  </si>
  <si>
    <r>
      <rPr>
        <sz val="12"/>
        <rFont val="宋体"/>
        <charset val="134"/>
      </rPr>
      <t>产品净值</t>
    </r>
  </si>
  <si>
    <t>CPJZ</t>
  </si>
  <si>
    <r>
      <rPr>
        <sz val="12"/>
        <rFont val="宋体"/>
        <charset val="134"/>
      </rPr>
      <t>产品对外公布的最新净值。</t>
    </r>
  </si>
  <si>
    <r>
      <rPr>
        <sz val="12"/>
        <rFont val="宋体"/>
        <charset val="134"/>
      </rPr>
      <t>累计净值</t>
    </r>
  </si>
  <si>
    <t>LJJZ</t>
  </si>
  <si>
    <r>
      <rPr>
        <sz val="12"/>
        <rFont val="宋体"/>
        <charset val="134"/>
      </rPr>
      <t>指自产品发起成立日起开始，在不考虑历次现金分红派息情况的基础上的单位净值。</t>
    </r>
  </si>
  <si>
    <r>
      <rPr>
        <sz val="12"/>
        <rFont val="宋体"/>
        <charset val="134"/>
      </rPr>
      <t>折算人民币初始净值</t>
    </r>
  </si>
  <si>
    <t>ZSRMBCSJZ</t>
  </si>
  <si>
    <r>
      <rPr>
        <sz val="12"/>
        <rFont val="宋体"/>
        <charset val="134"/>
      </rPr>
      <t>根据产品成立当日汇率折算的初始净值。单位为人民币。</t>
    </r>
  </si>
  <si>
    <r>
      <rPr>
        <sz val="12"/>
        <rFont val="宋体"/>
        <charset val="134"/>
      </rPr>
      <t>折算人民币净值</t>
    </r>
  </si>
  <si>
    <t>ZSRMBJZ</t>
  </si>
  <si>
    <r>
      <rPr>
        <sz val="12"/>
        <rFont val="宋体"/>
        <charset val="134"/>
      </rPr>
      <t>根据净值公布日汇率折算的产品的最新净值。单位为人民币。</t>
    </r>
  </si>
  <si>
    <r>
      <rPr>
        <sz val="12"/>
        <rFont val="宋体"/>
        <charset val="134"/>
      </rPr>
      <t>折算人民币累计净值</t>
    </r>
  </si>
  <si>
    <t>ZSRMBLJJZ</t>
  </si>
  <si>
    <r>
      <rPr>
        <sz val="12"/>
        <rFont val="宋体"/>
        <charset val="134"/>
      </rPr>
      <t>根据净值公布日汇率折算的产品的累计净值。单位为人民币。</t>
    </r>
  </si>
  <si>
    <r>
      <rPr>
        <sz val="12"/>
        <rFont val="宋体"/>
        <charset val="134"/>
      </rPr>
      <t>实现收益率</t>
    </r>
  </si>
  <si>
    <t>SXSYL</t>
  </si>
  <si>
    <r>
      <rPr>
        <sz val="12"/>
        <rFont val="宋体"/>
        <charset val="134"/>
      </rPr>
      <t>客户实际实现的最新年化收益率。</t>
    </r>
  </si>
  <si>
    <r>
      <rPr>
        <sz val="12"/>
        <rFont val="宋体"/>
        <charset val="134"/>
      </rPr>
      <t>银行实现收益</t>
    </r>
  </si>
  <si>
    <t>YHSXSY</t>
  </si>
  <si>
    <r>
      <rPr>
        <sz val="12"/>
        <rFont val="宋体"/>
        <charset val="134"/>
      </rPr>
      <t>计算在</t>
    </r>
    <r>
      <rPr>
        <sz val="12"/>
        <rFont val="Times New Roman"/>
        <charset val="134"/>
      </rPr>
      <t>“</t>
    </r>
    <r>
      <rPr>
        <sz val="12"/>
        <rFont val="宋体"/>
        <charset val="134"/>
      </rPr>
      <t>产品起始日期</t>
    </r>
    <r>
      <rPr>
        <sz val="12"/>
        <rFont val="Times New Roman"/>
        <charset val="134"/>
      </rPr>
      <t>”</t>
    </r>
    <r>
      <rPr>
        <sz val="12"/>
        <rFont val="宋体"/>
        <charset val="134"/>
      </rPr>
      <t>到统计日期间，理财产品存续期登记的</t>
    </r>
    <r>
      <rPr>
        <sz val="12"/>
        <rFont val="Times New Roman"/>
        <charset val="134"/>
      </rPr>
      <t>“</t>
    </r>
    <r>
      <rPr>
        <sz val="12"/>
        <rFont val="宋体"/>
        <charset val="134"/>
      </rPr>
      <t>银行实现收益（元）</t>
    </r>
    <r>
      <rPr>
        <sz val="12"/>
        <rFont val="Times New Roman"/>
        <charset val="134"/>
      </rPr>
      <t>”</t>
    </r>
    <r>
      <rPr>
        <sz val="12"/>
        <rFont val="宋体"/>
        <charset val="134"/>
      </rPr>
      <t>的加总。</t>
    </r>
    <r>
      <rPr>
        <sz val="12"/>
        <rFont val="Times New Roman"/>
        <charset val="134"/>
      </rPr>
      <t xml:space="preserve">
</t>
    </r>
    <r>
      <rPr>
        <sz val="12"/>
        <rFont val="宋体"/>
        <charset val="134"/>
      </rPr>
      <t>由银行业理财登记托管中心系统自动计算生成。</t>
    </r>
    <r>
      <rPr>
        <sz val="12"/>
        <rFont val="Times New Roman"/>
        <charset val="134"/>
      </rPr>
      <t xml:space="preserve">
</t>
    </r>
    <r>
      <rPr>
        <sz val="12"/>
        <rFont val="宋体"/>
        <charset val="134"/>
      </rPr>
      <t>单位为人民币。</t>
    </r>
  </si>
  <si>
    <r>
      <rPr>
        <sz val="12"/>
        <rFont val="宋体"/>
        <charset val="134"/>
      </rPr>
      <t>理财产品杠杆率</t>
    </r>
  </si>
  <si>
    <t>LCCPGGL</t>
  </si>
  <si>
    <r>
      <rPr>
        <sz val="12"/>
        <rFont val="宋体"/>
        <charset val="134"/>
      </rPr>
      <t>为所在月末统计时点理财产品总资产</t>
    </r>
    <r>
      <rPr>
        <sz val="12"/>
        <rFont val="Times New Roman"/>
        <charset val="134"/>
      </rPr>
      <t>/</t>
    </r>
    <r>
      <rPr>
        <sz val="12"/>
        <rFont val="宋体"/>
        <charset val="134"/>
      </rPr>
      <t>净资产。总资产的计算口径为</t>
    </r>
    <r>
      <rPr>
        <sz val="12"/>
        <rFont val="Times New Roman"/>
        <charset val="134"/>
      </rPr>
      <t>“</t>
    </r>
    <r>
      <rPr>
        <sz val="12"/>
        <rFont val="宋体"/>
        <charset val="134"/>
      </rPr>
      <t>理财产品底层持仓信息表</t>
    </r>
    <r>
      <rPr>
        <sz val="12"/>
        <rFont val="Times New Roman"/>
        <charset val="134"/>
      </rPr>
      <t>”</t>
    </r>
    <r>
      <rPr>
        <sz val="12"/>
        <rFont val="宋体"/>
        <charset val="134"/>
      </rPr>
      <t>中</t>
    </r>
    <r>
      <rPr>
        <sz val="12"/>
        <rFont val="Times New Roman"/>
        <charset val="134"/>
      </rPr>
      <t>“</t>
    </r>
    <r>
      <rPr>
        <sz val="12"/>
        <rFont val="宋体"/>
        <charset val="134"/>
      </rPr>
      <t>资产</t>
    </r>
    <r>
      <rPr>
        <sz val="12"/>
        <rFont val="Times New Roman"/>
        <charset val="134"/>
      </rPr>
      <t>/</t>
    </r>
    <r>
      <rPr>
        <sz val="12"/>
        <rFont val="宋体"/>
        <charset val="134"/>
      </rPr>
      <t>负债类别（一级）</t>
    </r>
    <r>
      <rPr>
        <sz val="12"/>
        <rFont val="Times New Roman"/>
        <charset val="134"/>
      </rPr>
      <t>”</t>
    </r>
    <r>
      <rPr>
        <sz val="12"/>
        <rFont val="宋体"/>
        <charset val="134"/>
      </rPr>
      <t>的所有资产（包含现金）的</t>
    </r>
    <r>
      <rPr>
        <sz val="12"/>
        <rFont val="Times New Roman"/>
        <charset val="134"/>
      </rPr>
      <t>“</t>
    </r>
    <r>
      <rPr>
        <sz val="12"/>
        <rFont val="宋体"/>
        <charset val="134"/>
      </rPr>
      <t>理财产品持有底层资产折算人民币金额</t>
    </r>
    <r>
      <rPr>
        <sz val="12"/>
        <rFont val="Times New Roman"/>
        <charset val="134"/>
      </rPr>
      <t>”</t>
    </r>
    <r>
      <rPr>
        <sz val="12"/>
        <rFont val="宋体"/>
        <charset val="134"/>
      </rPr>
      <t>的加总；总负债的计算口径为</t>
    </r>
    <r>
      <rPr>
        <sz val="12"/>
        <rFont val="Times New Roman"/>
        <charset val="134"/>
      </rPr>
      <t>“</t>
    </r>
    <r>
      <rPr>
        <sz val="12"/>
        <rFont val="宋体"/>
        <charset val="134"/>
      </rPr>
      <t>理财产品底层持仓信息表</t>
    </r>
    <r>
      <rPr>
        <sz val="12"/>
        <rFont val="Times New Roman"/>
        <charset val="134"/>
      </rPr>
      <t>”</t>
    </r>
    <r>
      <rPr>
        <sz val="12"/>
        <rFont val="宋体"/>
        <charset val="134"/>
      </rPr>
      <t>中</t>
    </r>
    <r>
      <rPr>
        <sz val="12"/>
        <rFont val="Times New Roman"/>
        <charset val="134"/>
      </rPr>
      <t>“</t>
    </r>
    <r>
      <rPr>
        <sz val="12"/>
        <rFont val="宋体"/>
        <charset val="134"/>
      </rPr>
      <t>资产</t>
    </r>
    <r>
      <rPr>
        <sz val="12"/>
        <rFont val="Times New Roman"/>
        <charset val="134"/>
      </rPr>
      <t>/</t>
    </r>
    <r>
      <rPr>
        <sz val="12"/>
        <rFont val="宋体"/>
        <charset val="134"/>
      </rPr>
      <t>负债类别（一级）</t>
    </r>
    <r>
      <rPr>
        <sz val="12"/>
        <rFont val="Times New Roman"/>
        <charset val="134"/>
      </rPr>
      <t>”</t>
    </r>
    <r>
      <rPr>
        <sz val="12"/>
        <rFont val="宋体"/>
        <charset val="134"/>
      </rPr>
      <t>的所有负债的</t>
    </r>
    <r>
      <rPr>
        <sz val="12"/>
        <rFont val="Times New Roman"/>
        <charset val="134"/>
      </rPr>
      <t>“</t>
    </r>
    <r>
      <rPr>
        <sz val="12"/>
        <rFont val="宋体"/>
        <charset val="134"/>
      </rPr>
      <t>理财产品持有底层资产折算人民币金额</t>
    </r>
    <r>
      <rPr>
        <sz val="12"/>
        <rFont val="Times New Roman"/>
        <charset val="134"/>
      </rPr>
      <t>”</t>
    </r>
    <r>
      <rPr>
        <sz val="12"/>
        <rFont val="宋体"/>
        <charset val="134"/>
      </rPr>
      <t>的加总。若净资产为</t>
    </r>
    <r>
      <rPr>
        <sz val="12"/>
        <rFont val="Times New Roman"/>
        <charset val="134"/>
      </rPr>
      <t>0</t>
    </r>
    <r>
      <rPr>
        <sz val="12"/>
        <rFont val="宋体"/>
        <charset val="134"/>
      </rPr>
      <t>，则为空。</t>
    </r>
    <r>
      <rPr>
        <sz val="12"/>
        <rFont val="Times New Roman"/>
        <charset val="134"/>
      </rPr>
      <t xml:space="preserve">
</t>
    </r>
    <r>
      <rPr>
        <sz val="12"/>
        <rFont val="宋体"/>
        <charset val="134"/>
      </rPr>
      <t>由银行业理财登记托管中心系统自动计算生成，资产</t>
    </r>
    <r>
      <rPr>
        <sz val="12"/>
        <rFont val="Times New Roman"/>
        <charset val="134"/>
      </rPr>
      <t>/</t>
    </r>
    <r>
      <rPr>
        <sz val="12"/>
        <rFont val="宋体"/>
        <charset val="134"/>
      </rPr>
      <t>负债持仓的详细计算逻辑参见银行业理财登记托管中心登记系统中公布的</t>
    </r>
    <r>
      <rPr>
        <sz val="12"/>
        <rFont val="Times New Roman"/>
        <charset val="134"/>
      </rPr>
      <t>“</t>
    </r>
    <r>
      <rPr>
        <sz val="12"/>
        <rFont val="宋体"/>
        <charset val="134"/>
      </rPr>
      <t>理财产品持仓计算逻辑</t>
    </r>
    <r>
      <rPr>
        <sz val="12"/>
        <rFont val="Times New Roman"/>
        <charset val="134"/>
      </rPr>
      <t>”</t>
    </r>
    <r>
      <rPr>
        <sz val="12"/>
        <rFont val="宋体"/>
        <charset val="134"/>
      </rPr>
      <t>文档。</t>
    </r>
    <r>
      <rPr>
        <sz val="12"/>
        <rFont val="Times New Roman"/>
        <charset val="134"/>
      </rPr>
      <t xml:space="preserve">
</t>
    </r>
    <r>
      <rPr>
        <sz val="12"/>
        <rFont val="宋体"/>
        <charset val="134"/>
      </rPr>
      <t>因登记数据准确性、资产估值口径、持仓计算方法的不同，相关计算结果可能与机构内部实际结果存在一定偏差，仅供参考。</t>
    </r>
  </si>
  <si>
    <r>
      <rPr>
        <sz val="12"/>
        <rFont val="宋体"/>
        <charset val="134"/>
      </rPr>
      <t>理财产品杠杆率（机构报送）</t>
    </r>
  </si>
  <si>
    <t>LCCPGGLJG</t>
  </si>
  <si>
    <r>
      <rPr>
        <sz val="12"/>
        <rFont val="宋体"/>
        <charset val="134"/>
      </rPr>
      <t>由机构报送。计划于</t>
    </r>
    <r>
      <rPr>
        <sz val="12"/>
        <rFont val="Times New Roman"/>
        <charset val="134"/>
      </rPr>
      <t>2022</t>
    </r>
    <r>
      <rPr>
        <sz val="12"/>
        <rFont val="宋体"/>
        <charset val="134"/>
      </rPr>
      <t>年下半年提供相关数据，具体时间待定。</t>
    </r>
  </si>
  <si>
    <r>
      <rPr>
        <sz val="12"/>
        <rFont val="宋体"/>
        <charset val="134"/>
      </rPr>
      <t>理财产品总资产金额</t>
    </r>
  </si>
  <si>
    <t>LCCPZZCJE</t>
  </si>
  <si>
    <r>
      <rPr>
        <sz val="12"/>
        <rFont val="宋体"/>
        <charset val="134"/>
      </rPr>
      <t>为所在月末统计时点理财产品总资产持仓金额。总资产的计算口径为</t>
    </r>
    <r>
      <rPr>
        <sz val="12"/>
        <rFont val="Times New Roman"/>
        <charset val="134"/>
      </rPr>
      <t>“</t>
    </r>
    <r>
      <rPr>
        <sz val="12"/>
        <rFont val="宋体"/>
        <charset val="134"/>
      </rPr>
      <t>理财产品底层持仓信息表</t>
    </r>
    <r>
      <rPr>
        <sz val="12"/>
        <rFont val="Times New Roman"/>
        <charset val="134"/>
      </rPr>
      <t>”</t>
    </r>
    <r>
      <rPr>
        <sz val="12"/>
        <rFont val="宋体"/>
        <charset val="134"/>
      </rPr>
      <t>中</t>
    </r>
    <r>
      <rPr>
        <sz val="12"/>
        <rFont val="Times New Roman"/>
        <charset val="134"/>
      </rPr>
      <t>“</t>
    </r>
    <r>
      <rPr>
        <sz val="12"/>
        <rFont val="宋体"/>
        <charset val="134"/>
      </rPr>
      <t>资产</t>
    </r>
    <r>
      <rPr>
        <sz val="12"/>
        <rFont val="Times New Roman"/>
        <charset val="134"/>
      </rPr>
      <t>/</t>
    </r>
    <r>
      <rPr>
        <sz val="12"/>
        <rFont val="宋体"/>
        <charset val="134"/>
      </rPr>
      <t>负债类别（一级）</t>
    </r>
    <r>
      <rPr>
        <sz val="12"/>
        <rFont val="Times New Roman"/>
        <charset val="134"/>
      </rPr>
      <t>”</t>
    </r>
    <r>
      <rPr>
        <sz val="12"/>
        <rFont val="宋体"/>
        <charset val="134"/>
      </rPr>
      <t>的所有资产（包含现金）的</t>
    </r>
    <r>
      <rPr>
        <sz val="12"/>
        <rFont val="Times New Roman"/>
        <charset val="134"/>
      </rPr>
      <t>“</t>
    </r>
    <r>
      <rPr>
        <sz val="12"/>
        <rFont val="宋体"/>
        <charset val="134"/>
      </rPr>
      <t>理财产品持有底层资产折算人民币金额</t>
    </r>
    <r>
      <rPr>
        <sz val="12"/>
        <rFont val="Times New Roman"/>
        <charset val="134"/>
      </rPr>
      <t>”</t>
    </r>
    <r>
      <rPr>
        <sz val="12"/>
        <rFont val="宋体"/>
        <charset val="134"/>
      </rPr>
      <t>的加总。</t>
    </r>
    <r>
      <rPr>
        <sz val="12"/>
        <rFont val="Times New Roman"/>
        <charset val="134"/>
      </rPr>
      <t xml:space="preserve">
</t>
    </r>
    <r>
      <rPr>
        <sz val="12"/>
        <rFont val="宋体"/>
        <charset val="134"/>
      </rPr>
      <t>由银行业理财登记托管中心系统自动计算生成，资产持仓的详细计算逻辑参见银行业理财登记托管中心登记系统中公布的</t>
    </r>
    <r>
      <rPr>
        <sz val="12"/>
        <rFont val="Times New Roman"/>
        <charset val="134"/>
      </rPr>
      <t>“</t>
    </r>
    <r>
      <rPr>
        <sz val="12"/>
        <rFont val="宋体"/>
        <charset val="134"/>
      </rPr>
      <t>理财产品持仓计算逻辑</t>
    </r>
    <r>
      <rPr>
        <sz val="12"/>
        <rFont val="Times New Roman"/>
        <charset val="134"/>
      </rPr>
      <t>”</t>
    </r>
    <r>
      <rPr>
        <sz val="12"/>
        <rFont val="宋体"/>
        <charset val="134"/>
      </rPr>
      <t>文档。</t>
    </r>
    <r>
      <rPr>
        <sz val="12"/>
        <rFont val="Times New Roman"/>
        <charset val="134"/>
      </rPr>
      <t xml:space="preserve">
</t>
    </r>
    <r>
      <rPr>
        <sz val="12"/>
        <rFont val="宋体"/>
        <charset val="134"/>
      </rPr>
      <t>因登记数据准确性、资产估值口径、持仓计算方法的不同，相关计算结果可能与机构内部实际结果存在一定偏差，仅供参考。</t>
    </r>
    <r>
      <rPr>
        <sz val="12"/>
        <rFont val="Times New Roman"/>
        <charset val="134"/>
      </rPr>
      <t xml:space="preserve">
</t>
    </r>
    <r>
      <rPr>
        <sz val="12"/>
        <rFont val="宋体"/>
        <charset val="134"/>
      </rPr>
      <t>单位为人民币。</t>
    </r>
  </si>
  <si>
    <r>
      <rPr>
        <sz val="12"/>
        <rFont val="宋体"/>
        <charset val="134"/>
      </rPr>
      <t>理财产品总资产金额（机构报送）</t>
    </r>
  </si>
  <si>
    <t>LCCPZZCJEJG</t>
  </si>
  <si>
    <r>
      <rPr>
        <sz val="12"/>
        <rFont val="宋体"/>
        <charset val="134"/>
      </rPr>
      <t>所在月末统计时点所有资产持仓金额的加总。由机构报送。计划于</t>
    </r>
    <r>
      <rPr>
        <sz val="12"/>
        <rFont val="Times New Roman"/>
        <charset val="134"/>
      </rPr>
      <t>2022</t>
    </r>
    <r>
      <rPr>
        <sz val="12"/>
        <rFont val="宋体"/>
        <charset val="134"/>
      </rPr>
      <t>年下半年提供相关数据，具体时间待定。</t>
    </r>
    <r>
      <rPr>
        <sz val="12"/>
        <rFont val="Times New Roman"/>
        <charset val="134"/>
      </rPr>
      <t xml:space="preserve">
</t>
    </r>
    <r>
      <rPr>
        <sz val="12"/>
        <rFont val="宋体"/>
        <charset val="134"/>
      </rPr>
      <t>单位为人民币。</t>
    </r>
  </si>
  <si>
    <r>
      <rPr>
        <sz val="12"/>
        <rFont val="Times New Roman"/>
        <charset val="134"/>
      </rPr>
      <t>PK</t>
    </r>
    <r>
      <rPr>
        <sz val="12"/>
        <rFont val="宋体"/>
        <charset val="134"/>
      </rPr>
      <t>。采集日期指该期（批次）数据报送的期末日期，例如：按日采集的表，采集日期应为每日；按月采集的表，采集日期应为月末最后一天；以此类推。有特殊报送要求的，应以报送要求的截至日期为采集日期。同</t>
    </r>
    <r>
      <rPr>
        <sz val="12"/>
        <rFont val="Times New Roman"/>
        <charset val="134"/>
      </rPr>
      <t>2019</t>
    </r>
    <r>
      <rPr>
        <sz val="12"/>
        <rFont val="宋体"/>
        <charset val="134"/>
      </rPr>
      <t>版规范中产品统计日期。</t>
    </r>
  </si>
  <si>
    <r>
      <rPr>
        <sz val="12"/>
        <rFont val="宋体"/>
        <charset val="134"/>
      </rPr>
      <t>理财产品底层持仓信息表</t>
    </r>
  </si>
  <si>
    <r>
      <rPr>
        <sz val="12"/>
        <rFont val="宋体"/>
        <charset val="134"/>
      </rPr>
      <t>全量表，报送截止采集日有效的数据以及与上一采集日期间失效的数据。该表体现统计期末理财产品持有所有类别资产的相关信息，如资产</t>
    </r>
    <r>
      <rPr>
        <sz val="12"/>
        <rFont val="Times New Roman"/>
        <charset val="134"/>
      </rPr>
      <t>/</t>
    </r>
    <r>
      <rPr>
        <sz val="12"/>
        <rFont val="宋体"/>
        <charset val="134"/>
      </rPr>
      <t>负债分类、持仓金额、持仓份额等。</t>
    </r>
    <r>
      <rPr>
        <sz val="12"/>
        <rFont val="Times New Roman"/>
        <charset val="134"/>
      </rPr>
      <t xml:space="preserve">
</t>
    </r>
    <r>
      <rPr>
        <sz val="12"/>
        <rFont val="宋体"/>
        <charset val="134"/>
      </rPr>
      <t>包含银行及理财公司数据。</t>
    </r>
  </si>
  <si>
    <r>
      <rPr>
        <sz val="12"/>
        <rFont val="宋体"/>
        <charset val="134"/>
      </rPr>
      <t>删除年月、备注（旧）、产品</t>
    </r>
    <r>
      <rPr>
        <sz val="12"/>
        <rFont val="Times New Roman"/>
        <charset val="134"/>
      </rPr>
      <t>ID</t>
    </r>
  </si>
  <si>
    <r>
      <rPr>
        <sz val="12"/>
        <rFont val="宋体"/>
        <charset val="134"/>
      </rPr>
      <t>资产</t>
    </r>
    <r>
      <rPr>
        <sz val="12"/>
        <rFont val="Times New Roman"/>
        <charset val="134"/>
      </rPr>
      <t>ID</t>
    </r>
  </si>
  <si>
    <t>ZCID</t>
  </si>
  <si>
    <r>
      <rPr>
        <sz val="12"/>
        <rFont val="宋体"/>
        <charset val="134"/>
      </rPr>
      <t>直接或间接投资</t>
    </r>
  </si>
  <si>
    <t>ZJHJJTZ</t>
  </si>
  <si>
    <r>
      <rPr>
        <sz val="12"/>
        <rFont val="宋体"/>
        <charset val="134"/>
      </rPr>
      <t>通过</t>
    </r>
    <r>
      <rPr>
        <sz val="12"/>
        <rFont val="Times New Roman"/>
        <charset val="134"/>
      </rPr>
      <t>“</t>
    </r>
    <r>
      <rPr>
        <sz val="12"/>
        <rFont val="宋体"/>
        <charset val="134"/>
      </rPr>
      <t>资产管理产品</t>
    </r>
    <r>
      <rPr>
        <sz val="12"/>
        <rFont val="Times New Roman"/>
        <charset val="134"/>
      </rPr>
      <t>”</t>
    </r>
    <r>
      <rPr>
        <sz val="12"/>
        <rFont val="宋体"/>
        <charset val="134"/>
      </rPr>
      <t>、</t>
    </r>
    <r>
      <rPr>
        <sz val="12"/>
        <rFont val="Times New Roman"/>
        <charset val="134"/>
      </rPr>
      <t>“</t>
    </r>
    <r>
      <rPr>
        <sz val="12"/>
        <rFont val="宋体"/>
        <charset val="134"/>
      </rPr>
      <t>委外投资</t>
    </r>
    <r>
      <rPr>
        <sz val="12"/>
        <rFont val="Times New Roman"/>
        <charset val="134"/>
      </rPr>
      <t>——</t>
    </r>
    <r>
      <rPr>
        <sz val="12"/>
        <rFont val="宋体"/>
        <charset val="134"/>
      </rPr>
      <t>协议方式</t>
    </r>
    <r>
      <rPr>
        <sz val="12"/>
        <rFont val="Times New Roman"/>
        <charset val="134"/>
      </rPr>
      <t>”</t>
    </r>
    <r>
      <rPr>
        <sz val="12"/>
        <rFont val="宋体"/>
        <charset val="134"/>
      </rPr>
      <t>、</t>
    </r>
    <r>
      <rPr>
        <sz val="12"/>
        <rFont val="Times New Roman"/>
        <charset val="134"/>
      </rPr>
      <t>“</t>
    </r>
    <r>
      <rPr>
        <sz val="12"/>
        <rFont val="宋体"/>
        <charset val="134"/>
      </rPr>
      <t>私募基金</t>
    </r>
    <r>
      <rPr>
        <sz val="12"/>
        <rFont val="Times New Roman"/>
        <charset val="134"/>
      </rPr>
      <t>”</t>
    </r>
    <r>
      <rPr>
        <sz val="12"/>
        <rFont val="宋体"/>
        <charset val="134"/>
      </rPr>
      <t>投资的资产为</t>
    </r>
    <r>
      <rPr>
        <sz val="12"/>
        <rFont val="Times New Roman"/>
        <charset val="134"/>
      </rPr>
      <t>“</t>
    </r>
    <r>
      <rPr>
        <sz val="12"/>
        <rFont val="宋体"/>
        <charset val="134"/>
      </rPr>
      <t>间接</t>
    </r>
    <r>
      <rPr>
        <sz val="12"/>
        <rFont val="Times New Roman"/>
        <charset val="134"/>
      </rPr>
      <t>”</t>
    </r>
    <r>
      <rPr>
        <sz val="12"/>
        <rFont val="宋体"/>
        <charset val="134"/>
      </rPr>
      <t>，未通过</t>
    </r>
    <r>
      <rPr>
        <sz val="12"/>
        <rFont val="Times New Roman"/>
        <charset val="134"/>
      </rPr>
      <t>“</t>
    </r>
    <r>
      <rPr>
        <sz val="12"/>
        <rFont val="宋体"/>
        <charset val="134"/>
      </rPr>
      <t>资产管理产品</t>
    </r>
    <r>
      <rPr>
        <sz val="12"/>
        <rFont val="Times New Roman"/>
        <charset val="134"/>
      </rPr>
      <t>”</t>
    </r>
    <r>
      <rPr>
        <sz val="12"/>
        <rFont val="宋体"/>
        <charset val="134"/>
      </rPr>
      <t>、</t>
    </r>
    <r>
      <rPr>
        <sz val="12"/>
        <rFont val="Times New Roman"/>
        <charset val="134"/>
      </rPr>
      <t>“</t>
    </r>
    <r>
      <rPr>
        <sz val="12"/>
        <rFont val="宋体"/>
        <charset val="134"/>
      </rPr>
      <t>委外投资</t>
    </r>
    <r>
      <rPr>
        <sz val="12"/>
        <rFont val="Times New Roman"/>
        <charset val="134"/>
      </rPr>
      <t>——</t>
    </r>
    <r>
      <rPr>
        <sz val="12"/>
        <rFont val="宋体"/>
        <charset val="134"/>
      </rPr>
      <t>协议方式</t>
    </r>
    <r>
      <rPr>
        <sz val="12"/>
        <rFont val="Times New Roman"/>
        <charset val="134"/>
      </rPr>
      <t>”</t>
    </r>
    <r>
      <rPr>
        <sz val="12"/>
        <rFont val="宋体"/>
        <charset val="134"/>
      </rPr>
      <t>、</t>
    </r>
    <r>
      <rPr>
        <sz val="12"/>
        <rFont val="Times New Roman"/>
        <charset val="134"/>
      </rPr>
      <t>“</t>
    </r>
    <r>
      <rPr>
        <sz val="12"/>
        <rFont val="宋体"/>
        <charset val="134"/>
      </rPr>
      <t>私募基金</t>
    </r>
    <r>
      <rPr>
        <sz val="12"/>
        <rFont val="Times New Roman"/>
        <charset val="134"/>
      </rPr>
      <t>”</t>
    </r>
    <r>
      <rPr>
        <sz val="12"/>
        <rFont val="宋体"/>
        <charset val="134"/>
      </rPr>
      <t>投资的资产为</t>
    </r>
    <r>
      <rPr>
        <sz val="12"/>
        <rFont val="Times New Roman"/>
        <charset val="134"/>
      </rPr>
      <t>“</t>
    </r>
    <r>
      <rPr>
        <sz val="12"/>
        <rFont val="宋体"/>
        <charset val="134"/>
      </rPr>
      <t>直接</t>
    </r>
    <r>
      <rPr>
        <sz val="12"/>
        <rFont val="Times New Roman"/>
        <charset val="134"/>
      </rPr>
      <t>”</t>
    </r>
    <r>
      <rPr>
        <sz val="12"/>
        <rFont val="宋体"/>
        <charset val="134"/>
      </rPr>
      <t>。由理财中心系统自动计算生成。</t>
    </r>
  </si>
  <si>
    <r>
      <rPr>
        <sz val="12"/>
        <rFont val="宋体"/>
        <charset val="134"/>
      </rPr>
      <t>各层计划名称</t>
    </r>
  </si>
  <si>
    <t>GCJHMC</t>
  </si>
  <si>
    <r>
      <rPr>
        <sz val="12"/>
        <rFont val="宋体"/>
        <charset val="134"/>
      </rPr>
      <t>间接投资资产的中间层的名称，存在多层嵌套的以英文半角分号</t>
    </r>
    <r>
      <rPr>
        <sz val="12"/>
        <rFont val="Times New Roman"/>
        <charset val="134"/>
      </rPr>
      <t>”;”</t>
    </r>
    <r>
      <rPr>
        <sz val="12"/>
        <rFont val="宋体"/>
        <charset val="134"/>
      </rPr>
      <t>隔开，由理财中心系统自动计算生成，非发行机构直接填写内容。</t>
    </r>
  </si>
  <si>
    <r>
      <rPr>
        <sz val="12"/>
        <rFont val="宋体"/>
        <charset val="134"/>
      </rPr>
      <t>各层计划类型</t>
    </r>
  </si>
  <si>
    <t>GCJHLX</t>
  </si>
  <si>
    <r>
      <rPr>
        <sz val="12"/>
        <rFont val="宋体"/>
        <charset val="134"/>
      </rPr>
      <t>间接投资资产的中间层的类型，存在多层嵌套的以英文半角分号</t>
    </r>
    <r>
      <rPr>
        <sz val="12"/>
        <rFont val="Times New Roman"/>
        <charset val="134"/>
      </rPr>
      <t>”;”</t>
    </r>
    <r>
      <rPr>
        <sz val="12"/>
        <rFont val="宋体"/>
        <charset val="134"/>
      </rPr>
      <t>隔开，由理财中心系统自动计算生成，非发行机构直接填写内容。</t>
    </r>
  </si>
  <si>
    <r>
      <rPr>
        <sz val="12"/>
        <rFont val="宋体"/>
        <charset val="134"/>
      </rPr>
      <t>行内资产</t>
    </r>
    <r>
      <rPr>
        <sz val="12"/>
        <rFont val="Times New Roman"/>
        <charset val="134"/>
      </rPr>
      <t>/</t>
    </r>
    <r>
      <rPr>
        <sz val="12"/>
        <rFont val="宋体"/>
        <charset val="134"/>
      </rPr>
      <t>负债编码</t>
    </r>
  </si>
  <si>
    <t>HNZCFZBM</t>
  </si>
  <si>
    <r>
      <rPr>
        <sz val="12"/>
        <rFont val="Times New Roman"/>
        <charset val="134"/>
      </rPr>
      <t>PK</t>
    </r>
    <r>
      <rPr>
        <sz val="12"/>
        <rFont val="宋体"/>
        <charset val="134"/>
      </rPr>
      <t>。与底层资产相对应。银行理财产品所投资资产或负债在银行内部登记时被赋予的代码，该代码在银行内部应具有唯一性。</t>
    </r>
  </si>
  <si>
    <r>
      <rPr>
        <sz val="12"/>
        <rFont val="宋体"/>
        <charset val="134"/>
      </rPr>
      <t>资产负债登记编码</t>
    </r>
  </si>
  <si>
    <t>ZCFZDJBM</t>
  </si>
  <si>
    <r>
      <rPr>
        <sz val="12"/>
        <rFont val="宋体"/>
        <charset val="134"/>
      </rPr>
      <t>与底层资产相对应。由理财中心系统自动计算生成，非发行机构直接填写内容。</t>
    </r>
  </si>
  <si>
    <r>
      <rPr>
        <sz val="12"/>
        <rFont val="宋体"/>
        <charset val="134"/>
      </rPr>
      <t>与底层资产相对应。理财产品所投资资产或负债的货币种类。</t>
    </r>
  </si>
  <si>
    <r>
      <rPr>
        <sz val="12"/>
        <rFont val="宋体"/>
        <charset val="134"/>
      </rPr>
      <t>资产估值（净价）</t>
    </r>
  </si>
  <si>
    <t>ZCGZJJ</t>
  </si>
  <si>
    <r>
      <rPr>
        <sz val="12"/>
        <rFont val="宋体"/>
        <charset val="134"/>
      </rPr>
      <t>指该资产月末时的单位估值（净价），由机构报送。计划于</t>
    </r>
    <r>
      <rPr>
        <sz val="12"/>
        <rFont val="Times New Roman"/>
        <charset val="134"/>
      </rPr>
      <t>2022</t>
    </r>
    <r>
      <rPr>
        <sz val="12"/>
        <rFont val="宋体"/>
        <charset val="134"/>
      </rPr>
      <t>年下半年提供相关数据，具体时间待定。</t>
    </r>
  </si>
  <si>
    <r>
      <rPr>
        <sz val="12"/>
        <rFont val="宋体"/>
        <charset val="134"/>
      </rPr>
      <t>资产估值（全价）</t>
    </r>
  </si>
  <si>
    <t>ZCGZQJ</t>
  </si>
  <si>
    <r>
      <rPr>
        <sz val="12"/>
        <rFont val="宋体"/>
        <charset val="134"/>
      </rPr>
      <t>指该资产月末时的单位估值（全价），由机构报送。计划于</t>
    </r>
    <r>
      <rPr>
        <sz val="12"/>
        <rFont val="Times New Roman"/>
        <charset val="134"/>
      </rPr>
      <t>2022</t>
    </r>
    <r>
      <rPr>
        <sz val="12"/>
        <rFont val="宋体"/>
        <charset val="134"/>
      </rPr>
      <t>年下半年提供相关数据，具体时间待定。</t>
    </r>
  </si>
  <si>
    <r>
      <rPr>
        <sz val="12"/>
        <rFont val="宋体"/>
        <charset val="134"/>
      </rPr>
      <t>资产</t>
    </r>
    <r>
      <rPr>
        <sz val="12"/>
        <rFont val="Times New Roman"/>
        <charset val="134"/>
      </rPr>
      <t>/</t>
    </r>
    <r>
      <rPr>
        <sz val="12"/>
        <rFont val="宋体"/>
        <charset val="134"/>
      </rPr>
      <t>负债类别（一级）</t>
    </r>
  </si>
  <si>
    <t>ZCFZLBYJ</t>
  </si>
  <si>
    <r>
      <rPr>
        <sz val="12"/>
        <rFont val="宋体"/>
        <charset val="134"/>
      </rPr>
      <t>与底层资产相对应，为产品发行机构在理财登记系统中根据预设值域所选择资产类别。由银行业理财登记托管中心系统根据发行机构登记的资产信息提取。</t>
    </r>
  </si>
  <si>
    <r>
      <rPr>
        <sz val="12"/>
        <rFont val="宋体"/>
        <charset val="134"/>
      </rPr>
      <t>资产</t>
    </r>
    <r>
      <rPr>
        <sz val="12"/>
        <rFont val="Times New Roman"/>
        <charset val="134"/>
      </rPr>
      <t>/</t>
    </r>
    <r>
      <rPr>
        <sz val="12"/>
        <rFont val="宋体"/>
        <charset val="134"/>
      </rPr>
      <t>负债类别（二级）</t>
    </r>
  </si>
  <si>
    <t>ZCFZLBEJ</t>
  </si>
  <si>
    <r>
      <rPr>
        <sz val="12"/>
        <rFont val="宋体"/>
        <charset val="134"/>
      </rPr>
      <t>与底层资产相对应，为产品发行机构在理财登记系统中根据预设值域所选择资产类别（现金及活期存款类资产除外）。由银行业理财登记托管中心系统根据发行机构登记的资产信息提取。</t>
    </r>
  </si>
  <si>
    <t>ZCMC</t>
  </si>
  <si>
    <r>
      <rPr>
        <sz val="12"/>
        <rFont val="宋体"/>
        <charset val="134"/>
      </rPr>
      <t>与底层资产相对应。</t>
    </r>
  </si>
  <si>
    <r>
      <rPr>
        <sz val="12"/>
        <rFont val="宋体"/>
        <charset val="134"/>
      </rPr>
      <t>代码</t>
    </r>
  </si>
  <si>
    <t>DM</t>
  </si>
  <si>
    <r>
      <rPr>
        <sz val="12"/>
        <rFont val="宋体"/>
        <charset val="134"/>
      </rPr>
      <t>与底层资产相对应，指债券、公募基金类资产在公开市场上统一的代码。</t>
    </r>
  </si>
  <si>
    <r>
      <rPr>
        <sz val="12"/>
        <rFont val="宋体"/>
        <charset val="134"/>
      </rPr>
      <t>行业</t>
    </r>
  </si>
  <si>
    <t>HY</t>
  </si>
  <si>
    <r>
      <rPr>
        <sz val="12"/>
        <rFont val="宋体"/>
        <charset val="134"/>
      </rPr>
      <t>与底层资产相对应。由理财中心根据发行机构填写的融资人行业数据综合生成。</t>
    </r>
  </si>
  <si>
    <r>
      <rPr>
        <sz val="12"/>
        <rFont val="宋体"/>
        <charset val="134"/>
      </rPr>
      <t>交易流通场所</t>
    </r>
  </si>
  <si>
    <t>JYLTCS</t>
  </si>
  <si>
    <r>
      <rPr>
        <sz val="12"/>
        <rFont val="宋体"/>
        <charset val="134"/>
      </rPr>
      <t>与底层资产相对应。指各类资产进行各项交易的市场。</t>
    </r>
  </si>
  <si>
    <r>
      <rPr>
        <sz val="12"/>
        <rFont val="宋体"/>
        <charset val="134"/>
      </rPr>
      <t>利率</t>
    </r>
    <r>
      <rPr>
        <sz val="12"/>
        <rFont val="Times New Roman"/>
        <charset val="134"/>
      </rPr>
      <t>/</t>
    </r>
    <r>
      <rPr>
        <sz val="12"/>
        <rFont val="宋体"/>
        <charset val="134"/>
      </rPr>
      <t>收益率</t>
    </r>
  </si>
  <si>
    <t>LLSYL</t>
  </si>
  <si>
    <r>
      <rPr>
        <sz val="12"/>
        <rFont val="宋体"/>
        <charset val="134"/>
      </rPr>
      <t>与底层资产相对应。填写年化数据。</t>
    </r>
  </si>
  <si>
    <r>
      <rPr>
        <sz val="12"/>
        <rFont val="宋体"/>
        <charset val="134"/>
      </rPr>
      <t>剩余期限</t>
    </r>
  </si>
  <si>
    <t>SYQX</t>
  </si>
  <si>
    <r>
      <rPr>
        <sz val="12"/>
        <rFont val="宋体"/>
        <charset val="134"/>
      </rPr>
      <t>与底层资产相对应。资产登记的到期日</t>
    </r>
    <r>
      <rPr>
        <sz val="12"/>
        <rFont val="Times New Roman"/>
        <charset val="134"/>
      </rPr>
      <t>-</t>
    </r>
    <r>
      <rPr>
        <sz val="12"/>
        <rFont val="宋体"/>
        <charset val="134"/>
      </rPr>
      <t>统计日。若未登记到期日，则为空。</t>
    </r>
    <r>
      <rPr>
        <sz val="12"/>
        <rFont val="Times New Roman"/>
        <charset val="134"/>
      </rPr>
      <t xml:space="preserve">
</t>
    </r>
    <r>
      <rPr>
        <sz val="12"/>
        <rFont val="宋体"/>
        <charset val="134"/>
      </rPr>
      <t>由银行业理财登记托管中心系统自动计算生成。</t>
    </r>
  </si>
  <si>
    <r>
      <rPr>
        <sz val="12"/>
        <rFont val="宋体"/>
        <charset val="134"/>
      </rPr>
      <t>资产评级</t>
    </r>
  </si>
  <si>
    <t>ZCPJ</t>
  </si>
  <si>
    <r>
      <rPr>
        <sz val="12"/>
        <rFont val="宋体"/>
        <charset val="134"/>
      </rPr>
      <t>与底层资产相对应。由银行业理财登记托管中心根据发行机构登记的资产信息提取。</t>
    </r>
  </si>
  <si>
    <r>
      <rPr>
        <sz val="12"/>
        <rFont val="宋体"/>
        <charset val="134"/>
      </rPr>
      <t>资产类型细分</t>
    </r>
  </si>
  <si>
    <t>ZCLXXF</t>
  </si>
  <si>
    <r>
      <rPr>
        <sz val="12"/>
        <rFont val="宋体"/>
        <charset val="134"/>
      </rPr>
      <t>与底层资产相对应，由银行业理财登记托管中心系统根据发行机构登记的资产信息提取。</t>
    </r>
  </si>
  <si>
    <r>
      <rPr>
        <sz val="12"/>
        <rFont val="宋体"/>
        <charset val="134"/>
      </rPr>
      <t>理财产品持有底层资产折算人民币金额</t>
    </r>
  </si>
  <si>
    <t>LCCPCYDCZCZSRMBJE</t>
  </si>
  <si>
    <r>
      <rPr>
        <sz val="12"/>
        <rFont val="宋体"/>
        <charset val="134"/>
      </rPr>
      <t>所在月末统计时点的资产持仓余额。</t>
    </r>
    <r>
      <rPr>
        <sz val="12"/>
        <rFont val="Times New Roman"/>
        <charset val="134"/>
      </rPr>
      <t xml:space="preserve">
</t>
    </r>
    <r>
      <rPr>
        <sz val="12"/>
        <rFont val="宋体"/>
        <charset val="134"/>
      </rPr>
      <t>对于直接投资的资产，为根据银行历史登记的每笔交易信息按</t>
    </r>
    <r>
      <rPr>
        <sz val="12"/>
        <rFont val="Times New Roman"/>
        <charset val="134"/>
      </rPr>
      <t>“</t>
    </r>
    <r>
      <rPr>
        <sz val="12"/>
        <rFont val="宋体"/>
        <charset val="134"/>
      </rPr>
      <t>历史平均成本法</t>
    </r>
    <r>
      <rPr>
        <sz val="12"/>
        <rFont val="Times New Roman"/>
        <charset val="134"/>
      </rPr>
      <t>”</t>
    </r>
    <r>
      <rPr>
        <sz val="12"/>
        <rFont val="宋体"/>
        <charset val="134"/>
      </rPr>
      <t>计算得到的金额。对于间接投资的资产，为根据银行按月报送的</t>
    </r>
    <r>
      <rPr>
        <sz val="12"/>
        <rFont val="Times New Roman"/>
        <charset val="134"/>
      </rPr>
      <t>“</t>
    </r>
    <r>
      <rPr>
        <sz val="12"/>
        <rFont val="宋体"/>
        <charset val="134"/>
      </rPr>
      <t>底层资产</t>
    </r>
    <r>
      <rPr>
        <sz val="12"/>
        <rFont val="Times New Roman"/>
        <charset val="134"/>
      </rPr>
      <t>/</t>
    </r>
    <r>
      <rPr>
        <sz val="12"/>
        <rFont val="宋体"/>
        <charset val="134"/>
      </rPr>
      <t>负债信息</t>
    </r>
    <r>
      <rPr>
        <sz val="12"/>
        <rFont val="Times New Roman"/>
        <charset val="134"/>
      </rPr>
      <t>”</t>
    </r>
    <r>
      <rPr>
        <sz val="12"/>
        <rFont val="宋体"/>
        <charset val="134"/>
      </rPr>
      <t>情况计算得到的金额。</t>
    </r>
    <r>
      <rPr>
        <sz val="12"/>
        <rFont val="Times New Roman"/>
        <charset val="134"/>
      </rPr>
      <t xml:space="preserve">
</t>
    </r>
    <r>
      <rPr>
        <sz val="12"/>
        <rFont val="宋体"/>
        <charset val="134"/>
      </rPr>
      <t>由银行业理财登记托管中心系统自动计算生成，详细计算逻辑参见银行业理财登记托管中心登记系统中公布的</t>
    </r>
    <r>
      <rPr>
        <sz val="12"/>
        <rFont val="Times New Roman"/>
        <charset val="134"/>
      </rPr>
      <t>“</t>
    </r>
    <r>
      <rPr>
        <sz val="12"/>
        <rFont val="宋体"/>
        <charset val="134"/>
      </rPr>
      <t>理财产品持仓计算逻辑</t>
    </r>
    <r>
      <rPr>
        <sz val="12"/>
        <rFont val="Times New Roman"/>
        <charset val="134"/>
      </rPr>
      <t>”</t>
    </r>
    <r>
      <rPr>
        <sz val="12"/>
        <rFont val="宋体"/>
        <charset val="134"/>
      </rPr>
      <t>文档。</t>
    </r>
    <r>
      <rPr>
        <sz val="12"/>
        <rFont val="Times New Roman"/>
        <charset val="134"/>
      </rPr>
      <t xml:space="preserve">
</t>
    </r>
    <r>
      <rPr>
        <sz val="12"/>
        <rFont val="宋体"/>
        <charset val="134"/>
      </rPr>
      <t>因登记数据准确性、资产估值口径、持仓计算方法的不同，相关持仓计算结果可能与机构内部实际资产持仓结果存在一定偏差，且并不能代表持有资产的公允价值，仅供参考。</t>
    </r>
    <r>
      <rPr>
        <sz val="12"/>
        <rFont val="Times New Roman"/>
        <charset val="134"/>
      </rPr>
      <t xml:space="preserve">
</t>
    </r>
    <r>
      <rPr>
        <sz val="12"/>
        <rFont val="宋体"/>
        <charset val="134"/>
      </rPr>
      <t>单位为人民币。</t>
    </r>
  </si>
  <si>
    <r>
      <rPr>
        <sz val="12"/>
        <rFont val="宋体"/>
        <charset val="134"/>
      </rPr>
      <t>数据元说明、备注、数据元</t>
    </r>
  </si>
  <si>
    <r>
      <rPr>
        <sz val="12"/>
        <rFont val="宋体"/>
        <charset val="134"/>
      </rPr>
      <t>理财产品持有底层资产折算人民币金额（机构报送）</t>
    </r>
  </si>
  <si>
    <t>LCCPCYDCZCZSRMBJEJG</t>
  </si>
  <si>
    <r>
      <rPr>
        <sz val="12"/>
        <rFont val="宋体"/>
        <charset val="134"/>
      </rPr>
      <t>每月底层资产持仓余额。由机构报送。单位为人民币。计划于</t>
    </r>
    <r>
      <rPr>
        <sz val="12"/>
        <rFont val="Times New Roman"/>
        <charset val="134"/>
      </rPr>
      <t>2022</t>
    </r>
    <r>
      <rPr>
        <sz val="12"/>
        <rFont val="宋体"/>
        <charset val="134"/>
      </rPr>
      <t>年下半年提供相关数据，具体时间待定。</t>
    </r>
  </si>
  <si>
    <r>
      <rPr>
        <sz val="12"/>
        <rFont val="宋体"/>
        <charset val="134"/>
      </rPr>
      <t>理财产品持有底层资产份额</t>
    </r>
  </si>
  <si>
    <t>LCCPCYDCZCFE</t>
  </si>
  <si>
    <r>
      <rPr>
        <sz val="12"/>
        <rFont val="宋体"/>
        <charset val="134"/>
      </rPr>
      <t>所在月末统计时点的资产持仓数量。</t>
    </r>
    <r>
      <rPr>
        <sz val="12"/>
        <rFont val="Times New Roman"/>
        <charset val="134"/>
      </rPr>
      <t xml:space="preserve">
</t>
    </r>
    <r>
      <rPr>
        <sz val="12"/>
        <rFont val="宋体"/>
        <charset val="134"/>
      </rPr>
      <t>由银行业理财登记托管中心系统自动计算生成，详细计算逻辑参见银行业理财登记托管中心登记系统中公布的</t>
    </r>
    <r>
      <rPr>
        <sz val="12"/>
        <rFont val="Times New Roman"/>
        <charset val="134"/>
      </rPr>
      <t>“</t>
    </r>
    <r>
      <rPr>
        <sz val="12"/>
        <rFont val="宋体"/>
        <charset val="134"/>
      </rPr>
      <t>理财产品持仓计算逻辑</t>
    </r>
    <r>
      <rPr>
        <sz val="12"/>
        <rFont val="Times New Roman"/>
        <charset val="134"/>
      </rPr>
      <t>”</t>
    </r>
    <r>
      <rPr>
        <sz val="12"/>
        <rFont val="宋体"/>
        <charset val="134"/>
      </rPr>
      <t>文档。</t>
    </r>
    <r>
      <rPr>
        <sz val="12"/>
        <rFont val="Times New Roman"/>
        <charset val="134"/>
      </rPr>
      <t xml:space="preserve">
</t>
    </r>
    <r>
      <rPr>
        <sz val="12"/>
        <rFont val="宋体"/>
        <charset val="134"/>
      </rPr>
      <t>因登记数据准确性、持仓计算方法的不同，相关持仓计算结果可能与机构内部实际资产持仓结果存在一定偏差，仅供参考。</t>
    </r>
  </si>
  <si>
    <r>
      <rPr>
        <sz val="12"/>
        <rFont val="宋体"/>
        <charset val="134"/>
      </rPr>
      <t>理财产品持有底层资产份额（机构报送）</t>
    </r>
  </si>
  <si>
    <t>LCCPCYDCZCFEJG</t>
  </si>
  <si>
    <r>
      <rPr>
        <sz val="12"/>
        <rFont val="宋体"/>
        <charset val="134"/>
      </rPr>
      <t>每月底层资产持仓份额。由机构报送。计划于</t>
    </r>
    <r>
      <rPr>
        <sz val="12"/>
        <rFont val="Times New Roman"/>
        <charset val="134"/>
      </rPr>
      <t>2022</t>
    </r>
    <r>
      <rPr>
        <sz val="12"/>
        <rFont val="宋体"/>
        <charset val="134"/>
      </rPr>
      <t>年下半年提供相关数据，具体时间待定。</t>
    </r>
  </si>
  <si>
    <r>
      <rPr>
        <sz val="12"/>
        <rFont val="宋体"/>
        <charset val="134"/>
      </rPr>
      <t>非标资产明细信息表</t>
    </r>
  </si>
  <si>
    <r>
      <rPr>
        <sz val="12"/>
        <rFont val="宋体"/>
        <charset val="134"/>
      </rPr>
      <t>全量表，报送截止采集日有效的数据以及与上一采集日期间失效的数据。该表体现统计期末理财产品持有的非标准化债权类资产（目前包含信托贷款、委托贷款、信贷资产转让、收</t>
    </r>
    <r>
      <rPr>
        <sz val="12"/>
        <rFont val="Times New Roman"/>
        <charset val="134"/>
      </rPr>
      <t>/</t>
    </r>
    <r>
      <rPr>
        <sz val="12"/>
        <rFont val="宋体"/>
        <charset val="134"/>
      </rPr>
      <t>受益权、委托债权、应收账款、带回购条款的股权性融资、债券融资类产品）明细信息。</t>
    </r>
    <r>
      <rPr>
        <sz val="12"/>
        <rFont val="Times New Roman"/>
        <charset val="134"/>
      </rPr>
      <t xml:space="preserve">
</t>
    </r>
    <r>
      <rPr>
        <sz val="12"/>
        <rFont val="宋体"/>
        <charset val="134"/>
      </rPr>
      <t>包含银行及理财公司数据。</t>
    </r>
  </si>
  <si>
    <r>
      <rPr>
        <sz val="12"/>
        <rFont val="宋体"/>
        <charset val="134"/>
      </rPr>
      <t>删除年份、月份、是否有预期收益率、外部评级机构名称及对融资人评级结果</t>
    </r>
  </si>
  <si>
    <r>
      <rPr>
        <sz val="12"/>
        <rFont val="宋体"/>
        <charset val="134"/>
      </rPr>
      <t>理财产品所投资资产或负债的货币种类。</t>
    </r>
  </si>
  <si>
    <t>SSYQLX</t>
  </si>
  <si>
    <r>
      <rPr>
        <sz val="12"/>
        <rFont val="宋体"/>
        <charset val="134"/>
      </rPr>
      <t>收</t>
    </r>
    <r>
      <rPr>
        <sz val="12"/>
        <rFont val="Times New Roman"/>
        <charset val="134"/>
      </rPr>
      <t>/</t>
    </r>
    <r>
      <rPr>
        <sz val="12"/>
        <rFont val="宋体"/>
        <charset val="134"/>
      </rPr>
      <t>受益权标的所对应的类别。</t>
    </r>
  </si>
  <si>
    <r>
      <rPr>
        <sz val="12"/>
        <rFont val="宋体"/>
        <charset val="134"/>
      </rPr>
      <t>是否属于买入返售</t>
    </r>
  </si>
  <si>
    <t>SFSYMRFS</t>
  </si>
  <si>
    <t>MC</t>
  </si>
  <si>
    <r>
      <rPr>
        <sz val="12"/>
        <rFont val="宋体"/>
        <charset val="134"/>
      </rPr>
      <t>非标准化债权类资产的全称。</t>
    </r>
  </si>
  <si>
    <r>
      <rPr>
        <sz val="12"/>
        <rFont val="宋体"/>
        <charset val="134"/>
      </rPr>
      <t>非标资产开始计算利息的日期。</t>
    </r>
  </si>
  <si>
    <r>
      <rPr>
        <sz val="12"/>
        <rFont val="宋体"/>
        <charset val="134"/>
      </rPr>
      <t>非标资产停止计算利息的日期。</t>
    </r>
  </si>
  <si>
    <r>
      <rPr>
        <sz val="12"/>
        <rFont val="宋体"/>
        <charset val="134"/>
      </rPr>
      <t>法定到期日期</t>
    </r>
  </si>
  <si>
    <t>FDDQRQ</t>
  </si>
  <si>
    <r>
      <rPr>
        <sz val="12"/>
        <rFont val="宋体"/>
        <charset val="134"/>
      </rPr>
      <t>预期到期日之后的诉讼期结束，处置资产的清算日期。</t>
    </r>
  </si>
  <si>
    <r>
      <rPr>
        <sz val="12"/>
        <rFont val="宋体"/>
        <charset val="134"/>
      </rPr>
      <t>备注删去</t>
    </r>
    <r>
      <rPr>
        <sz val="12"/>
        <rFont val="Times New Roman"/>
        <charset val="134"/>
      </rPr>
      <t>“</t>
    </r>
    <r>
      <rPr>
        <sz val="12"/>
        <rFont val="宋体"/>
        <charset val="134"/>
      </rPr>
      <t>相关信息自</t>
    </r>
    <r>
      <rPr>
        <sz val="12"/>
        <rFont val="Times New Roman"/>
        <charset val="134"/>
      </rPr>
      <t>2020</t>
    </r>
    <r>
      <rPr>
        <sz val="12"/>
        <rFont val="宋体"/>
        <charset val="134"/>
      </rPr>
      <t>年</t>
    </r>
    <r>
      <rPr>
        <sz val="12"/>
        <rFont val="Times New Roman"/>
        <charset val="134"/>
      </rPr>
      <t>6</t>
    </r>
    <r>
      <rPr>
        <sz val="12"/>
        <rFont val="宋体"/>
        <charset val="134"/>
      </rPr>
      <t>月提供</t>
    </r>
    <r>
      <rPr>
        <sz val="12"/>
        <rFont val="Times New Roman"/>
        <charset val="134"/>
      </rPr>
      <t>”</t>
    </r>
  </si>
  <si>
    <r>
      <rPr>
        <sz val="12"/>
        <rFont val="宋体"/>
        <charset val="134"/>
      </rPr>
      <t>份额面值</t>
    </r>
  </si>
  <si>
    <t>FEMZ</t>
  </si>
  <si>
    <r>
      <rPr>
        <sz val="12"/>
        <rFont val="宋体"/>
        <charset val="134"/>
      </rPr>
      <t>单位份额的金额。</t>
    </r>
  </si>
  <si>
    <t>JXLX</t>
  </si>
  <si>
    <r>
      <rPr>
        <sz val="12"/>
        <rFont val="宋体"/>
        <charset val="134"/>
      </rPr>
      <t>约定的计算并支付利息的方式。</t>
    </r>
  </si>
  <si>
    <r>
      <rPr>
        <sz val="12"/>
        <rFont val="宋体"/>
        <charset val="134"/>
      </rPr>
      <t>付息频率（个月</t>
    </r>
    <r>
      <rPr>
        <sz val="12"/>
        <rFont val="Times New Roman"/>
        <charset val="134"/>
      </rPr>
      <t>/</t>
    </r>
    <r>
      <rPr>
        <sz val="12"/>
        <rFont val="宋体"/>
        <charset val="134"/>
      </rPr>
      <t>次）</t>
    </r>
  </si>
  <si>
    <t>FXPL</t>
  </si>
  <si>
    <r>
      <rPr>
        <sz val="12"/>
        <rFont val="宋体"/>
        <charset val="134"/>
      </rPr>
      <t>支付利息的频率（以月为单位）。</t>
    </r>
  </si>
  <si>
    <r>
      <rPr>
        <sz val="12"/>
        <rFont val="宋体"/>
        <charset val="134"/>
      </rPr>
      <t>还本付息情况说明</t>
    </r>
  </si>
  <si>
    <t>HBFXQKSM</t>
  </si>
  <si>
    <r>
      <rPr>
        <sz val="12"/>
        <rFont val="宋体"/>
        <charset val="134"/>
      </rPr>
      <t>对非标资产项目还本付息情况的详细说明，尤其是针对收益率不固定、还本付息频率不规则等情况。</t>
    </r>
  </si>
  <si>
    <t>JXJC</t>
  </si>
  <si>
    <r>
      <rPr>
        <sz val="12"/>
        <rFont val="宋体"/>
        <charset val="134"/>
      </rPr>
      <t>以年为单位，实际计算利息的天数。</t>
    </r>
  </si>
  <si>
    <r>
      <rPr>
        <sz val="12"/>
        <rFont val="宋体"/>
        <charset val="134"/>
      </rPr>
      <t>规则付息标识</t>
    </r>
  </si>
  <si>
    <t>GZFXBZ</t>
  </si>
  <si>
    <r>
      <rPr>
        <sz val="12"/>
        <rFont val="宋体"/>
        <charset val="134"/>
      </rPr>
      <t>标识付息周期是否规律。</t>
    </r>
  </si>
  <si>
    <t>LXFBFS</t>
  </si>
  <si>
    <r>
      <rPr>
        <sz val="12"/>
        <rFont val="宋体"/>
        <charset val="134"/>
      </rPr>
      <t>利息分布方式代码标识付息周期小于</t>
    </r>
    <r>
      <rPr>
        <sz val="12"/>
        <rFont val="Times New Roman"/>
        <charset val="134"/>
      </rPr>
      <t>12</t>
    </r>
    <r>
      <rPr>
        <sz val="12"/>
        <rFont val="宋体"/>
        <charset val="134"/>
      </rPr>
      <t>个月的附息式固定利率、附息式浮动利率资产的利息分配方式，全年利息按照付息频率在各计息期间平均分配或按照各计息期的实际天数计算和分配。</t>
    </r>
  </si>
  <si>
    <t>JZLLZL</t>
  </si>
  <si>
    <r>
      <rPr>
        <sz val="12"/>
        <rFont val="宋体"/>
        <charset val="134"/>
      </rPr>
      <t>浮动收益类资产所参考的利率类型。</t>
    </r>
  </si>
  <si>
    <r>
      <rPr>
        <sz val="12"/>
        <rFont val="宋体"/>
        <charset val="134"/>
      </rPr>
      <t>是否有浮动因子</t>
    </r>
  </si>
  <si>
    <t>SFYFDYZ</t>
  </si>
  <si>
    <r>
      <rPr>
        <sz val="12"/>
        <rFont val="宋体"/>
        <charset val="134"/>
      </rPr>
      <t>浮动因子</t>
    </r>
  </si>
  <si>
    <t>FDYZ</t>
  </si>
  <si>
    <r>
      <rPr>
        <sz val="12"/>
        <rFont val="宋体"/>
        <charset val="134"/>
      </rPr>
      <t>项目收益率在基准利率基础上上浮或下浮的比率。</t>
    </r>
  </si>
  <si>
    <t>JGDC</t>
  </si>
  <si>
    <r>
      <rPr>
        <sz val="12"/>
        <rFont val="宋体"/>
        <charset val="134"/>
      </rPr>
      <t>资产在资产包现金流分配机制中的现金偿还次序，相同结构档次的债权类资产具有相同的收益分配顺序。</t>
    </r>
  </si>
  <si>
    <t>HBFS</t>
  </si>
  <si>
    <r>
      <rPr>
        <sz val="12"/>
        <rFont val="宋体"/>
        <charset val="134"/>
      </rPr>
      <t>标识证券化资产约定的还本方式，根据基础资产现金流回收情况过手摊还，或是根据固定的摊还计划还本。</t>
    </r>
  </si>
  <si>
    <t>FQHBTKBZ</t>
  </si>
  <si>
    <r>
      <rPr>
        <sz val="12"/>
        <rFont val="宋体"/>
        <charset val="134"/>
      </rPr>
      <t>是否约定了分期还本条款。</t>
    </r>
  </si>
  <si>
    <r>
      <rPr>
        <sz val="12"/>
        <rFont val="宋体"/>
        <charset val="134"/>
      </rPr>
      <t>资产包所包含基础资产的种类。</t>
    </r>
  </si>
  <si>
    <r>
      <rPr>
        <sz val="12"/>
        <rFont val="宋体"/>
        <charset val="134"/>
      </rPr>
      <t>超额收益分配比例</t>
    </r>
  </si>
  <si>
    <t>CESYFPBL</t>
  </si>
  <si>
    <r>
      <rPr>
        <sz val="12"/>
        <rFont val="宋体"/>
        <charset val="134"/>
      </rPr>
      <t>根据现金流分配机制，基础资产回收款完成各分级、各分档本金和收益分配后的超额收益分配部分，在各分级、各分档的分配比例。</t>
    </r>
  </si>
  <si>
    <r>
      <rPr>
        <sz val="12"/>
        <rFont val="宋体"/>
        <charset val="134"/>
      </rPr>
      <t>利差</t>
    </r>
  </si>
  <si>
    <t>LC</t>
  </si>
  <si>
    <r>
      <rPr>
        <sz val="12"/>
        <rFont val="宋体"/>
        <charset val="134"/>
      </rPr>
      <t>项目收益率与基准利率的差值。</t>
    </r>
  </si>
  <si>
    <r>
      <rPr>
        <sz val="12"/>
        <rFont val="宋体"/>
        <charset val="134"/>
      </rPr>
      <t>项目收益率</t>
    </r>
  </si>
  <si>
    <t>XMSYL</t>
  </si>
  <si>
    <r>
      <rPr>
        <sz val="12"/>
        <rFont val="宋体"/>
        <charset val="134"/>
      </rPr>
      <t>非标资产项目发行时合同标明的原始年化收益率。</t>
    </r>
  </si>
  <si>
    <r>
      <rPr>
        <sz val="12"/>
        <rFont val="宋体"/>
        <charset val="134"/>
      </rPr>
      <t>融资人</t>
    </r>
  </si>
  <si>
    <t>RZR</t>
  </si>
  <si>
    <r>
      <rPr>
        <sz val="12"/>
        <rFont val="宋体"/>
        <charset val="134"/>
      </rPr>
      <t>非标资产项目的实际融资方，即债务人。</t>
    </r>
  </si>
  <si>
    <r>
      <rPr>
        <sz val="12"/>
        <rFont val="宋体"/>
        <charset val="134"/>
      </rPr>
      <t>融资人统一社会信用代码</t>
    </r>
  </si>
  <si>
    <t>RZRTYSHXYDM</t>
  </si>
  <si>
    <r>
      <rPr>
        <sz val="12"/>
        <rFont val="宋体"/>
        <charset val="134"/>
      </rPr>
      <t>融资人统一社会信用代码，未登记统一社会信用代码的，填组织机构代码。</t>
    </r>
  </si>
  <si>
    <r>
      <rPr>
        <sz val="12"/>
        <rFont val="宋体"/>
        <charset val="134"/>
      </rPr>
      <t>融资人内部评级</t>
    </r>
  </si>
  <si>
    <t>RZRNBPJ</t>
  </si>
  <si>
    <r>
      <rPr>
        <sz val="12"/>
        <rFont val="宋体"/>
        <charset val="134"/>
      </rPr>
      <t>理财产品发行机构内部对融资人如期足额偿还债务本息的能力和意愿的评价。</t>
    </r>
  </si>
  <si>
    <r>
      <rPr>
        <sz val="12"/>
        <rFont val="宋体"/>
        <charset val="134"/>
      </rPr>
      <t>数据项名称、数据项代码代码、数据元说明</t>
    </r>
  </si>
  <si>
    <r>
      <rPr>
        <sz val="12"/>
        <rFont val="宋体"/>
        <charset val="134"/>
      </rPr>
      <t>融资人所属地区</t>
    </r>
  </si>
  <si>
    <t>RZRSSDQ</t>
  </si>
  <si>
    <r>
      <rPr>
        <sz val="12"/>
        <rFont val="宋体"/>
        <charset val="134"/>
      </rPr>
      <t>项目融资人所归属的地区。</t>
    </r>
  </si>
  <si>
    <r>
      <rPr>
        <sz val="12"/>
        <rFont val="宋体"/>
        <charset val="134"/>
      </rPr>
      <t>融资人类型（按规模划分）</t>
    </r>
  </si>
  <si>
    <t>RZRLXGM</t>
  </si>
  <si>
    <r>
      <rPr>
        <sz val="12"/>
        <rFont val="宋体"/>
        <charset val="134"/>
      </rPr>
      <t>根据《中小企业划型标准规定》（工信部联企业〔</t>
    </r>
    <r>
      <rPr>
        <sz val="12"/>
        <rFont val="Times New Roman"/>
        <charset val="134"/>
      </rPr>
      <t>2011</t>
    </r>
    <r>
      <rPr>
        <sz val="12"/>
        <rFont val="宋体"/>
        <charset val="134"/>
      </rPr>
      <t>〕</t>
    </r>
    <r>
      <rPr>
        <sz val="12"/>
        <rFont val="Times New Roman"/>
        <charset val="134"/>
      </rPr>
      <t>300</t>
    </r>
    <r>
      <rPr>
        <sz val="12"/>
        <rFont val="宋体"/>
        <charset val="134"/>
      </rPr>
      <t>号）规定，按规模划分的非标资产融资人类型。</t>
    </r>
  </si>
  <si>
    <r>
      <rPr>
        <sz val="12"/>
        <rFont val="宋体"/>
        <charset val="134"/>
      </rPr>
      <t>备注、数据项代码</t>
    </r>
  </si>
  <si>
    <r>
      <rPr>
        <sz val="12"/>
        <rFont val="宋体"/>
        <charset val="134"/>
      </rPr>
      <t>融资人类型（按技术领域划分）</t>
    </r>
  </si>
  <si>
    <t>RZRLXJS</t>
  </si>
  <si>
    <r>
      <rPr>
        <sz val="12"/>
        <rFont val="宋体"/>
        <charset val="134"/>
      </rPr>
      <t>根据《高新技术企业认定管理办法》（国科发火〔</t>
    </r>
    <r>
      <rPr>
        <sz val="12"/>
        <rFont val="Times New Roman"/>
        <charset val="134"/>
      </rPr>
      <t>2016</t>
    </r>
    <r>
      <rPr>
        <sz val="12"/>
        <rFont val="宋体"/>
        <charset val="134"/>
      </rPr>
      <t>〕</t>
    </r>
    <r>
      <rPr>
        <sz val="12"/>
        <rFont val="Times New Roman"/>
        <charset val="134"/>
      </rPr>
      <t>32</t>
    </r>
    <r>
      <rPr>
        <sz val="12"/>
        <rFont val="宋体"/>
        <charset val="134"/>
      </rPr>
      <t>号）规定，按技术领域划分的非标资产融资人类型。</t>
    </r>
  </si>
  <si>
    <r>
      <rPr>
        <sz val="12"/>
        <rFont val="宋体"/>
        <charset val="134"/>
      </rPr>
      <t>融资人类型（按经济类型划分）</t>
    </r>
  </si>
  <si>
    <t>RZRLXJJ</t>
  </si>
  <si>
    <r>
      <rPr>
        <sz val="12"/>
        <rFont val="宋体"/>
        <charset val="134"/>
      </rPr>
      <t>根据《关于统计上划分经济成分的规定》</t>
    </r>
    <r>
      <rPr>
        <sz val="12"/>
        <rFont val="Times New Roman"/>
        <charset val="134"/>
      </rPr>
      <t>(</t>
    </r>
    <r>
      <rPr>
        <sz val="12"/>
        <rFont val="宋体"/>
        <charset val="134"/>
      </rPr>
      <t>国统字〔</t>
    </r>
    <r>
      <rPr>
        <sz val="12"/>
        <rFont val="Times New Roman"/>
        <charset val="134"/>
      </rPr>
      <t>1998</t>
    </r>
    <r>
      <rPr>
        <sz val="12"/>
        <rFont val="宋体"/>
        <charset val="134"/>
      </rPr>
      <t>〕</t>
    </r>
    <r>
      <rPr>
        <sz val="12"/>
        <rFont val="Times New Roman"/>
        <charset val="134"/>
      </rPr>
      <t>204</t>
    </r>
    <r>
      <rPr>
        <sz val="12"/>
        <rFont val="宋体"/>
        <charset val="134"/>
      </rPr>
      <t>号</t>
    </r>
    <r>
      <rPr>
        <sz val="12"/>
        <rFont val="Times New Roman"/>
        <charset val="134"/>
      </rPr>
      <t xml:space="preserve">) </t>
    </r>
    <r>
      <rPr>
        <sz val="12"/>
        <rFont val="宋体"/>
        <charset val="134"/>
      </rPr>
      <t>规定，按经济类型划分的非标资产融资人类型。</t>
    </r>
  </si>
  <si>
    <r>
      <rPr>
        <sz val="12"/>
        <rFont val="宋体"/>
        <charset val="134"/>
      </rPr>
      <t>融资项目</t>
    </r>
  </si>
  <si>
    <t>RZXM</t>
  </si>
  <si>
    <r>
      <rPr>
        <sz val="12"/>
        <rFont val="宋体"/>
        <charset val="134"/>
      </rPr>
      <t>非标资产所募集资金实际投资项目的名称。</t>
    </r>
  </si>
  <si>
    <r>
      <rPr>
        <sz val="12"/>
        <rFont val="宋体"/>
        <charset val="134"/>
      </rPr>
      <t>融资项目所属行业</t>
    </r>
  </si>
  <si>
    <t>RZXMSSHY</t>
  </si>
  <si>
    <r>
      <rPr>
        <sz val="12"/>
        <rFont val="宋体"/>
        <charset val="134"/>
      </rPr>
      <t>项目是否属于重点监控行业和领域</t>
    </r>
  </si>
  <si>
    <t>XMSFSYZDJKHYHLY</t>
  </si>
  <si>
    <r>
      <rPr>
        <sz val="12"/>
        <rFont val="宋体"/>
        <charset val="134"/>
      </rPr>
      <t>重点监控行业和领域类别</t>
    </r>
  </si>
  <si>
    <t>ZDJKHYHLYLB</t>
  </si>
  <si>
    <r>
      <rPr>
        <sz val="12"/>
        <rFont val="宋体"/>
        <charset val="134"/>
      </rPr>
      <t>重点监控行业和领域类别说明</t>
    </r>
  </si>
  <si>
    <t>ZDJKHYHLYLBSM</t>
  </si>
  <si>
    <t>JE</t>
  </si>
  <si>
    <r>
      <rPr>
        <sz val="12"/>
        <rFont val="宋体"/>
        <charset val="134"/>
      </rPr>
      <t>非标资产的实际发行总</t>
    </r>
    <r>
      <rPr>
        <strike/>
        <sz val="12"/>
        <rFont val="宋体"/>
        <charset val="134"/>
      </rPr>
      <t>规模</t>
    </r>
    <r>
      <rPr>
        <sz val="12"/>
        <rFont val="宋体"/>
        <charset val="134"/>
      </rPr>
      <t>金额。</t>
    </r>
  </si>
  <si>
    <t>DBFS</t>
  </si>
  <si>
    <r>
      <rPr>
        <sz val="12"/>
        <rFont val="宋体"/>
        <charset val="134"/>
      </rPr>
      <t>指担保人用以担保债权的手段。</t>
    </r>
  </si>
  <si>
    <r>
      <rPr>
        <sz val="12"/>
        <rFont val="宋体"/>
        <charset val="134"/>
      </rPr>
      <t>担保情况说明</t>
    </r>
  </si>
  <si>
    <t>DBQKSM</t>
  </si>
  <si>
    <r>
      <rPr>
        <sz val="12"/>
        <rFont val="宋体"/>
        <charset val="134"/>
      </rPr>
      <t>对于担保方式的详细说明。</t>
    </r>
  </si>
  <si>
    <t>DZYWLX</t>
  </si>
  <si>
    <r>
      <rPr>
        <sz val="12"/>
        <rFont val="宋体"/>
        <charset val="134"/>
      </rPr>
      <t>数据元说明的选项修改为七大类；</t>
    </r>
    <r>
      <rPr>
        <sz val="12"/>
        <rFont val="Times New Roman"/>
        <charset val="134"/>
      </rPr>
      <t xml:space="preserve">
</t>
    </r>
    <r>
      <rPr>
        <sz val="12"/>
        <rFont val="宋体"/>
        <charset val="134"/>
      </rPr>
      <t>备注删去</t>
    </r>
    <r>
      <rPr>
        <sz val="12"/>
        <rFont val="Times New Roman"/>
        <charset val="134"/>
      </rPr>
      <t>“</t>
    </r>
    <r>
      <rPr>
        <sz val="12"/>
        <rFont val="宋体"/>
        <charset val="134"/>
      </rPr>
      <t>相关信息自</t>
    </r>
    <r>
      <rPr>
        <sz val="12"/>
        <rFont val="Times New Roman"/>
        <charset val="134"/>
      </rPr>
      <t>2020</t>
    </r>
    <r>
      <rPr>
        <sz val="12"/>
        <rFont val="宋体"/>
        <charset val="134"/>
      </rPr>
      <t>年</t>
    </r>
    <r>
      <rPr>
        <sz val="12"/>
        <rFont val="Times New Roman"/>
        <charset val="134"/>
      </rPr>
      <t>6</t>
    </r>
    <r>
      <rPr>
        <sz val="12"/>
        <rFont val="宋体"/>
        <charset val="134"/>
      </rPr>
      <t>月提供</t>
    </r>
    <r>
      <rPr>
        <sz val="12"/>
        <rFont val="Times New Roman"/>
        <charset val="134"/>
      </rPr>
      <t>”</t>
    </r>
  </si>
  <si>
    <r>
      <rPr>
        <sz val="12"/>
        <rFont val="宋体"/>
        <charset val="134"/>
      </rPr>
      <t>抵质押物价值</t>
    </r>
  </si>
  <si>
    <t>DZYWJZ</t>
  </si>
  <si>
    <t>DBXZ</t>
  </si>
  <si>
    <t>DBRYRZRGX</t>
  </si>
  <si>
    <r>
      <rPr>
        <sz val="12"/>
        <rFont val="宋体"/>
        <charset val="134"/>
      </rPr>
      <t>增信机构代码</t>
    </r>
  </si>
  <si>
    <t>ZXJGDM</t>
  </si>
  <si>
    <r>
      <rPr>
        <sz val="12"/>
        <rFont val="宋体"/>
        <charset val="134"/>
      </rPr>
      <t>担保増信机构的组织机构代码或统一社会信用代码。</t>
    </r>
  </si>
  <si>
    <r>
      <rPr>
        <sz val="12"/>
        <rFont val="宋体"/>
        <charset val="134"/>
      </rPr>
      <t>增信机构名称</t>
    </r>
  </si>
  <si>
    <t>ZXJGMC</t>
  </si>
  <si>
    <r>
      <rPr>
        <sz val="12"/>
        <rFont val="宋体"/>
        <charset val="134"/>
      </rPr>
      <t>担保増信机构的名称。</t>
    </r>
  </si>
  <si>
    <r>
      <rPr>
        <sz val="12"/>
        <rFont val="宋体"/>
        <charset val="134"/>
      </rPr>
      <t>融资人外部评级</t>
    </r>
  </si>
  <si>
    <t>RZRWBPJ</t>
  </si>
  <si>
    <r>
      <rPr>
        <sz val="12"/>
        <rFont val="宋体"/>
        <charset val="134"/>
      </rPr>
      <t>外部专业性的评级公司名称及对融资人主体的信用评级结果。选填。</t>
    </r>
  </si>
  <si>
    <r>
      <rPr>
        <sz val="12"/>
        <rFont val="宋体"/>
        <charset val="134"/>
      </rPr>
      <t>数据项名称、数据项代码、数据元说明</t>
    </r>
  </si>
  <si>
    <r>
      <rPr>
        <sz val="12"/>
        <rFont val="宋体"/>
        <charset val="134"/>
      </rPr>
      <t>资产内部评级</t>
    </r>
  </si>
  <si>
    <t>ZCNBPJ</t>
  </si>
  <si>
    <r>
      <rPr>
        <sz val="12"/>
        <rFont val="宋体"/>
        <charset val="134"/>
      </rPr>
      <t>银行理财产品发行机构内部对非标资产项目本身的风险评级结果。</t>
    </r>
  </si>
  <si>
    <r>
      <rPr>
        <sz val="12"/>
        <rFont val="宋体"/>
        <charset val="134"/>
      </rPr>
      <t>资产外部评级</t>
    </r>
  </si>
  <si>
    <t>ZCWBPJ</t>
  </si>
  <si>
    <r>
      <rPr>
        <sz val="12"/>
        <rFont val="宋体"/>
        <charset val="134"/>
      </rPr>
      <t>银行理财产品发行机构参照相关标准对非标资产项目本身的评级结果。</t>
    </r>
  </si>
  <si>
    <t>HQLX</t>
  </si>
  <si>
    <r>
      <rPr>
        <sz val="12"/>
        <rFont val="宋体"/>
        <charset val="134"/>
      </rPr>
      <t>选择权条款的种类，根据选择权条款中约定的权力行使方、权力种类划分为发行人赎回选择权、投资人回售选择权等类型。</t>
    </r>
  </si>
  <si>
    <r>
      <rPr>
        <sz val="12"/>
        <rFont val="宋体"/>
        <charset val="134"/>
      </rPr>
      <t>选择权</t>
    </r>
  </si>
  <si>
    <t>XZQ</t>
  </si>
  <si>
    <r>
      <rPr>
        <sz val="12"/>
        <rFont val="宋体"/>
        <charset val="134"/>
      </rPr>
      <t>非标资产对于提前赎回、买入返售、远期买回等相关权利的规定说明。</t>
    </r>
  </si>
  <si>
    <r>
      <rPr>
        <sz val="12"/>
        <rFont val="宋体"/>
        <charset val="134"/>
      </rPr>
      <t>行权条件说明</t>
    </r>
  </si>
  <si>
    <t>XQTJSM</t>
  </si>
  <si>
    <r>
      <rPr>
        <sz val="12"/>
        <rFont val="宋体"/>
        <charset val="134"/>
      </rPr>
      <t>对于触发或行使上述选择权的条件说明。</t>
    </r>
  </si>
  <si>
    <r>
      <rPr>
        <sz val="12"/>
        <rFont val="宋体"/>
        <charset val="134"/>
      </rPr>
      <t>选择权的履约方式。</t>
    </r>
  </si>
  <si>
    <r>
      <rPr>
        <sz val="12"/>
        <rFont val="宋体"/>
        <charset val="134"/>
      </rPr>
      <t>固定行权日期</t>
    </r>
  </si>
  <si>
    <t>GDXQRQ</t>
  </si>
  <si>
    <r>
      <rPr>
        <sz val="12"/>
        <rFont val="宋体"/>
        <charset val="134"/>
      </rPr>
      <t>选择权类型为欧式期权的选择权，约定的选择权行使日期（理论行权日）。</t>
    </r>
  </si>
  <si>
    <r>
      <rPr>
        <sz val="12"/>
        <rFont val="宋体"/>
        <charset val="134"/>
      </rPr>
      <t>首次行权日期</t>
    </r>
  </si>
  <si>
    <t>SCXQRQ</t>
  </si>
  <si>
    <r>
      <rPr>
        <sz val="12"/>
        <rFont val="宋体"/>
        <charset val="134"/>
      </rPr>
      <t>以一定间隔无限次行使的选择权的首次行权日期。</t>
    </r>
  </si>
  <si>
    <r>
      <rPr>
        <sz val="12"/>
        <rFont val="宋体"/>
        <charset val="134"/>
      </rPr>
      <t>行权周期</t>
    </r>
  </si>
  <si>
    <t>XQZQ</t>
  </si>
  <si>
    <r>
      <rPr>
        <sz val="12"/>
        <rFont val="宋体"/>
        <charset val="134"/>
      </rPr>
      <t>选择权在约定的区间中，可以行使权利的本次日期与下次日期之间的间隔。</t>
    </r>
  </si>
  <si>
    <r>
      <rPr>
        <sz val="12"/>
        <rFont val="宋体"/>
        <charset val="134"/>
      </rPr>
      <t>含权资产行使权利时的净价，并扣除当日因分期还本兑付的本金值，不包含应计利息。</t>
    </r>
  </si>
  <si>
    <t>YXTKLX</t>
  </si>
  <si>
    <r>
      <rPr>
        <sz val="12"/>
        <rFont val="宋体"/>
        <charset val="134"/>
      </rPr>
      <t>资产是否约定了可续期或永续条款。</t>
    </r>
  </si>
  <si>
    <t>LXDYTKLX</t>
  </si>
  <si>
    <r>
      <rPr>
        <sz val="12"/>
        <rFont val="宋体"/>
        <charset val="134"/>
      </rPr>
      <t>永续资产是否约定了利息递延条款，允许发行人在一定条件下延迟支付利息。</t>
    </r>
  </si>
  <si>
    <r>
      <rPr>
        <sz val="12"/>
        <rFont val="宋体"/>
        <charset val="134"/>
      </rPr>
      <t>递延利息是否计息</t>
    </r>
  </si>
  <si>
    <t>DYLXJXFS</t>
  </si>
  <si>
    <r>
      <rPr>
        <sz val="12"/>
        <rFont val="宋体"/>
        <charset val="134"/>
      </rPr>
      <t>永续资产是否约定了递延的利息需要计息。</t>
    </r>
  </si>
  <si>
    <r>
      <rPr>
        <sz val="12"/>
        <rFont val="宋体"/>
        <charset val="134"/>
      </rPr>
      <t>首次重定价日期</t>
    </r>
  </si>
  <si>
    <t>SCCDJRQ</t>
  </si>
  <si>
    <r>
      <rPr>
        <sz val="12"/>
        <rFont val="宋体"/>
        <charset val="134"/>
      </rPr>
      <t>永续资产存续期内首次重定利率的日期。</t>
    </r>
  </si>
  <si>
    <r>
      <rPr>
        <sz val="12"/>
        <rFont val="宋体"/>
        <charset val="134"/>
      </rPr>
      <t>重定价周期</t>
    </r>
  </si>
  <si>
    <t>CDJZQ</t>
  </si>
  <si>
    <r>
      <rPr>
        <sz val="12"/>
        <rFont val="宋体"/>
        <charset val="134"/>
      </rPr>
      <t>永续资产在首次重定价日期后，各个重定价日期之间的日期长度。</t>
    </r>
  </si>
  <si>
    <r>
      <rPr>
        <sz val="12"/>
        <rFont val="宋体"/>
        <charset val="134"/>
      </rPr>
      <t>部分赎回标识</t>
    </r>
  </si>
  <si>
    <t>BGSHBZ</t>
  </si>
  <si>
    <r>
      <rPr>
        <sz val="12"/>
        <rFont val="宋体"/>
        <charset val="134"/>
      </rPr>
      <t>发行条款是否允许发行人部分赎回。</t>
    </r>
  </si>
  <si>
    <r>
      <rPr>
        <sz val="12"/>
        <rFont val="宋体"/>
        <charset val="134"/>
      </rPr>
      <t>部分赎回比例</t>
    </r>
  </si>
  <si>
    <t>BFSHBL</t>
  </si>
  <si>
    <r>
      <rPr>
        <sz val="12"/>
        <rFont val="宋体"/>
        <charset val="134"/>
      </rPr>
      <t>发行文件中约定的部分赎回比例，或公告的实际部分赎回比例。</t>
    </r>
  </si>
  <si>
    <r>
      <rPr>
        <sz val="12"/>
        <rFont val="宋体"/>
        <charset val="134"/>
      </rPr>
      <t>费用情况说明</t>
    </r>
  </si>
  <si>
    <t>FYQKSM</t>
  </si>
  <si>
    <r>
      <rPr>
        <sz val="12"/>
        <rFont val="宋体"/>
        <charset val="134"/>
      </rPr>
      <t>非标资产项目合同中所涉及的各项费用的说明，包含但不限于托管费、委贷费等。</t>
    </r>
  </si>
  <si>
    <r>
      <rPr>
        <sz val="12"/>
        <rFont val="宋体"/>
        <charset val="134"/>
      </rPr>
      <t>其他非标资产明细信息表</t>
    </r>
  </si>
  <si>
    <r>
      <rPr>
        <sz val="12"/>
        <rFont val="宋体"/>
        <charset val="134"/>
      </rPr>
      <t>全量表，报送截止采集日有效的数据以及与上一采集日期间失效的数据。该表体现统计期末理财产品持有的其他非标准化债权类资产（包括但不限于保理、融资租赁、股票质押融资等）明细信息。</t>
    </r>
    <r>
      <rPr>
        <sz val="12"/>
        <rFont val="Times New Roman"/>
        <charset val="134"/>
      </rPr>
      <t xml:space="preserve">
</t>
    </r>
    <r>
      <rPr>
        <sz val="12"/>
        <rFont val="宋体"/>
        <charset val="134"/>
      </rPr>
      <t>包含银行及理财公司数据。</t>
    </r>
  </si>
  <si>
    <r>
      <rPr>
        <sz val="12"/>
        <rFont val="宋体"/>
        <charset val="134"/>
      </rPr>
      <t>其他非标资产的实际发行总金额</t>
    </r>
  </si>
  <si>
    <r>
      <rPr>
        <sz val="12"/>
        <rFont val="宋体"/>
        <charset val="134"/>
      </rPr>
      <t>行内资产类别说明</t>
    </r>
  </si>
  <si>
    <t>HNZCLBSM</t>
  </si>
  <si>
    <r>
      <rPr>
        <sz val="12"/>
        <rFont val="宋体"/>
        <charset val="134"/>
      </rPr>
      <t>指该资产在行内所划分的类别名称。</t>
    </r>
  </si>
  <si>
    <r>
      <rPr>
        <sz val="12"/>
        <rFont val="宋体"/>
        <charset val="134"/>
      </rPr>
      <t>所属国家或地区</t>
    </r>
  </si>
  <si>
    <t>SSGJHDQ</t>
  </si>
  <si>
    <r>
      <rPr>
        <sz val="12"/>
        <rFont val="宋体"/>
        <charset val="134"/>
      </rPr>
      <t>投资资产所属于的国家或者地区。</t>
    </r>
  </si>
  <si>
    <r>
      <rPr>
        <sz val="12"/>
        <rFont val="宋体"/>
        <charset val="134"/>
      </rPr>
      <t>数据元说明改为七大类；</t>
    </r>
    <r>
      <rPr>
        <sz val="12"/>
        <rFont val="Times New Roman"/>
        <charset val="134"/>
      </rPr>
      <t xml:space="preserve">
</t>
    </r>
    <r>
      <rPr>
        <sz val="12"/>
        <rFont val="宋体"/>
        <charset val="134"/>
      </rPr>
      <t>备注删去</t>
    </r>
    <r>
      <rPr>
        <sz val="12"/>
        <rFont val="Times New Roman"/>
        <charset val="134"/>
      </rPr>
      <t>“</t>
    </r>
    <r>
      <rPr>
        <sz val="12"/>
        <rFont val="宋体"/>
        <charset val="134"/>
      </rPr>
      <t>相关信息自</t>
    </r>
    <r>
      <rPr>
        <sz val="12"/>
        <rFont val="Times New Roman"/>
        <charset val="134"/>
      </rPr>
      <t>2020</t>
    </r>
    <r>
      <rPr>
        <sz val="12"/>
        <rFont val="宋体"/>
        <charset val="134"/>
      </rPr>
      <t>年</t>
    </r>
    <r>
      <rPr>
        <sz val="12"/>
        <rFont val="Times New Roman"/>
        <charset val="134"/>
      </rPr>
      <t>6</t>
    </r>
    <r>
      <rPr>
        <sz val="12"/>
        <rFont val="宋体"/>
        <charset val="134"/>
      </rPr>
      <t>月提供</t>
    </r>
    <r>
      <rPr>
        <sz val="12"/>
        <rFont val="Times New Roman"/>
        <charset val="134"/>
      </rPr>
      <t>”</t>
    </r>
  </si>
  <si>
    <r>
      <rPr>
        <sz val="12"/>
        <rFont val="宋体"/>
        <charset val="134"/>
      </rPr>
      <t>项目收益率（利率）</t>
    </r>
  </si>
  <si>
    <t>XMSYLLL</t>
  </si>
  <si>
    <r>
      <rPr>
        <sz val="12"/>
        <rFont val="宋体"/>
        <charset val="134"/>
      </rPr>
      <t>理财产品资产交易信息表</t>
    </r>
  </si>
  <si>
    <r>
      <rPr>
        <sz val="12"/>
        <rFont val="宋体"/>
        <charset val="134"/>
      </rPr>
      <t>增量表，报送本次采集日与上一采集日期间新增的数据。该表体现统计期内理财产品发生的逐笔投资交易信息。</t>
    </r>
    <r>
      <rPr>
        <sz val="12"/>
        <rFont val="Times New Roman"/>
        <charset val="134"/>
      </rPr>
      <t xml:space="preserve">
</t>
    </r>
    <r>
      <rPr>
        <sz val="12"/>
        <rFont val="宋体"/>
        <charset val="134"/>
      </rPr>
      <t>包含银行及理财公司数据。</t>
    </r>
  </si>
  <si>
    <r>
      <rPr>
        <sz val="12"/>
        <rFont val="宋体"/>
        <charset val="134"/>
      </rPr>
      <t>删除产品</t>
    </r>
    <r>
      <rPr>
        <sz val="12"/>
        <rFont val="Times New Roman"/>
        <charset val="134"/>
      </rPr>
      <t>ID</t>
    </r>
    <r>
      <rPr>
        <sz val="12"/>
        <rFont val="宋体"/>
        <charset val="134"/>
      </rPr>
      <t>、资产计量方式</t>
    </r>
  </si>
  <si>
    <r>
      <rPr>
        <sz val="12"/>
        <rFont val="宋体"/>
        <charset val="134"/>
      </rPr>
      <t>交易实际发生资金交割的日期。</t>
    </r>
  </si>
  <si>
    <r>
      <rPr>
        <sz val="12"/>
        <rFont val="宋体"/>
        <charset val="134"/>
      </rPr>
      <t>交易发起时间</t>
    </r>
  </si>
  <si>
    <t>FQJYSJ</t>
  </si>
  <si>
    <r>
      <rPr>
        <sz val="12"/>
        <rFont val="宋体"/>
        <charset val="134"/>
      </rPr>
      <t>理财产品发起此笔交易的时间。计划于</t>
    </r>
    <r>
      <rPr>
        <sz val="12"/>
        <rFont val="Times New Roman"/>
        <charset val="134"/>
      </rPr>
      <t>2022</t>
    </r>
    <r>
      <rPr>
        <sz val="12"/>
        <rFont val="宋体"/>
        <charset val="134"/>
      </rPr>
      <t>年下半年提供相关数据，具体时间待定。</t>
    </r>
  </si>
  <si>
    <r>
      <rPr>
        <sz val="12"/>
        <rFont val="宋体"/>
        <charset val="134"/>
      </rPr>
      <t>交易登记编码</t>
    </r>
  </si>
  <si>
    <t>JYDJBM</t>
  </si>
  <si>
    <r>
      <rPr>
        <sz val="12"/>
        <rFont val="宋体"/>
        <charset val="134"/>
      </rPr>
      <t>行内交易编码</t>
    </r>
  </si>
  <si>
    <t>HNJYBM</t>
  </si>
  <si>
    <r>
      <rPr>
        <sz val="12"/>
        <rFont val="Times New Roman"/>
        <charset val="134"/>
      </rPr>
      <t>PK</t>
    </r>
    <r>
      <rPr>
        <sz val="12"/>
        <rFont val="宋体"/>
        <charset val="134"/>
      </rPr>
      <t>。银行理财产品的每一笔投资交易在银行内部登记时被赋予的代码。</t>
    </r>
  </si>
  <si>
    <t>ZJLDLX</t>
  </si>
  <si>
    <r>
      <rPr>
        <sz val="12"/>
        <rFont val="Times New Roman"/>
        <charset val="134"/>
      </rPr>
      <t>PK</t>
    </r>
    <r>
      <rPr>
        <sz val="12"/>
        <rFont val="宋体"/>
        <charset val="134"/>
      </rPr>
      <t>。理财产品在进行投资运作过程中，理财资金发生流动的具体属性及方向。</t>
    </r>
  </si>
  <si>
    <r>
      <rPr>
        <sz val="12"/>
        <rFont val="宋体"/>
        <charset val="134"/>
      </rPr>
      <t>交易对手方名称</t>
    </r>
  </si>
  <si>
    <t>JYDSFMC</t>
  </si>
  <si>
    <r>
      <rPr>
        <sz val="12"/>
        <rFont val="宋体"/>
        <charset val="134"/>
      </rPr>
      <t>发生交易的另一方。</t>
    </r>
    <r>
      <rPr>
        <sz val="12"/>
        <rFont val="Times New Roman"/>
        <charset val="134"/>
      </rPr>
      <t xml:space="preserve">
1.</t>
    </r>
    <r>
      <rPr>
        <sz val="12"/>
        <rFont val="宋体"/>
        <charset val="134"/>
      </rPr>
      <t>填写例如</t>
    </r>
    <r>
      <rPr>
        <sz val="12"/>
        <rFont val="Times New Roman"/>
        <charset val="134"/>
      </rPr>
      <t>“XX</t>
    </r>
    <r>
      <rPr>
        <sz val="12"/>
        <rFont val="宋体"/>
        <charset val="134"/>
      </rPr>
      <t>银行股份有限公司</t>
    </r>
    <r>
      <rPr>
        <sz val="12"/>
        <rFont val="Times New Roman"/>
        <charset val="134"/>
      </rPr>
      <t>”“XX</t>
    </r>
    <r>
      <rPr>
        <sz val="12"/>
        <rFont val="宋体"/>
        <charset val="134"/>
      </rPr>
      <t>基金管理有限公司</t>
    </r>
    <r>
      <rPr>
        <sz val="12"/>
        <rFont val="Times New Roman"/>
        <charset val="134"/>
      </rPr>
      <t>”“XX</t>
    </r>
    <r>
      <rPr>
        <sz val="12"/>
        <rFont val="宋体"/>
        <charset val="134"/>
      </rPr>
      <t>证券</t>
    </r>
    <r>
      <rPr>
        <sz val="12"/>
        <rFont val="Times New Roman"/>
        <charset val="134"/>
      </rPr>
      <t>2017</t>
    </r>
    <r>
      <rPr>
        <sz val="12"/>
        <rFont val="宋体"/>
        <charset val="134"/>
      </rPr>
      <t>年第</t>
    </r>
    <r>
      <rPr>
        <sz val="12"/>
        <rFont val="Times New Roman"/>
        <charset val="134"/>
      </rPr>
      <t>10</t>
    </r>
    <r>
      <rPr>
        <sz val="12"/>
        <rFont val="宋体"/>
        <charset val="134"/>
      </rPr>
      <t>期资产管理计划</t>
    </r>
    <r>
      <rPr>
        <sz val="12"/>
        <rFont val="Times New Roman"/>
        <charset val="134"/>
      </rPr>
      <t>”“XX</t>
    </r>
    <r>
      <rPr>
        <sz val="12"/>
        <rFont val="宋体"/>
        <charset val="134"/>
      </rPr>
      <t>银行幸福理财</t>
    </r>
    <r>
      <rPr>
        <sz val="12"/>
        <rFont val="Times New Roman"/>
        <charset val="134"/>
      </rPr>
      <t>2017</t>
    </r>
    <r>
      <rPr>
        <sz val="12"/>
        <rFont val="宋体"/>
        <charset val="134"/>
      </rPr>
      <t>年第</t>
    </r>
    <r>
      <rPr>
        <sz val="12"/>
        <rFont val="Times New Roman"/>
        <charset val="134"/>
      </rPr>
      <t>30</t>
    </r>
    <r>
      <rPr>
        <sz val="12"/>
        <rFont val="宋体"/>
        <charset val="134"/>
      </rPr>
      <t>期</t>
    </r>
    <r>
      <rPr>
        <sz val="12"/>
        <rFont val="Times New Roman"/>
        <charset val="134"/>
      </rPr>
      <t>”</t>
    </r>
    <r>
      <rPr>
        <sz val="12"/>
        <rFont val="宋体"/>
        <charset val="134"/>
      </rPr>
      <t>等；</t>
    </r>
    <r>
      <rPr>
        <sz val="12"/>
        <rFont val="Times New Roman"/>
        <charset val="134"/>
      </rPr>
      <t xml:space="preserve">
2.</t>
    </r>
    <r>
      <rPr>
        <sz val="12"/>
        <rFont val="宋体"/>
        <charset val="134"/>
      </rPr>
      <t>对于资产到期的情况，</t>
    </r>
    <r>
      <rPr>
        <sz val="12"/>
        <rFont val="Times New Roman"/>
        <charset val="134"/>
      </rPr>
      <t>“</t>
    </r>
    <r>
      <rPr>
        <sz val="12"/>
        <rFont val="宋体"/>
        <charset val="134"/>
      </rPr>
      <t>交易对手方</t>
    </r>
    <r>
      <rPr>
        <sz val="12"/>
        <rFont val="Times New Roman"/>
        <charset val="134"/>
      </rPr>
      <t>”</t>
    </r>
    <r>
      <rPr>
        <sz val="12"/>
        <rFont val="宋体"/>
        <charset val="134"/>
      </rPr>
      <t>与资产买入时填写一致即可，</t>
    </r>
    <r>
      <rPr>
        <sz val="12"/>
        <rFont val="Times New Roman"/>
        <charset val="134"/>
      </rPr>
      <t>“</t>
    </r>
    <r>
      <rPr>
        <sz val="12"/>
        <rFont val="宋体"/>
        <charset val="134"/>
      </rPr>
      <t>备注</t>
    </r>
    <r>
      <rPr>
        <sz val="12"/>
        <rFont val="Times New Roman"/>
        <charset val="134"/>
      </rPr>
      <t>”</t>
    </r>
    <r>
      <rPr>
        <sz val="12"/>
        <rFont val="宋体"/>
        <charset val="134"/>
      </rPr>
      <t>中注明</t>
    </r>
    <r>
      <rPr>
        <sz val="12"/>
        <rFont val="Times New Roman"/>
        <charset val="134"/>
      </rPr>
      <t>“</t>
    </r>
    <r>
      <rPr>
        <sz val="12"/>
        <rFont val="宋体"/>
        <charset val="134"/>
      </rPr>
      <t>资产到期</t>
    </r>
    <r>
      <rPr>
        <sz val="12"/>
        <rFont val="Times New Roman"/>
        <charset val="134"/>
      </rPr>
      <t>”</t>
    </r>
    <r>
      <rPr>
        <sz val="12"/>
        <rFont val="宋体"/>
        <charset val="134"/>
      </rPr>
      <t>。</t>
    </r>
    <r>
      <rPr>
        <sz val="12"/>
        <rFont val="Times New Roman"/>
        <charset val="134"/>
      </rPr>
      <t xml:space="preserve">
3.</t>
    </r>
    <r>
      <rPr>
        <sz val="12"/>
        <rFont val="宋体"/>
        <charset val="134"/>
      </rPr>
      <t>当</t>
    </r>
    <r>
      <rPr>
        <sz val="12"/>
        <rFont val="Times New Roman"/>
        <charset val="134"/>
      </rPr>
      <t>“</t>
    </r>
    <r>
      <rPr>
        <sz val="12"/>
        <rFont val="宋体"/>
        <charset val="134"/>
      </rPr>
      <t>交易对手方是否为本机构理财产品</t>
    </r>
    <r>
      <rPr>
        <sz val="12"/>
        <rFont val="Times New Roman"/>
        <charset val="134"/>
      </rPr>
      <t>”</t>
    </r>
    <r>
      <rPr>
        <sz val="12"/>
        <rFont val="宋体"/>
        <charset val="134"/>
      </rPr>
      <t>选择</t>
    </r>
    <r>
      <rPr>
        <sz val="12"/>
        <rFont val="Times New Roman"/>
        <charset val="134"/>
      </rPr>
      <t>“</t>
    </r>
    <r>
      <rPr>
        <sz val="12"/>
        <rFont val="宋体"/>
        <charset val="134"/>
      </rPr>
      <t>是</t>
    </r>
    <r>
      <rPr>
        <sz val="12"/>
        <rFont val="Times New Roman"/>
        <charset val="134"/>
      </rPr>
      <t>”</t>
    </r>
    <r>
      <rPr>
        <sz val="12"/>
        <rFont val="宋体"/>
        <charset val="134"/>
      </rPr>
      <t>时，此处填理财产品的产品登记编码</t>
    </r>
    <r>
      <rPr>
        <sz val="12"/>
        <rFont val="Times New Roman"/>
        <charset val="134"/>
      </rPr>
      <t xml:space="preserve">
</t>
    </r>
  </si>
  <si>
    <r>
      <rPr>
        <sz val="12"/>
        <rFont val="宋体"/>
        <charset val="134"/>
      </rPr>
      <t>数据项名称、数据项代码、格式、数据元说明、备注</t>
    </r>
  </si>
  <si>
    <r>
      <rPr>
        <sz val="12"/>
        <rFont val="宋体"/>
        <charset val="134"/>
      </rPr>
      <t>交易对手方是否为本机构理财产品</t>
    </r>
  </si>
  <si>
    <t>JYDSFSFWBJGLCCP</t>
  </si>
  <si>
    <r>
      <rPr>
        <sz val="12"/>
        <rFont val="宋体"/>
        <charset val="134"/>
      </rPr>
      <t>交易对手方若为本机构理财产品，填</t>
    </r>
    <r>
      <rPr>
        <sz val="12"/>
        <rFont val="Times New Roman"/>
        <charset val="134"/>
      </rPr>
      <t>“</t>
    </r>
    <r>
      <rPr>
        <sz val="12"/>
        <rFont val="宋体"/>
        <charset val="134"/>
      </rPr>
      <t>是</t>
    </r>
    <r>
      <rPr>
        <sz val="12"/>
        <rFont val="Times New Roman"/>
        <charset val="134"/>
      </rPr>
      <t>”</t>
    </r>
    <r>
      <rPr>
        <sz val="12"/>
        <rFont val="宋体"/>
        <charset val="134"/>
      </rPr>
      <t>，否则填</t>
    </r>
    <r>
      <rPr>
        <sz val="12"/>
        <rFont val="Times New Roman"/>
        <charset val="134"/>
      </rPr>
      <t>“</t>
    </r>
    <r>
      <rPr>
        <sz val="12"/>
        <rFont val="宋体"/>
        <charset val="134"/>
      </rPr>
      <t>否</t>
    </r>
    <r>
      <rPr>
        <sz val="12"/>
        <rFont val="Times New Roman"/>
        <charset val="134"/>
      </rPr>
      <t>”</t>
    </r>
    <r>
      <rPr>
        <sz val="12"/>
        <rFont val="宋体"/>
        <charset val="134"/>
      </rPr>
      <t>。计划于</t>
    </r>
    <r>
      <rPr>
        <sz val="12"/>
        <rFont val="Times New Roman"/>
        <charset val="134"/>
      </rPr>
      <t>2022</t>
    </r>
    <r>
      <rPr>
        <sz val="12"/>
        <rFont val="宋体"/>
        <charset val="134"/>
      </rPr>
      <t>年下半年提供相关数据，具体时间待定。</t>
    </r>
  </si>
  <si>
    <r>
      <rPr>
        <sz val="12"/>
        <rFont val="宋体"/>
        <charset val="134"/>
      </rPr>
      <t>交易对手方类型</t>
    </r>
  </si>
  <si>
    <t>JYDSFLX</t>
  </si>
  <si>
    <r>
      <rPr>
        <sz val="12"/>
        <rFont val="宋体"/>
        <charset val="134"/>
      </rPr>
      <t>理财产品在投资交易过程中实际使用的货币种类。</t>
    </r>
  </si>
  <si>
    <r>
      <rPr>
        <sz val="12"/>
        <rFont val="Times New Roman"/>
        <charset val="134"/>
      </rPr>
      <t>PK</t>
    </r>
    <r>
      <rPr>
        <sz val="12"/>
        <rFont val="宋体"/>
        <charset val="134"/>
      </rPr>
      <t>。银行理财产品所投资资产或负债在银行内部登记时被赋予的代码，该代码在银行内部应具有唯一性。</t>
    </r>
  </si>
  <si>
    <r>
      <rPr>
        <sz val="12"/>
        <rFont val="宋体"/>
        <charset val="134"/>
      </rPr>
      <t>资产进行各项交易的市场。</t>
    </r>
  </si>
  <si>
    <r>
      <rPr>
        <sz val="12"/>
        <rFont val="宋体"/>
        <charset val="134"/>
      </rPr>
      <t>发生交易的资产的全称。</t>
    </r>
  </si>
  <si>
    <r>
      <rPr>
        <sz val="12"/>
        <rFont val="宋体"/>
        <charset val="134"/>
      </rPr>
      <t>由理财中心根据发行机构填写的融资人行业数据综合生成。所交易资产的融资人行业。</t>
    </r>
  </si>
  <si>
    <r>
      <rPr>
        <sz val="12"/>
        <rFont val="宋体"/>
        <charset val="134"/>
      </rPr>
      <t>发生金额</t>
    </r>
  </si>
  <si>
    <t>FSJE</t>
  </si>
  <si>
    <r>
      <rPr>
        <sz val="12"/>
        <rFont val="宋体"/>
        <charset val="134"/>
      </rPr>
      <t>与币种相对应的资产或负债的实际清算资金额。</t>
    </r>
  </si>
  <si>
    <r>
      <rPr>
        <sz val="12"/>
        <rFont val="宋体"/>
        <charset val="134"/>
      </rPr>
      <t>折算人民币金额</t>
    </r>
  </si>
  <si>
    <t>ZSRMBJE</t>
  </si>
  <si>
    <r>
      <rPr>
        <sz val="12"/>
        <rFont val="宋体"/>
        <charset val="134"/>
      </rPr>
      <t>将发生金额以交易发生当日外汇管理局公布的汇率中间价折算成人民币后的金额。</t>
    </r>
    <r>
      <rPr>
        <sz val="12"/>
        <rFont val="Times New Roman"/>
        <charset val="134"/>
      </rPr>
      <t xml:space="preserve">
</t>
    </r>
    <r>
      <rPr>
        <sz val="12"/>
        <rFont val="宋体"/>
        <charset val="134"/>
      </rPr>
      <t>单位为人民币。</t>
    </r>
  </si>
  <si>
    <t>SL</t>
  </si>
  <si>
    <r>
      <rPr>
        <sz val="12"/>
        <rFont val="宋体"/>
        <charset val="134"/>
      </rPr>
      <t>与发生金额相对应的资产、负债或现金数量。</t>
    </r>
  </si>
  <si>
    <r>
      <rPr>
        <sz val="12"/>
        <rFont val="宋体"/>
        <charset val="134"/>
      </rPr>
      <t>单位成交全价</t>
    </r>
  </si>
  <si>
    <t>DWCJQJ</t>
  </si>
  <si>
    <r>
      <rPr>
        <sz val="12"/>
        <rFont val="宋体"/>
        <charset val="134"/>
      </rPr>
      <t>交易双方实际达成交易的单位价格，以全价方式报送。全价是指包含了计息期内自然增长的应计利息的价格</t>
    </r>
    <r>
      <rPr>
        <sz val="12"/>
        <rFont val="Times New Roman"/>
        <charset val="134"/>
      </rPr>
      <t>,</t>
    </r>
    <r>
      <rPr>
        <sz val="12"/>
        <rFont val="宋体"/>
        <charset val="134"/>
      </rPr>
      <t>也叫发票价格、总价格。单位成交价格的币种统一为人民币。</t>
    </r>
  </si>
  <si>
    <r>
      <rPr>
        <sz val="12"/>
        <rFont val="宋体"/>
        <charset val="134"/>
      </rPr>
      <t>单位成交净价</t>
    </r>
  </si>
  <si>
    <t>DWCJJJ</t>
  </si>
  <si>
    <r>
      <rPr>
        <sz val="12"/>
        <rFont val="宋体"/>
        <charset val="134"/>
      </rPr>
      <t>交易双方实际达成交易的单位价格，以净价方式报送。净价是指资产的现价（全价）扣除持有期间资产未付而应计的自然增长的票面利息的部分。单位成交价格的币种统一为人民币。</t>
    </r>
  </si>
  <si>
    <r>
      <rPr>
        <sz val="12"/>
        <rFont val="宋体"/>
        <charset val="134"/>
      </rPr>
      <t>到期收益率</t>
    </r>
  </si>
  <si>
    <t>DQSYL</t>
  </si>
  <si>
    <r>
      <rPr>
        <sz val="12"/>
        <rFont val="宋体"/>
        <charset val="134"/>
      </rPr>
      <t>交易双方实际达成的年化到期收益率。</t>
    </r>
  </si>
  <si>
    <t>ZCJLFS</t>
  </si>
  <si>
    <r>
      <rPr>
        <sz val="12"/>
        <rFont val="宋体"/>
        <charset val="134"/>
      </rPr>
      <t>资产在交易过程中的估值计量方式。</t>
    </r>
  </si>
  <si>
    <r>
      <rPr>
        <sz val="12"/>
        <rFont val="宋体"/>
        <charset val="134"/>
      </rPr>
      <t>数据元、格式、备注</t>
    </r>
  </si>
  <si>
    <r>
      <rPr>
        <sz val="12"/>
        <rFont val="宋体"/>
        <charset val="134"/>
      </rPr>
      <t>理财产品销售明细表</t>
    </r>
  </si>
  <si>
    <r>
      <rPr>
        <sz val="12"/>
        <rFont val="宋体"/>
        <charset val="134"/>
      </rPr>
      <t>增量表，报送上一采集日期至当前采集日期之间发生的本机构所发行的理财产品交易信息，包含直销及代理代销。</t>
    </r>
    <r>
      <rPr>
        <sz val="12"/>
        <rFont val="Times New Roman"/>
        <charset val="134"/>
      </rPr>
      <t xml:space="preserve">
</t>
    </r>
    <r>
      <rPr>
        <sz val="12"/>
        <rFont val="宋体"/>
        <charset val="134"/>
      </rPr>
      <t>包含银行及理财公司数据。</t>
    </r>
  </si>
  <si>
    <r>
      <rPr>
        <sz val="12"/>
        <rFont val="宋体"/>
        <charset val="134"/>
      </rPr>
      <t>删除核心交易流水号、理财账号、客户统一编号</t>
    </r>
  </si>
  <si>
    <r>
      <rPr>
        <sz val="12"/>
        <rFont val="宋体"/>
        <charset val="134"/>
      </rPr>
      <t>与客户签订的理财产品销售合同编号。</t>
    </r>
  </si>
  <si>
    <r>
      <rPr>
        <sz val="12"/>
        <rFont val="Times New Roman"/>
        <charset val="134"/>
      </rPr>
      <t>PK</t>
    </r>
    <r>
      <rPr>
        <sz val="12"/>
        <rFont val="宋体"/>
        <charset val="134"/>
      </rPr>
      <t>。计划于</t>
    </r>
    <r>
      <rPr>
        <sz val="12"/>
        <rFont val="Times New Roman"/>
        <charset val="134"/>
      </rPr>
      <t>2022</t>
    </r>
    <r>
      <rPr>
        <sz val="12"/>
        <rFont val="宋体"/>
        <charset val="134"/>
      </rPr>
      <t>年下半年提供相关数据，具体时间待定。</t>
    </r>
  </si>
  <si>
    <r>
      <rPr>
        <sz val="12"/>
        <rFont val="宋体"/>
        <charset val="134"/>
      </rPr>
      <t>隐私，银行机构变形，个人姓名保留最后一个字。</t>
    </r>
  </si>
  <si>
    <r>
      <rPr>
        <sz val="12"/>
        <rFont val="宋体"/>
        <charset val="134"/>
      </rPr>
      <t>用于识别投资者身份的证明文件的类型。</t>
    </r>
  </si>
  <si>
    <r>
      <rPr>
        <sz val="12"/>
        <rFont val="宋体"/>
        <charset val="134"/>
      </rPr>
      <t>与证件类别相对应的号码。</t>
    </r>
  </si>
  <si>
    <r>
      <rPr>
        <sz val="12"/>
        <rFont val="宋体"/>
        <charset val="134"/>
      </rPr>
      <t>客户理财交易账号</t>
    </r>
  </si>
  <si>
    <t>GLHQCKZH</t>
  </si>
  <si>
    <r>
      <rPr>
        <sz val="12"/>
        <rFont val="宋体"/>
        <charset val="134"/>
      </rPr>
      <t>客户用来购买理财产品的账号</t>
    </r>
  </si>
  <si>
    <r>
      <rPr>
        <sz val="12"/>
        <rFont val="宋体"/>
        <charset val="134"/>
      </rPr>
      <t>数据项名称、数据元</t>
    </r>
  </si>
  <si>
    <r>
      <rPr>
        <sz val="12"/>
        <rFont val="宋体"/>
        <charset val="134"/>
      </rPr>
      <t>数据项名称由</t>
    </r>
    <r>
      <rPr>
        <sz val="12"/>
        <rFont val="Times New Roman"/>
        <charset val="134"/>
      </rPr>
      <t>“</t>
    </r>
    <r>
      <rPr>
        <sz val="12"/>
        <rFont val="宋体"/>
        <charset val="134"/>
      </rPr>
      <t>关联存款活期账号</t>
    </r>
    <r>
      <rPr>
        <sz val="12"/>
        <rFont val="Times New Roman"/>
        <charset val="134"/>
      </rPr>
      <t>”</t>
    </r>
    <r>
      <rPr>
        <sz val="12"/>
        <rFont val="宋体"/>
        <charset val="134"/>
      </rPr>
      <t>变更为</t>
    </r>
    <r>
      <rPr>
        <sz val="12"/>
        <rFont val="Times New Roman"/>
        <charset val="134"/>
      </rPr>
      <t>“</t>
    </r>
    <r>
      <rPr>
        <sz val="12"/>
        <rFont val="宋体"/>
        <charset val="134"/>
      </rPr>
      <t>客户理财交易账号</t>
    </r>
    <r>
      <rPr>
        <sz val="12"/>
        <rFont val="Times New Roman"/>
        <charset val="134"/>
      </rPr>
      <t>”</t>
    </r>
  </si>
  <si>
    <r>
      <rPr>
        <sz val="12"/>
        <rFont val="宋体"/>
        <charset val="134"/>
      </rPr>
      <t>客户理财交易账号开户行</t>
    </r>
  </si>
  <si>
    <t>GLZHKHH</t>
  </si>
  <si>
    <r>
      <rPr>
        <sz val="12"/>
        <rFont val="宋体"/>
        <charset val="134"/>
      </rPr>
      <t>关联活期存款账号开户行名称</t>
    </r>
  </si>
  <si>
    <r>
      <rPr>
        <sz val="12"/>
        <rFont val="宋体"/>
        <charset val="134"/>
      </rPr>
      <t>关联账号开户所在地</t>
    </r>
  </si>
  <si>
    <t>GLZHKHSZD</t>
  </si>
  <si>
    <r>
      <rPr>
        <sz val="12"/>
        <rFont val="宋体"/>
        <charset val="134"/>
      </rPr>
      <t>关联活期存款账户开户所属的地区。</t>
    </r>
  </si>
  <si>
    <r>
      <rPr>
        <sz val="12"/>
        <rFont val="宋体"/>
        <charset val="134"/>
      </rPr>
      <t>是否代销</t>
    </r>
  </si>
  <si>
    <t>SFDX</t>
  </si>
  <si>
    <r>
      <rPr>
        <sz val="12"/>
        <rFont val="宋体"/>
        <charset val="134"/>
      </rPr>
      <t>删除备注</t>
    </r>
  </si>
  <si>
    <r>
      <rPr>
        <sz val="12"/>
        <rFont val="宋体"/>
        <charset val="134"/>
      </rPr>
      <t>代销机构名称</t>
    </r>
  </si>
  <si>
    <t>DXJGMC</t>
  </si>
  <si>
    <r>
      <rPr>
        <sz val="12"/>
        <rFont val="宋体"/>
        <charset val="134"/>
      </rPr>
      <t>代销机构代码</t>
    </r>
  </si>
  <si>
    <t>DXJGJRJGDM</t>
  </si>
  <si>
    <r>
      <rPr>
        <sz val="12"/>
        <rFont val="宋体"/>
        <charset val="134"/>
      </rPr>
      <t>取自代销机构金融机构代码证前</t>
    </r>
    <r>
      <rPr>
        <sz val="12"/>
        <rFont val="Times New Roman"/>
        <charset val="134"/>
      </rPr>
      <t>6</t>
    </r>
    <r>
      <rPr>
        <sz val="12"/>
        <rFont val="宋体"/>
        <charset val="134"/>
      </rPr>
      <t>位。</t>
    </r>
  </si>
  <si>
    <r>
      <rPr>
        <sz val="12"/>
        <rFont val="宋体"/>
        <charset val="134"/>
      </rPr>
      <t>代销机构所属监管机构</t>
    </r>
  </si>
  <si>
    <t>DXJGSSJGBM</t>
  </si>
  <si>
    <r>
      <rPr>
        <sz val="12"/>
        <rFont val="宋体"/>
        <charset val="134"/>
      </rPr>
      <t>理财产品名称</t>
    </r>
  </si>
  <si>
    <t>LCCPMC</t>
  </si>
  <si>
    <r>
      <rPr>
        <sz val="12"/>
        <rFont val="宋体"/>
        <charset val="134"/>
      </rPr>
      <t>业务确认日期</t>
    </r>
  </si>
  <si>
    <t>YWQRRQ</t>
  </si>
  <si>
    <r>
      <rPr>
        <sz val="12"/>
        <rFont val="宋体"/>
        <charset val="134"/>
      </rPr>
      <t>产品发行机构对该笔业务导致客户理财产品金额或份额发生变化的情况进行确认的日期。</t>
    </r>
  </si>
  <si>
    <r>
      <rPr>
        <sz val="12"/>
        <rFont val="宋体"/>
        <charset val="134"/>
      </rPr>
      <t>业务确认时间</t>
    </r>
  </si>
  <si>
    <t>YWQRSJ</t>
  </si>
  <si>
    <r>
      <rPr>
        <sz val="12"/>
        <rFont val="宋体"/>
        <charset val="134"/>
      </rPr>
      <t>产品发行机构对该笔业务导致客户理财产品金额或份额发生变化的情况进行确认的时间。</t>
    </r>
  </si>
  <si>
    <r>
      <rPr>
        <sz val="12"/>
        <rFont val="宋体"/>
        <charset val="134"/>
      </rPr>
      <t>确认净值</t>
    </r>
  </si>
  <si>
    <t>QRJZ</t>
  </si>
  <si>
    <r>
      <rPr>
        <sz val="12"/>
        <rFont val="宋体"/>
        <charset val="134"/>
      </rPr>
      <t>确认金额</t>
    </r>
  </si>
  <si>
    <t>QRJE</t>
  </si>
  <si>
    <r>
      <rPr>
        <sz val="12"/>
        <rFont val="宋体"/>
        <charset val="134"/>
      </rPr>
      <t>与选择币种相对应的、各业务种类实际发生总金额。</t>
    </r>
  </si>
  <si>
    <r>
      <rPr>
        <sz val="12"/>
        <rFont val="宋体"/>
        <charset val="134"/>
      </rPr>
      <t>将原币种</t>
    </r>
    <r>
      <rPr>
        <sz val="12"/>
        <rFont val="Times New Roman"/>
        <charset val="134"/>
      </rPr>
      <t>“</t>
    </r>
    <r>
      <rPr>
        <sz val="12"/>
        <rFont val="宋体"/>
        <charset val="134"/>
      </rPr>
      <t>金额</t>
    </r>
    <r>
      <rPr>
        <sz val="12"/>
        <rFont val="Times New Roman"/>
        <charset val="134"/>
      </rPr>
      <t>”</t>
    </r>
    <r>
      <rPr>
        <sz val="12"/>
        <rFont val="宋体"/>
        <charset val="134"/>
      </rPr>
      <t>以登记日当日外汇管理局公布的汇率中间价折算成人民币后的金额。</t>
    </r>
    <r>
      <rPr>
        <sz val="12"/>
        <rFont val="Times New Roman"/>
        <charset val="134"/>
      </rPr>
      <t xml:space="preserve">
</t>
    </r>
    <r>
      <rPr>
        <sz val="12"/>
        <rFont val="宋体"/>
        <charset val="134"/>
      </rPr>
      <t>单位为人民币。</t>
    </r>
  </si>
  <si>
    <r>
      <rPr>
        <sz val="12"/>
        <rFont val="宋体"/>
        <charset val="134"/>
      </rPr>
      <t>确认份额</t>
    </r>
  </si>
  <si>
    <t>QRFE</t>
  </si>
  <si>
    <r>
      <rPr>
        <sz val="12"/>
        <rFont val="宋体"/>
        <charset val="134"/>
      </rPr>
      <t>以枚举类型填报，如果无法以枚举类型填报的，以</t>
    </r>
    <r>
      <rPr>
        <sz val="12"/>
        <rFont val="Times New Roman"/>
        <charset val="134"/>
      </rPr>
      <t>“</t>
    </r>
    <r>
      <rPr>
        <sz val="12"/>
        <rFont val="宋体"/>
        <charset val="134"/>
      </rPr>
      <t>其它</t>
    </r>
    <r>
      <rPr>
        <sz val="12"/>
        <rFont val="Times New Roman"/>
        <charset val="134"/>
      </rPr>
      <t>-XX”</t>
    </r>
    <r>
      <rPr>
        <sz val="12"/>
        <rFont val="宋体"/>
        <charset val="134"/>
      </rPr>
      <t>填报，其中</t>
    </r>
    <r>
      <rPr>
        <sz val="12"/>
        <rFont val="Times New Roman"/>
        <charset val="134"/>
      </rPr>
      <t>XX</t>
    </r>
    <r>
      <rPr>
        <sz val="12"/>
        <rFont val="宋体"/>
        <charset val="134"/>
      </rPr>
      <t>为银行自定义的交易渠道。</t>
    </r>
  </si>
  <si>
    <r>
      <rPr>
        <sz val="12"/>
        <rFont val="宋体"/>
        <charset val="134"/>
      </rPr>
      <t>数据项名称、数据项代码、数据元说明、备注</t>
    </r>
  </si>
  <si>
    <r>
      <rPr>
        <sz val="12"/>
        <rFont val="宋体"/>
        <charset val="134"/>
      </rPr>
      <t>关联数据项：柜员表</t>
    </r>
    <r>
      <rPr>
        <sz val="12"/>
        <rFont val="Times New Roman"/>
        <charset val="134"/>
      </rPr>
      <t>.</t>
    </r>
    <r>
      <rPr>
        <sz val="12"/>
        <rFont val="宋体"/>
        <charset val="134"/>
      </rPr>
      <t>柜员号，允许为空</t>
    </r>
  </si>
  <si>
    <r>
      <rPr>
        <sz val="12"/>
        <rFont val="宋体"/>
        <charset val="134"/>
      </rPr>
      <t>客户理财产品持有信息表</t>
    </r>
  </si>
  <si>
    <r>
      <rPr>
        <sz val="12"/>
        <rFont val="宋体"/>
        <charset val="134"/>
      </rPr>
      <t>全量表，报送截止采集日有效的数据。本机构客户开立的理财分户账信息，报送本机构理财产品账户信息，代销其他机构理财在其他机构数据源下报送。买入不同理财产品的，每个产品作为一条记录。本表为状态表，每月逐客户（客户证件类别</t>
    </r>
    <r>
      <rPr>
        <sz val="12"/>
        <rFont val="Times New Roman"/>
        <charset val="134"/>
      </rPr>
      <t>+</t>
    </r>
    <r>
      <rPr>
        <sz val="12"/>
        <rFont val="宋体"/>
        <charset val="134"/>
      </rPr>
      <t>客户证件号码）、逐产品报送截至月底的持仓信息。</t>
    </r>
    <r>
      <rPr>
        <sz val="12"/>
        <rFont val="Times New Roman"/>
        <charset val="134"/>
      </rPr>
      <t xml:space="preserve">
</t>
    </r>
    <r>
      <rPr>
        <sz val="12"/>
        <rFont val="宋体"/>
        <charset val="134"/>
      </rPr>
      <t>仅包含产品起始日在</t>
    </r>
    <r>
      <rPr>
        <sz val="12"/>
        <rFont val="Times New Roman"/>
        <charset val="134"/>
      </rPr>
      <t>2018</t>
    </r>
    <r>
      <rPr>
        <sz val="12"/>
        <rFont val="宋体"/>
        <charset val="134"/>
      </rPr>
      <t>年</t>
    </r>
    <r>
      <rPr>
        <sz val="12"/>
        <rFont val="Times New Roman"/>
        <charset val="134"/>
      </rPr>
      <t>10</t>
    </r>
    <r>
      <rPr>
        <sz val="12"/>
        <rFont val="宋体"/>
        <charset val="134"/>
      </rPr>
      <t>月</t>
    </r>
    <r>
      <rPr>
        <sz val="12"/>
        <rFont val="Times New Roman"/>
        <charset val="134"/>
      </rPr>
      <t>1</t>
    </r>
    <r>
      <rPr>
        <sz val="12"/>
        <rFont val="宋体"/>
        <charset val="134"/>
      </rPr>
      <t>日之后的理财产品（由母行划转至理财公司的产品，仅包含母行原产品的起始日在</t>
    </r>
    <r>
      <rPr>
        <sz val="12"/>
        <rFont val="Times New Roman"/>
        <charset val="134"/>
      </rPr>
      <t>2018</t>
    </r>
    <r>
      <rPr>
        <sz val="12"/>
        <rFont val="宋体"/>
        <charset val="134"/>
      </rPr>
      <t>年</t>
    </r>
    <r>
      <rPr>
        <sz val="12"/>
        <rFont val="Times New Roman"/>
        <charset val="134"/>
      </rPr>
      <t>10</t>
    </r>
    <r>
      <rPr>
        <sz val="12"/>
        <rFont val="宋体"/>
        <charset val="134"/>
      </rPr>
      <t>月</t>
    </r>
    <r>
      <rPr>
        <sz val="12"/>
        <rFont val="Times New Roman"/>
        <charset val="134"/>
      </rPr>
      <t>1</t>
    </r>
    <r>
      <rPr>
        <sz val="12"/>
        <rFont val="宋体"/>
        <charset val="134"/>
      </rPr>
      <t>日之后的产品）</t>
    </r>
    <r>
      <rPr>
        <sz val="12"/>
        <rFont val="Times New Roman"/>
        <charset val="134"/>
      </rPr>
      <t xml:space="preserve">
</t>
    </r>
    <r>
      <rPr>
        <sz val="12"/>
        <rFont val="宋体"/>
        <charset val="134"/>
      </rPr>
      <t>包含银行及理财公司数据。</t>
    </r>
  </si>
  <si>
    <r>
      <rPr>
        <sz val="12"/>
        <rFont val="宋体"/>
        <charset val="134"/>
      </rPr>
      <t>与客户持有份额相对应的货币种类。</t>
    </r>
  </si>
  <si>
    <r>
      <rPr>
        <sz val="12"/>
        <rFont val="宋体"/>
        <charset val="134"/>
      </rPr>
      <t>隐私，银行机构变形，三个字以内（包含三个字）的名称保留最后一个字，其余长度的名称不变形。</t>
    </r>
  </si>
  <si>
    <r>
      <rPr>
        <sz val="12"/>
        <rFont val="Times New Roman"/>
        <charset val="134"/>
      </rPr>
      <t>PK</t>
    </r>
    <r>
      <rPr>
        <sz val="12"/>
        <rFont val="宋体"/>
        <charset val="134"/>
      </rPr>
      <t>。用于识别客户身份的证明文件的类型。</t>
    </r>
  </si>
  <si>
    <r>
      <rPr>
        <sz val="12"/>
        <rFont val="Times New Roman"/>
        <charset val="134"/>
      </rPr>
      <t>PK</t>
    </r>
    <r>
      <rPr>
        <sz val="12"/>
        <rFont val="宋体"/>
        <charset val="134"/>
      </rPr>
      <t>。与证件类别相对应的号码。</t>
    </r>
  </si>
  <si>
    <r>
      <rPr>
        <sz val="12"/>
        <rFont val="宋体"/>
        <charset val="134"/>
      </rPr>
      <t>理财产品名称。</t>
    </r>
  </si>
  <si>
    <r>
      <rPr>
        <sz val="12"/>
        <rFont val="宋体"/>
        <charset val="134"/>
      </rPr>
      <t>客户持有日期</t>
    </r>
  </si>
  <si>
    <t>KHCYRQ</t>
  </si>
  <si>
    <r>
      <rPr>
        <sz val="12"/>
        <rFont val="宋体"/>
        <charset val="134"/>
      </rPr>
      <t>与客户持有理财份额相对应的日期。</t>
    </r>
  </si>
  <si>
    <r>
      <rPr>
        <sz val="12"/>
        <rFont val="宋体"/>
        <charset val="134"/>
      </rPr>
      <t>客户持有理财余额</t>
    </r>
  </si>
  <si>
    <t>KHCYLCYE</t>
  </si>
  <si>
    <r>
      <rPr>
        <sz val="12"/>
        <rFont val="宋体"/>
        <charset val="134"/>
      </rPr>
      <t>指客户当日截至</t>
    </r>
    <r>
      <rPr>
        <sz val="12"/>
        <rFont val="Times New Roman"/>
        <charset val="134"/>
      </rPr>
      <t>17</t>
    </r>
    <r>
      <rPr>
        <sz val="12"/>
        <rFont val="宋体"/>
        <charset val="134"/>
      </rPr>
      <t>：</t>
    </r>
    <r>
      <rPr>
        <sz val="12"/>
        <rFont val="Times New Roman"/>
        <charset val="134"/>
      </rPr>
      <t>00</t>
    </r>
    <r>
      <rPr>
        <sz val="12"/>
        <rFont val="宋体"/>
        <charset val="134"/>
      </rPr>
      <t>持有理财产品余额，与币种保持一致。</t>
    </r>
  </si>
  <si>
    <r>
      <rPr>
        <sz val="12"/>
        <rFont val="宋体"/>
        <charset val="134"/>
      </rPr>
      <t>客户持有理财折算人民币余额</t>
    </r>
  </si>
  <si>
    <t>KHCYLCZSRMBYE</t>
  </si>
  <si>
    <r>
      <rPr>
        <sz val="12"/>
        <rFont val="宋体"/>
        <charset val="134"/>
      </rPr>
      <t>指客户当日截至</t>
    </r>
    <r>
      <rPr>
        <sz val="12"/>
        <rFont val="Times New Roman"/>
        <charset val="134"/>
      </rPr>
      <t>17</t>
    </r>
    <r>
      <rPr>
        <sz val="12"/>
        <rFont val="宋体"/>
        <charset val="134"/>
      </rPr>
      <t>：</t>
    </r>
    <r>
      <rPr>
        <sz val="12"/>
        <rFont val="Times New Roman"/>
        <charset val="134"/>
      </rPr>
      <t>00</t>
    </r>
    <r>
      <rPr>
        <sz val="12"/>
        <rFont val="宋体"/>
        <charset val="134"/>
      </rPr>
      <t>持有理财产品余额。</t>
    </r>
    <r>
      <rPr>
        <sz val="12"/>
        <rFont val="Times New Roman"/>
        <charset val="134"/>
      </rPr>
      <t xml:space="preserve">
</t>
    </r>
    <r>
      <rPr>
        <sz val="12"/>
        <rFont val="宋体"/>
        <charset val="134"/>
      </rPr>
      <t>单位为人民币。</t>
    </r>
  </si>
  <si>
    <r>
      <rPr>
        <sz val="12"/>
        <rFont val="宋体"/>
        <charset val="134"/>
      </rPr>
      <t>客户持有理财份额</t>
    </r>
  </si>
  <si>
    <t>KHCYLCFE</t>
  </si>
  <si>
    <r>
      <rPr>
        <sz val="12"/>
        <rFont val="宋体"/>
        <charset val="134"/>
      </rPr>
      <t>指客户在持有日期当日截至</t>
    </r>
    <r>
      <rPr>
        <sz val="12"/>
        <rFont val="Times New Roman"/>
        <charset val="134"/>
      </rPr>
      <t>17</t>
    </r>
    <r>
      <rPr>
        <sz val="12"/>
        <rFont val="宋体"/>
        <charset val="134"/>
      </rPr>
      <t>：</t>
    </r>
    <r>
      <rPr>
        <sz val="12"/>
        <rFont val="Times New Roman"/>
        <charset val="134"/>
      </rPr>
      <t>00</t>
    </r>
    <r>
      <rPr>
        <sz val="12"/>
        <rFont val="宋体"/>
        <charset val="134"/>
      </rPr>
      <t>持有的理财产品份额。该要素对于非净值型产品指产品本金部分。</t>
    </r>
  </si>
  <si>
    <t>自营资金业务报送范围</t>
  </si>
  <si>
    <t>业务大类</t>
  </si>
  <si>
    <t>业务中类</t>
  </si>
  <si>
    <t>业务小类</t>
  </si>
  <si>
    <t>同业往来</t>
  </si>
  <si>
    <t>买入返售</t>
  </si>
  <si>
    <t>买入返售证券</t>
  </si>
  <si>
    <t>买入返售债权</t>
  </si>
  <si>
    <t>买入返售信贷资产</t>
  </si>
  <si>
    <t>其他-银行自定义</t>
  </si>
  <si>
    <t>卖出回购</t>
  </si>
  <si>
    <t>卖出回购证券</t>
  </si>
  <si>
    <t>卖出回购债权</t>
  </si>
  <si>
    <t>卖出回购信贷资产</t>
  </si>
  <si>
    <t>拆入</t>
  </si>
  <si>
    <t>拆入银行金融机构</t>
  </si>
  <si>
    <t>拆入非银行金融机构</t>
  </si>
  <si>
    <t>拆出</t>
  </si>
  <si>
    <t>拆出银行金融机构</t>
  </si>
  <si>
    <t>拆出非银行金融机构</t>
  </si>
  <si>
    <t>同业借款</t>
  </si>
  <si>
    <t>境内同业借款</t>
  </si>
  <si>
    <t>境外同业借款</t>
  </si>
  <si>
    <t>同业代付</t>
  </si>
  <si>
    <t>代理境内同业付款</t>
  </si>
  <si>
    <t>代理境外同业付款</t>
  </si>
  <si>
    <t>存放同业</t>
  </si>
  <si>
    <t>非结算性存放同业</t>
  </si>
  <si>
    <t>同业存单</t>
  </si>
  <si>
    <t>同业存单发行</t>
  </si>
  <si>
    <t>同业存单投资</t>
  </si>
  <si>
    <t>债券发行</t>
  </si>
  <si>
    <t>商业银行债</t>
  </si>
  <si>
    <t>银行次级债</t>
  </si>
  <si>
    <t>银行永续债</t>
  </si>
  <si>
    <t>其他</t>
  </si>
  <si>
    <t>债券借贷</t>
  </si>
  <si>
    <t>银行自定义</t>
  </si>
  <si>
    <t>债券投资与同业投资</t>
  </si>
  <si>
    <t>债券投资</t>
  </si>
  <si>
    <t>国债</t>
  </si>
  <si>
    <t>地方政府债</t>
  </si>
  <si>
    <t>央票</t>
  </si>
  <si>
    <t>政府支持机构债</t>
  </si>
  <si>
    <t>政策性金融债</t>
  </si>
  <si>
    <t>商业性金融债</t>
  </si>
  <si>
    <t>非金融企业债券</t>
  </si>
  <si>
    <t>资产支持证券（信贷资产证券化）</t>
  </si>
  <si>
    <t>资产支持证券（交易所资产支持证券）</t>
  </si>
  <si>
    <t>资产支持证券（资产支持票据）</t>
  </si>
  <si>
    <t>外国债券</t>
  </si>
  <si>
    <t>权益类投资</t>
  </si>
  <si>
    <t>长期股权投资</t>
  </si>
  <si>
    <t>上市股票</t>
  </si>
  <si>
    <t>非上市股权</t>
  </si>
  <si>
    <t>公募基金投资</t>
  </si>
  <si>
    <t>债券基金</t>
  </si>
  <si>
    <t>货币市场基金</t>
  </si>
  <si>
    <t>股票基金</t>
  </si>
  <si>
    <t>基金中基金</t>
  </si>
  <si>
    <t>混合基金</t>
  </si>
  <si>
    <t>私募基金投资</t>
  </si>
  <si>
    <t>私募证券投资基金</t>
  </si>
  <si>
    <t>私募股权投资基金</t>
  </si>
  <si>
    <t>私募创业投资基金</t>
  </si>
  <si>
    <t>资产管理产品投资</t>
  </si>
  <si>
    <t>非保本理财投资</t>
  </si>
  <si>
    <t>信托产品（资金信托）</t>
  </si>
  <si>
    <t>信托产品（财产权信托）</t>
  </si>
  <si>
    <t>证券业资产管理产品（不含公募基金）</t>
  </si>
  <si>
    <t>保险业资产管理产品</t>
  </si>
  <si>
    <t>其他投资</t>
  </si>
  <si>
    <t>其他债权融资（其他交易平台债权融资工具）</t>
  </si>
  <si>
    <t>其他债权融资（非标转标资产）</t>
  </si>
  <si>
    <t>示例交易背景</t>
  </si>
  <si>
    <t>填报机构2021年6月1日以6.36元人民币/美元的价格向某交易对手卖出6360元人民币。</t>
  </si>
  <si>
    <t>填报机构2021年12月14日在中国外汇交易中心以1.128美元/欧元的价格向某匿名交易对手卖出500欧元。</t>
  </si>
  <si>
    <t>填报机构2021年12月20日在洲际交易所以1797.4美元/盎司的价格向某交易对手卖出100盎司黄金。</t>
  </si>
  <si>
    <t>某交易对手2021年12月1日以1800美元/盎司的价格向填报机构卖出100盎司账户黄金。</t>
  </si>
  <si>
    <t>填报机构2021年12月14日以365.7元/克的价格向某交易对手卖出4克黄金（积存金）。</t>
  </si>
  <si>
    <t>某交易对手2021年12月14日从其在填报机构开立的黄金（积存金）账户提取100克黄金。</t>
  </si>
  <si>
    <t>某交易对手2021年12月20日以0.5%的利率向填报机构租借5000克黄金，2022年9月15日到期。</t>
  </si>
  <si>
    <t>某交易对手2021年3月29日以15165印尼卢比/美元的价格向填报机构买入本金为4549500印尼卢比的远期合约，2022年3月31日到期。</t>
  </si>
  <si>
    <t>为对冲交易（201）汇率风险，填报机构以15147卢比/美元的价格向其他交易对手买入本金为4544100卢比的远期合约。</t>
  </si>
  <si>
    <t>填报机构2021年12月7日以1857.347美元/盎司的价格向某交易对手购买0.81盎司钯金远期合约，2022年3月9日到期，差额结算。</t>
  </si>
  <si>
    <t>填报机构2021年4月16日以99.43元/张的价格买入20手3年期国开债标准债券远期合约。</t>
  </si>
  <si>
    <t>某交易对手2021年12月7日以19847美元/吨的价格向填报机构买入6吨镍远期合约，2022年3月7日到期。</t>
  </si>
  <si>
    <t xml:space="preserve">
某交易对手2021年11月30日以467.83元人民币/桶的价格向填报机构购买1.8桶账户原油。</t>
  </si>
  <si>
    <t>某交易对手2021年12月24日与填报机构达成名义本金为500万元人民币的远期利率协议，2022年3月24日到期，填报机构收固定利率4.4%、付浮动利率SHIBOR3M。</t>
  </si>
  <si>
    <t>填报机构2020年4月10日以102.835元/张的价格买入平仓1手五年期国债期货合约</t>
  </si>
  <si>
    <t>填报机构与某交易对手2021年5月25日达成欧元美元掉期交易，填报机构2021年5月27日收1222美元付1000欧元，2021年12月27日收1000欧元付1233美元。</t>
  </si>
  <si>
    <t>某交易对手2021年12月7日与填报机构达成美元白银掉期交易，填报机构2021年12月9日收6729美元、付300盎司白银，2022年1月10日收6729.537美元、付300盎司白银。</t>
  </si>
  <si>
    <t>交易（402）2021年12月15日估值为2812.5美元。</t>
  </si>
  <si>
    <t>填报机构与某交易对手2020年12月15日达成利率互换交易，到期日为2021年12月15日，名义本金均为1000元人民币，每季度最后一个月的15日交换利息，填报机构收浮动利率FR007+50BP、付固定利率2.63%。</t>
  </si>
  <si>
    <t>填报机构2020年5月21日与某交易对手达成交叉货币互换交易，2020年5月21日填报机构收1000美元本金、付6500元人民币本金，每年3月21日和9月21日互换利息，填报机构付美元固定利率6%、收人民币浮动利率SHIBOR3M+10BP，2022年3月21日完成最后一次利息交换以及本金交换。</t>
  </si>
  <si>
    <t>某交易对手2019年10月23日以250BP的价格向填报机构买入名义本金为1亿元人民币的某信用风险缓释凭证。</t>
  </si>
  <si>
    <t>填报机构2019年12月13日以1BP的价格向某交易对手卖出名义本金为1000万元人民币的某公司信用违约互换。</t>
  </si>
  <si>
    <t>填报机构2021年11月5日向某交易对手买入美元对人民币欧式看涨期权，本金为1000美元，约定汇率为6.59人民币/美元，期权费为20元人民币，2021年11月26日到期。</t>
  </si>
  <si>
    <t>某交易对手2021年10月15日向填报机构购买名义本金为8000欧元、挂钩EURIBOR3M的利率下限期权，期权费为0，2024年10月29日到期，2021年11月24日起每季度交割，某交易对手有权要求填报机构支付EURIBOR3M小于0的部分。</t>
  </si>
  <si>
    <t>填报银行2021年3月29日以1BP的价格向某交易对手购买名义本金为1千万元、挂钩FDR001的利率上限期权，按季度交割，填报银行有权要求某交易对手支付FDR001超过1.5%的部分。</t>
  </si>
  <si>
    <t>某交易对手2021年12月24日以10500元人民币的价格向填报机构买入挂钩LPR1Y、名义本金500万元、上限为4.05%的利率期权，同时以10000元人民币的价格向填报机构卖出挂钩LPR1Y、名义本金500万元、下限为3.8%的利率期权，按季度重置和支付，2022年12月24日到期。</t>
  </si>
  <si>
    <t>某交易对手2019年4月5日向填报机构买入2200万磅棉花欧式看涨期权，期权费0.017美元/磅，行权日2019年6月21日，行权价格0.81美元/磅。</t>
  </si>
  <si>
    <t>交易（505）2019年5月31日估值为370000美元。</t>
  </si>
  <si>
    <t>某交易对手2021年12月15日向填报机构购买10盎司黄金欧式看跌期权，2022年3月14日到期，期权费为350美元，约定单价为1650美元/盎司。</t>
  </si>
  <si>
    <t>填报机构2021年12月15日向某交易对手购买名义本金为100美元的二元期权，行权日为2022年3月14日，期权费45美元，行权条件为欧元兑美元汇率大于等于1.135。</t>
  </si>
  <si>
    <t>某交易对手2021年12月15日向填报机构购买名义本金为150美元的二元期权，期权费78美元，行权条件为2022年3月14日前欧元兑美元汇率小于等于1.15。</t>
  </si>
  <si>
    <t>填报机构2021年12月15日向某交易对手购买名义本金为500元人民币的二元期权，期权费300元人民币，行权条件为2022年3月14日前欧元兑美元汇率在(1.105,1.16)区间内。</t>
  </si>
  <si>
    <t>填报机构2021年11月30日在上海黄金交易所以368.66元/克的价格买入9000克AU(T+D)合约。</t>
  </si>
  <si>
    <t>填报机构2012年6月12日向某交易对手买入利率掉期期权，期权费为200美元，填报机构在期权到期日（2012年9月12日）决定是否进行一笔名义本金为200000美元的利率互换：填报机构付浮动利率USD 3M LIBOR+2%、收固定利率3%。</t>
  </si>
  <si>
    <t>金融许可证号</t>
  </si>
  <si>
    <t>XXX</t>
  </si>
  <si>
    <t>内部机构号</t>
  </si>
  <si>
    <t>银行机构名称</t>
  </si>
  <si>
    <t>交易编号</t>
  </si>
  <si>
    <t>业务品种</t>
  </si>
  <si>
    <t>即期结售汇</t>
  </si>
  <si>
    <t>即期外汇买卖</t>
  </si>
  <si>
    <t>即期贵金属</t>
  </si>
  <si>
    <t>双向账户贵金属</t>
  </si>
  <si>
    <t>贵金属积存金</t>
  </si>
  <si>
    <t>贵金属积存金提取</t>
  </si>
  <si>
    <t>贵金属租借</t>
  </si>
  <si>
    <t>远期外汇</t>
  </si>
  <si>
    <t>远期贵金属</t>
  </si>
  <si>
    <t>标准债券远期</t>
  </si>
  <si>
    <t>商品远期</t>
  </si>
  <si>
    <t>远期账户商品</t>
  </si>
  <si>
    <t>远期利率协议</t>
  </si>
  <si>
    <t>国债期货</t>
  </si>
  <si>
    <t>外汇掉期</t>
  </si>
  <si>
    <t>贵金属掉期</t>
  </si>
  <si>
    <t>贵金属掉期（估值）</t>
  </si>
  <si>
    <t>利率互换</t>
  </si>
  <si>
    <t>交叉货币互换</t>
  </si>
  <si>
    <t>信用风险缓释凭证</t>
  </si>
  <si>
    <t>信用违约互换</t>
  </si>
  <si>
    <t>外汇期权</t>
  </si>
  <si>
    <t>利率下限期权</t>
  </si>
  <si>
    <t>利率上限期权</t>
  </si>
  <si>
    <t>领式期权</t>
  </si>
  <si>
    <t>商品期权</t>
  </si>
  <si>
    <t>商品期权（估值）</t>
  </si>
  <si>
    <t>贵金属期权</t>
  </si>
  <si>
    <t>二元期权（digital）</t>
  </si>
  <si>
    <t>二元期权（one touch）</t>
  </si>
  <si>
    <t>二元期权(double no touch)</t>
  </si>
  <si>
    <t>AU(T+D)</t>
  </si>
  <si>
    <t>利率掉期期权</t>
  </si>
  <si>
    <t>基础资产类型</t>
  </si>
  <si>
    <t>汇率</t>
  </si>
  <si>
    <t>贵金属</t>
  </si>
  <si>
    <t>利率</t>
  </si>
  <si>
    <t>商品</t>
  </si>
  <si>
    <t>信用</t>
  </si>
  <si>
    <t>基础资产名称</t>
  </si>
  <si>
    <t>USDCNY</t>
  </si>
  <si>
    <t>EURUSD</t>
  </si>
  <si>
    <t>XAU</t>
  </si>
  <si>
    <t>黄金</t>
  </si>
  <si>
    <t>USDIDR</t>
  </si>
  <si>
    <t>XPD</t>
  </si>
  <si>
    <t>3年期虚拟国开债</t>
  </si>
  <si>
    <t>镍</t>
  </si>
  <si>
    <t>原油</t>
  </si>
  <si>
    <t>固定利率</t>
  </si>
  <si>
    <t>SHIBOR3M</t>
  </si>
  <si>
    <t>5年期虚拟国债</t>
  </si>
  <si>
    <t>USD</t>
  </si>
  <si>
    <t>EUR</t>
  </si>
  <si>
    <t>XAG</t>
  </si>
  <si>
    <t>FR007</t>
  </si>
  <si>
    <t>某信用风险缓释凭证</t>
  </si>
  <si>
    <t>某公司信用事件</t>
  </si>
  <si>
    <t>EURIBOR3M</t>
  </si>
  <si>
    <t>FDR001</t>
  </si>
  <si>
    <t>LPR1Y</t>
  </si>
  <si>
    <t>棉花</t>
  </si>
  <si>
    <t>XAUUSD</t>
  </si>
  <si>
    <t>USD 3M LIBOR</t>
  </si>
  <si>
    <t>交易类型</t>
  </si>
  <si>
    <t>代客</t>
  </si>
  <si>
    <t>做市</t>
  </si>
  <si>
    <t>自营</t>
  </si>
  <si>
    <t>代客平盘</t>
  </si>
  <si>
    <t>套期保值</t>
  </si>
  <si>
    <t>合约种类</t>
  </si>
  <si>
    <t>即期</t>
  </si>
  <si>
    <t>远期</t>
  </si>
  <si>
    <t>期货</t>
  </si>
  <si>
    <t>掉期</t>
  </si>
  <si>
    <t>互换</t>
  </si>
  <si>
    <t>期权</t>
  </si>
  <si>
    <t>延期交收</t>
  </si>
  <si>
    <t>交易状态</t>
  </si>
  <si>
    <t>估值</t>
  </si>
  <si>
    <t>买方名称</t>
  </si>
  <si>
    <t>某交易对手</t>
  </si>
  <si>
    <t>填报机构</t>
  </si>
  <si>
    <t>填报银行</t>
  </si>
  <si>
    <t>买方客户统一编号</t>
  </si>
  <si>
    <t>卖方名称</t>
  </si>
  <si>
    <t>卖方客户统一编号</t>
  </si>
  <si>
    <t>交易日期</t>
  </si>
  <si>
    <t>20191213</t>
  </si>
  <si>
    <t>20210329</t>
  </si>
  <si>
    <t>交易时间</t>
  </si>
  <si>
    <t>000000</t>
  </si>
  <si>
    <t>起息日期</t>
  </si>
  <si>
    <t>20191216</t>
  </si>
  <si>
    <t>到期日期</t>
  </si>
  <si>
    <t>20191227</t>
  </si>
  <si>
    <t>20210629</t>
  </si>
  <si>
    <t>截止日期</t>
  </si>
  <si>
    <t>20220629</t>
  </si>
  <si>
    <t>20220316</t>
  </si>
  <si>
    <t>交割频率</t>
  </si>
  <si>
    <t>3M</t>
  </si>
  <si>
    <t>6M</t>
  </si>
  <si>
    <t>标的数量</t>
  </si>
  <si>
    <t>标的数量单位</t>
  </si>
  <si>
    <t>CNY</t>
  </si>
  <si>
    <t>盎司</t>
  </si>
  <si>
    <t>克</t>
  </si>
  <si>
    <t>吨</t>
  </si>
  <si>
    <t>桶</t>
  </si>
  <si>
    <t>磅</t>
  </si>
  <si>
    <t>成交价格</t>
  </si>
  <si>
    <t>成交价格单位</t>
  </si>
  <si>
    <t>BP</t>
  </si>
  <si>
    <t>IDR</t>
  </si>
  <si>
    <t>交易场所</t>
  </si>
  <si>
    <t>场外</t>
  </si>
  <si>
    <t>中国外汇交易中心</t>
  </si>
  <si>
    <t>Intercontinental Exchange</t>
  </si>
  <si>
    <t>上海黄金交易所</t>
  </si>
  <si>
    <t>中国金融期货交易所</t>
  </si>
  <si>
    <t>交割方式</t>
  </si>
  <si>
    <t>全额</t>
  </si>
  <si>
    <t>净额</t>
  </si>
  <si>
    <t>差额</t>
  </si>
  <si>
    <t>期权类型</t>
  </si>
  <si>
    <t>看涨</t>
  </si>
  <si>
    <t>下限</t>
  </si>
  <si>
    <t>上限</t>
  </si>
  <si>
    <t>看跌</t>
  </si>
  <si>
    <t>其他-双边不触碰</t>
  </si>
  <si>
    <t>行权方式</t>
  </si>
  <si>
    <t>欧式</t>
  </si>
  <si>
    <t>美式</t>
  </si>
  <si>
    <t>行权价格</t>
  </si>
  <si>
    <t>行权价格单位</t>
  </si>
  <si>
    <t>保证金标志</t>
  </si>
  <si>
    <t>否</t>
  </si>
  <si>
    <t>是</t>
  </si>
  <si>
    <t>主协议名称</t>
  </si>
  <si>
    <t>ISDA;NAFMII</t>
  </si>
  <si>
    <t>NAFMII</t>
  </si>
  <si>
    <t>ISDA</t>
  </si>
  <si>
    <t>中央交易对手</t>
  </si>
  <si>
    <t>上海清算所</t>
  </si>
  <si>
    <t>估值金额</t>
  </si>
  <si>
    <t>估值币种</t>
  </si>
  <si>
    <t>估值日期</t>
  </si>
  <si>
    <t>交易员工号</t>
  </si>
  <si>
    <t>审批人工号</t>
  </si>
  <si>
    <t>备注</t>
  </si>
  <si>
    <t>1.105,1.16</t>
  </si>
  <si>
    <t>采集日期</t>
  </si>
  <si>
    <t>20211231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</si>
</sst>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2"/>
      <name val="宋体"/>
      <charset val="134"/>
    </font>
    <font>
      <b/>
      <sz val="12"/>
      <name val="宋体"/>
      <charset val="134"/>
    </font>
    <font>
      <b/>
      <sz val="11"/>
      <color theme="1"/>
      <name val="宋体"/>
      <charset val="134"/>
      <scheme val="minor"/>
    </font>
    <font>
      <sz val="11"/>
      <color theme="1"/>
      <name val="宋体"/>
      <charset val="134"/>
      <scheme val="minor"/>
    </font>
    <font>
      <b/>
      <sz val="20"/>
      <name val="宋体"/>
      <charset val="134"/>
    </font>
    <font>
      <b/>
      <sz val="11"/>
      <name val="宋体"/>
      <charset val="134"/>
    </font>
    <font>
      <sz val="11"/>
      <name val="宋体"/>
      <charset val="134"/>
    </font>
    <font>
      <sz val="12"/>
      <name val="Times New Roman"/>
      <charset val="134"/>
    </font>
    <font>
      <sz val="12"/>
      <color rgb="FFFF0000"/>
      <name val="Times New Roman"/>
      <charset val="134"/>
    </font>
    <font>
      <sz val="14"/>
      <name val="Times New Roman"/>
      <charset val="134"/>
    </font>
    <font>
      <b/>
      <sz val="20"/>
      <name val="Times New Roman"/>
      <charset val="134"/>
    </font>
    <font>
      <sz val="20"/>
      <name val="Times New Roman"/>
      <charset val="134"/>
    </font>
    <font>
      <sz val="11"/>
      <name val="Times New Roman"/>
      <charset val="134"/>
    </font>
    <font>
      <sz val="14"/>
      <name val="宋体"/>
      <charset val="134"/>
    </font>
    <font>
      <sz val="10.5"/>
      <name val="微软雅黑"/>
      <charset val="134"/>
    </font>
    <font>
      <b/>
      <sz val="1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1"/>
      <color indexed="8"/>
      <name val="宋体"/>
      <charset val="134"/>
    </font>
    <font>
      <sz val="9"/>
      <name val="宋体"/>
      <charset val="134"/>
    </font>
    <font>
      <b/>
      <sz val="18"/>
      <name val="Times New Roman"/>
      <charset val="134"/>
    </font>
    <font>
      <strike/>
      <sz val="12"/>
      <name val="宋体"/>
      <charset val="134"/>
    </font>
    <font>
      <strike/>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 fillId="2" borderId="16"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7" applyNumberFormat="0" applyFill="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3" fillId="0" borderId="0" applyNumberFormat="0" applyFill="0" applyBorder="0" applyAlignment="0" applyProtection="0">
      <alignment vertical="center"/>
    </xf>
    <xf numFmtId="0" fontId="24" fillId="3" borderId="19" applyNumberFormat="0" applyAlignment="0" applyProtection="0">
      <alignment vertical="center"/>
    </xf>
    <xf numFmtId="0" fontId="25" fillId="4" borderId="20" applyNumberFormat="0" applyAlignment="0" applyProtection="0">
      <alignment vertical="center"/>
    </xf>
    <xf numFmtId="0" fontId="26" fillId="4" borderId="19" applyNumberFormat="0" applyAlignment="0" applyProtection="0">
      <alignment vertical="center"/>
    </xf>
    <xf numFmtId="0" fontId="27" fillId="5" borderId="21" applyNumberFormat="0" applyAlignment="0" applyProtection="0">
      <alignment vertical="center"/>
    </xf>
    <xf numFmtId="0" fontId="28" fillId="0" borderId="22" applyNumberFormat="0" applyFill="0" applyAlignment="0" applyProtection="0">
      <alignment vertical="center"/>
    </xf>
    <xf numFmtId="0" fontId="29" fillId="0" borderId="23"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5" fillId="0" borderId="0"/>
    <xf numFmtId="0" fontId="36" fillId="0" borderId="0" applyNumberFormat="0" applyBorder="0" applyProtection="0">
      <alignment vertical="center"/>
    </xf>
    <xf numFmtId="0" fontId="36" fillId="0" borderId="0" applyNumberFormat="0" applyBorder="0" applyProtection="0">
      <alignment vertical="center"/>
    </xf>
    <xf numFmtId="0" fontId="0" fillId="0" borderId="0"/>
    <xf numFmtId="0" fontId="0" fillId="0" borderId="0"/>
    <xf numFmtId="0" fontId="0" fillId="0" borderId="0"/>
    <xf numFmtId="0" fontId="37" fillId="0" borderId="0">
      <alignment vertical="center"/>
    </xf>
    <xf numFmtId="0" fontId="0" fillId="0" borderId="0"/>
  </cellStyleXfs>
  <cellXfs count="143">
    <xf numFmtId="0" fontId="0" fillId="0" borderId="0" xfId="0">
      <alignment vertical="center"/>
    </xf>
    <xf numFmtId="0" fontId="1" fillId="0" borderId="0" xfId="0" applyFont="1">
      <alignmen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2" fillId="0" borderId="1" xfId="0" applyFont="1" applyBorder="1">
      <alignment vertical="center"/>
    </xf>
    <xf numFmtId="0" fontId="3" fillId="0" borderId="1" xfId="0" applyFont="1" applyBorder="1">
      <alignment vertical="center"/>
    </xf>
    <xf numFmtId="0" fontId="3" fillId="0" borderId="2"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2" fillId="0" borderId="1" xfId="0" applyFont="1" applyBorder="1" applyAlignment="1">
      <alignment horizontal="left" vertical="center"/>
    </xf>
    <xf numFmtId="0" fontId="3" fillId="0" borderId="0" xfId="0" applyFont="1" applyAlignment="1">
      <alignment horizontal="left" vertical="center"/>
    </xf>
    <xf numFmtId="0" fontId="3" fillId="0" borderId="7" xfId="0" applyFont="1" applyBorder="1" applyAlignment="1">
      <alignment horizontal="left"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3" fillId="0" borderId="3" xfId="0" applyFont="1" applyBorder="1" applyAlignment="1">
      <alignment horizontal="left" vertical="center"/>
    </xf>
    <xf numFmtId="0" fontId="3" fillId="0" borderId="0" xfId="0" applyFont="1">
      <alignment vertical="center"/>
    </xf>
    <xf numFmtId="0" fontId="3" fillId="0" borderId="7" xfId="0" applyFont="1" applyBorder="1">
      <alignment vertical="center"/>
    </xf>
    <xf numFmtId="0" fontId="3" fillId="0" borderId="8" xfId="0" applyFont="1" applyBorder="1">
      <alignment vertical="center"/>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1" fillId="0" borderId="1" xfId="0" applyFont="1" applyBorder="1" applyAlignment="1">
      <alignment horizontal="left" vertical="center"/>
    </xf>
    <xf numFmtId="0" fontId="6" fillId="0" borderId="8" xfId="0" applyFont="1" applyBorder="1" applyAlignment="1">
      <alignment horizontal="center" vertical="center" wrapText="1"/>
    </xf>
    <xf numFmtId="0" fontId="6" fillId="0" borderId="10" xfId="0" applyFont="1" applyBorder="1" applyAlignment="1">
      <alignment horizontal="left" vertical="center"/>
    </xf>
    <xf numFmtId="0" fontId="6" fillId="0" borderId="1" xfId="0" applyFont="1" applyBorder="1" applyAlignment="1">
      <alignment horizontal="left" vertical="center"/>
    </xf>
    <xf numFmtId="0" fontId="6" fillId="0" borderId="8" xfId="0" applyFont="1" applyBorder="1" applyAlignment="1">
      <alignment horizontal="left" vertical="center"/>
    </xf>
    <xf numFmtId="0" fontId="6" fillId="0" borderId="11" xfId="0" applyFont="1" applyBorder="1" applyAlignment="1">
      <alignment horizontal="left" vertical="center"/>
    </xf>
    <xf numFmtId="0" fontId="6" fillId="0" borderId="1" xfId="0" applyFont="1" applyBorder="1" applyAlignment="1">
      <alignment horizontal="center" vertical="center" wrapText="1"/>
    </xf>
    <xf numFmtId="0" fontId="6" fillId="0" borderId="2" xfId="0" applyFont="1" applyBorder="1" applyAlignment="1">
      <alignment horizontal="left" vertical="center"/>
    </xf>
    <xf numFmtId="0" fontId="6" fillId="0" borderId="11" xfId="0" applyFont="1" applyBorder="1" applyAlignment="1">
      <alignment horizontal="center" vertical="center" wrapText="1"/>
    </xf>
    <xf numFmtId="0" fontId="7" fillId="0" borderId="0" xfId="0" applyFont="1" applyAlignment="1">
      <alignment vertical="center" wrapText="1"/>
    </xf>
    <xf numFmtId="0" fontId="8" fillId="0" borderId="0" xfId="0" applyFont="1">
      <alignment vertical="center"/>
    </xf>
    <xf numFmtId="0" fontId="9" fillId="0" borderId="0" xfId="53" applyFont="1" applyAlignment="1">
      <alignment vertical="center" wrapText="1"/>
    </xf>
    <xf numFmtId="49" fontId="7" fillId="0" borderId="0" xfId="53" applyNumberFormat="1" applyFont="1" applyAlignment="1">
      <alignment vertical="center"/>
    </xf>
    <xf numFmtId="0" fontId="7" fillId="0" borderId="0" xfId="53" applyFont="1" applyAlignment="1">
      <alignment vertical="center"/>
    </xf>
    <xf numFmtId="49" fontId="7" fillId="0" borderId="0" xfId="53" applyNumberFormat="1" applyFont="1" applyAlignment="1">
      <alignment horizontal="left" vertical="center"/>
    </xf>
    <xf numFmtId="0" fontId="7" fillId="0" borderId="0" xfId="53" applyFont="1" applyAlignment="1">
      <alignment horizontal="left" vertical="center"/>
    </xf>
    <xf numFmtId="0" fontId="7" fillId="0" borderId="0" xfId="53" applyFont="1" applyAlignment="1">
      <alignment horizontal="left" vertical="center" wrapText="1"/>
    </xf>
    <xf numFmtId="0" fontId="7" fillId="0" borderId="0" xfId="0" applyFont="1" applyAlignment="1">
      <alignment horizontal="left" vertical="center" wrapText="1"/>
    </xf>
    <xf numFmtId="0" fontId="7" fillId="0" borderId="0" xfId="0" applyFont="1">
      <alignment vertical="center"/>
    </xf>
    <xf numFmtId="49" fontId="7" fillId="0" borderId="0" xfId="53" applyNumberFormat="1" applyFont="1" applyAlignment="1">
      <alignment horizontal="left" vertical="center" wrapText="1"/>
    </xf>
    <xf numFmtId="0" fontId="4" fillId="0" borderId="1" xfId="53" applyFont="1" applyBorder="1" applyAlignment="1">
      <alignment horizontal="center" vertical="center" wrapText="1"/>
    </xf>
    <xf numFmtId="0" fontId="10" fillId="0" borderId="1" xfId="53" applyFont="1" applyBorder="1" applyAlignment="1">
      <alignment horizontal="center" vertical="center"/>
    </xf>
    <xf numFmtId="0" fontId="10" fillId="0" borderId="1" xfId="53" applyFont="1" applyBorder="1" applyAlignment="1">
      <alignment horizontal="left" vertical="center"/>
    </xf>
    <xf numFmtId="49" fontId="10" fillId="0" borderId="1" xfId="53" applyNumberFormat="1" applyFont="1" applyBorder="1" applyAlignment="1">
      <alignment horizontal="left" vertical="center"/>
    </xf>
    <xf numFmtId="0" fontId="11" fillId="0" borderId="1" xfId="53" applyFont="1" applyBorder="1" applyAlignment="1">
      <alignment horizontal="left" vertical="center"/>
    </xf>
    <xf numFmtId="0" fontId="10" fillId="0" borderId="1" xfId="53" applyFont="1" applyBorder="1" applyAlignment="1">
      <alignment horizontal="left" vertical="center" wrapText="1"/>
    </xf>
    <xf numFmtId="0" fontId="10" fillId="0" borderId="1" xfId="53" applyFont="1" applyBorder="1" applyAlignment="1">
      <alignment horizontal="center" vertical="center" wrapText="1"/>
    </xf>
    <xf numFmtId="0" fontId="7" fillId="0" borderId="1" xfId="53" applyFont="1" applyBorder="1" applyAlignment="1">
      <alignment horizontal="center" vertical="center" wrapText="1"/>
    </xf>
    <xf numFmtId="49" fontId="7" fillId="0" borderId="1" xfId="53" applyNumberFormat="1" applyFont="1" applyBorder="1" applyAlignment="1">
      <alignment horizontal="center" vertical="center"/>
    </xf>
    <xf numFmtId="0" fontId="7" fillId="0" borderId="1" xfId="53" applyFont="1" applyBorder="1" applyAlignment="1">
      <alignment vertical="center"/>
    </xf>
    <xf numFmtId="0" fontId="7" fillId="0" borderId="1" xfId="53" applyFont="1" applyBorder="1" applyAlignment="1">
      <alignment horizontal="center" vertical="center"/>
    </xf>
    <xf numFmtId="0" fontId="7" fillId="0" borderId="1" xfId="0" applyFont="1" applyBorder="1" applyAlignment="1">
      <alignment horizontal="center" vertical="center" wrapText="1"/>
    </xf>
    <xf numFmtId="0" fontId="9" fillId="0" borderId="1" xfId="53" applyFont="1" applyBorder="1" applyAlignment="1">
      <alignment horizontal="center" vertical="center" wrapText="1"/>
    </xf>
    <xf numFmtId="0" fontId="9" fillId="0" borderId="1" xfId="53" applyFont="1" applyBorder="1" applyAlignment="1">
      <alignment vertical="center" wrapText="1"/>
    </xf>
    <xf numFmtId="49" fontId="7" fillId="0" borderId="1" xfId="53" applyNumberFormat="1" applyFont="1" applyBorder="1" applyAlignment="1">
      <alignment vertical="center"/>
    </xf>
    <xf numFmtId="49" fontId="7" fillId="0" borderId="1" xfId="53" applyNumberFormat="1" applyFont="1" applyBorder="1" applyAlignment="1">
      <alignment horizontal="left" vertical="center"/>
    </xf>
    <xf numFmtId="0" fontId="0" fillId="0" borderId="1" xfId="53" applyBorder="1" applyAlignment="1">
      <alignment horizontal="left" vertical="center"/>
    </xf>
    <xf numFmtId="0" fontId="7" fillId="0" borderId="1" xfId="53" applyFont="1" applyBorder="1" applyAlignment="1">
      <alignment horizontal="left" vertical="center"/>
    </xf>
    <xf numFmtId="0" fontId="7" fillId="0" borderId="1" xfId="53" applyFont="1" applyBorder="1" applyAlignment="1">
      <alignment horizontal="left" vertical="center" wrapText="1"/>
    </xf>
    <xf numFmtId="0" fontId="7" fillId="0" borderId="1" xfId="0" applyFont="1" applyBorder="1" applyAlignment="1">
      <alignment horizontal="left" vertical="center" wrapText="1"/>
    </xf>
    <xf numFmtId="0" fontId="9" fillId="0" borderId="1" xfId="0" applyFont="1" applyBorder="1" applyAlignment="1">
      <alignment vertical="center" wrapText="1"/>
    </xf>
    <xf numFmtId="49" fontId="7" fillId="0" borderId="1" xfId="0" applyNumberFormat="1" applyFont="1" applyBorder="1">
      <alignment vertical="center"/>
    </xf>
    <xf numFmtId="0" fontId="7" fillId="0" borderId="1" xfId="56" applyFont="1" applyBorder="1" applyAlignment="1">
      <alignment vertical="center"/>
    </xf>
    <xf numFmtId="0" fontId="7" fillId="0" borderId="1" xfId="0" applyFont="1" applyBorder="1" applyAlignment="1">
      <alignment vertical="center" wrapText="1"/>
    </xf>
    <xf numFmtId="0" fontId="7" fillId="0" borderId="1" xfId="0" applyFont="1" applyBorder="1">
      <alignment vertical="center"/>
    </xf>
    <xf numFmtId="0" fontId="7" fillId="0" borderId="1" xfId="0" applyFont="1" applyBorder="1" applyAlignment="1">
      <alignment horizontal="left" vertical="center"/>
    </xf>
    <xf numFmtId="49" fontId="7" fillId="0" borderId="1" xfId="53" applyNumberFormat="1" applyFont="1" applyBorder="1" applyAlignment="1">
      <alignment vertical="center" wrapText="1"/>
    </xf>
    <xf numFmtId="0" fontId="7" fillId="0" borderId="1" xfId="53" applyFont="1" applyBorder="1" applyAlignment="1">
      <alignment vertical="center" wrapText="1"/>
    </xf>
    <xf numFmtId="49" fontId="7" fillId="0" borderId="1" xfId="53" applyNumberFormat="1" applyFont="1" applyBorder="1" applyAlignment="1">
      <alignment horizontal="left" vertical="center" wrapText="1"/>
    </xf>
    <xf numFmtId="0" fontId="9" fillId="0" borderId="1" xfId="0" applyFont="1" applyBorder="1" applyAlignment="1">
      <alignment horizontal="left" vertical="center" wrapText="1"/>
    </xf>
    <xf numFmtId="0" fontId="7" fillId="0" borderId="1" xfId="54" applyFont="1" applyBorder="1" applyAlignment="1">
      <alignment horizontal="left" vertical="center" wrapText="1"/>
    </xf>
    <xf numFmtId="49" fontId="7" fillId="0" borderId="1" xfId="0" applyNumberFormat="1" applyFont="1" applyBorder="1" applyAlignment="1">
      <alignment horizontal="left" vertical="center"/>
    </xf>
    <xf numFmtId="0" fontId="9" fillId="0" borderId="1" xfId="53" applyFont="1" applyBorder="1" applyAlignment="1">
      <alignment vertical="center"/>
    </xf>
    <xf numFmtId="49" fontId="9" fillId="0" borderId="1" xfId="53" applyNumberFormat="1" applyFont="1" applyBorder="1" applyAlignment="1">
      <alignment vertical="center"/>
    </xf>
    <xf numFmtId="49" fontId="7" fillId="0" borderId="1" xfId="0" applyNumberFormat="1" applyFont="1" applyBorder="1" applyAlignment="1">
      <alignment vertical="center" wrapText="1"/>
    </xf>
    <xf numFmtId="0" fontId="0" fillId="0" borderId="1" xfId="53" applyBorder="1" applyAlignment="1">
      <alignment horizontal="left" vertical="center" wrapText="1"/>
    </xf>
    <xf numFmtId="0" fontId="12" fillId="0" borderId="1" xfId="0" applyFont="1" applyBorder="1" applyAlignment="1">
      <alignment vertical="center" wrapText="1"/>
    </xf>
    <xf numFmtId="0" fontId="7" fillId="0" borderId="1" xfId="55" applyFont="1" applyBorder="1" applyAlignment="1">
      <alignment horizontal="left" vertical="center"/>
    </xf>
    <xf numFmtId="0" fontId="7" fillId="0" borderId="1" xfId="56" applyFont="1" applyBorder="1" applyAlignment="1">
      <alignment horizontal="left" vertical="center"/>
    </xf>
    <xf numFmtId="0" fontId="9" fillId="0" borderId="1" xfId="0" applyFont="1" applyBorder="1" applyAlignment="1">
      <alignment horizontal="center" vertical="center" wrapText="1"/>
    </xf>
    <xf numFmtId="49" fontId="7" fillId="0" borderId="1" xfId="0" applyNumberFormat="1" applyFont="1" applyBorder="1" applyAlignment="1">
      <alignment horizontal="left" vertical="center" wrapText="1"/>
    </xf>
    <xf numFmtId="0" fontId="7" fillId="0" borderId="1" xfId="49" applyFont="1" applyBorder="1" applyAlignment="1">
      <alignment horizontal="left" vertical="center" wrapText="1"/>
    </xf>
    <xf numFmtId="49" fontId="7" fillId="0" borderId="1" xfId="49" applyNumberFormat="1" applyFont="1" applyBorder="1" applyAlignment="1">
      <alignment horizontal="left" vertical="center" wrapText="1"/>
    </xf>
    <xf numFmtId="0" fontId="7" fillId="0" borderId="1" xfId="0" applyFont="1" applyBorder="1" applyAlignment="1">
      <alignment horizontal="left" vertical="top" wrapText="1"/>
    </xf>
    <xf numFmtId="0" fontId="7" fillId="0" borderId="1" xfId="56" applyFont="1" applyBorder="1" applyAlignment="1">
      <alignment horizontal="left" vertical="center" wrapText="1"/>
    </xf>
    <xf numFmtId="0" fontId="4" fillId="0" borderId="12" xfId="56" applyFont="1" applyBorder="1" applyAlignment="1">
      <alignment horizontal="center" vertical="center"/>
    </xf>
    <xf numFmtId="0" fontId="10" fillId="0" borderId="13" xfId="56" applyFont="1" applyBorder="1" applyAlignment="1">
      <alignment horizontal="center" vertical="center"/>
    </xf>
    <xf numFmtId="0" fontId="10" fillId="0" borderId="13" xfId="56" applyFont="1" applyBorder="1" applyAlignment="1">
      <alignment horizontal="center" vertical="center" wrapText="1"/>
    </xf>
    <xf numFmtId="0" fontId="10" fillId="0" borderId="14" xfId="56" applyFont="1" applyBorder="1" applyAlignment="1">
      <alignment horizontal="center" vertical="center"/>
    </xf>
    <xf numFmtId="0" fontId="10" fillId="0" borderId="6" xfId="56" applyFont="1" applyBorder="1" applyAlignment="1">
      <alignment horizontal="center" vertical="center"/>
    </xf>
    <xf numFmtId="0" fontId="10" fillId="0" borderId="9" xfId="56" applyFont="1" applyBorder="1" applyAlignment="1">
      <alignment horizontal="center" vertical="center"/>
    </xf>
    <xf numFmtId="0" fontId="10" fillId="0" borderId="9" xfId="56" applyFont="1" applyBorder="1" applyAlignment="1">
      <alignment horizontal="center" vertical="center" wrapText="1"/>
    </xf>
    <xf numFmtId="0" fontId="10" fillId="0" borderId="5" xfId="56" applyFont="1" applyBorder="1" applyAlignment="1">
      <alignment horizontal="center" vertical="center"/>
    </xf>
    <xf numFmtId="0" fontId="7" fillId="0" borderId="1" xfId="56" applyFont="1" applyBorder="1" applyAlignment="1">
      <alignment horizontal="center" vertical="center"/>
    </xf>
    <xf numFmtId="0" fontId="7" fillId="0" borderId="1" xfId="56" applyFont="1" applyBorder="1" applyAlignment="1">
      <alignment horizontal="center" vertical="center" wrapText="1"/>
    </xf>
    <xf numFmtId="0" fontId="7" fillId="0" borderId="1" xfId="0" applyFont="1" applyBorder="1" applyAlignment="1">
      <alignment horizontal="center" vertical="center"/>
    </xf>
    <xf numFmtId="0" fontId="7" fillId="0" borderId="1" xfId="56" applyFont="1" applyBorder="1" applyAlignment="1">
      <alignment vertical="center" wrapText="1"/>
    </xf>
    <xf numFmtId="49" fontId="7" fillId="0" borderId="1" xfId="56" applyNumberFormat="1" applyFont="1" applyBorder="1" applyAlignment="1">
      <alignment vertical="center"/>
    </xf>
    <xf numFmtId="0" fontId="7" fillId="0" borderId="2" xfId="56" applyFont="1" applyBorder="1" applyAlignment="1">
      <alignment vertical="center" wrapText="1"/>
    </xf>
    <xf numFmtId="0" fontId="7" fillId="0" borderId="15" xfId="56" applyFont="1" applyBorder="1" applyAlignment="1">
      <alignment vertical="center" wrapText="1"/>
    </xf>
    <xf numFmtId="0" fontId="7" fillId="0" borderId="11" xfId="56" applyFont="1" applyBorder="1" applyAlignment="1">
      <alignment vertical="center"/>
    </xf>
    <xf numFmtId="0" fontId="7" fillId="0" borderId="11" xfId="56" applyFont="1" applyBorder="1" applyAlignment="1">
      <alignment vertical="center" wrapText="1"/>
    </xf>
    <xf numFmtId="0" fontId="7" fillId="0" borderId="6" xfId="56" applyFont="1" applyBorder="1" applyAlignment="1">
      <alignment vertical="center" wrapText="1"/>
    </xf>
    <xf numFmtId="0" fontId="7" fillId="0" borderId="11" xfId="0" applyFont="1" applyBorder="1">
      <alignment vertical="center"/>
    </xf>
    <xf numFmtId="0" fontId="0" fillId="0" borderId="2" xfId="56" applyBorder="1" applyAlignment="1">
      <alignment vertical="center" wrapText="1"/>
    </xf>
    <xf numFmtId="0" fontId="7" fillId="0" borderId="2" xfId="53" applyFont="1" applyBorder="1" applyAlignment="1">
      <alignment vertical="center"/>
    </xf>
    <xf numFmtId="49" fontId="7" fillId="0" borderId="1" xfId="56" applyNumberFormat="1" applyFont="1" applyBorder="1" applyAlignment="1">
      <alignment vertical="center" wrapText="1"/>
    </xf>
    <xf numFmtId="0" fontId="7" fillId="0" borderId="2" xfId="0" applyFont="1" applyBorder="1" applyAlignment="1">
      <alignment vertical="center" wrapText="1"/>
    </xf>
    <xf numFmtId="0" fontId="7" fillId="0" borderId="10" xfId="56" applyFont="1" applyBorder="1" applyAlignment="1">
      <alignment vertical="center" wrapText="1"/>
    </xf>
    <xf numFmtId="49" fontId="7" fillId="0" borderId="10" xfId="56" applyNumberFormat="1" applyFont="1" applyBorder="1" applyAlignment="1">
      <alignment vertical="center" wrapText="1"/>
    </xf>
    <xf numFmtId="0" fontId="7" fillId="0" borderId="12" xfId="56" applyFont="1" applyBorder="1" applyAlignment="1">
      <alignment vertical="center" wrapText="1"/>
    </xf>
    <xf numFmtId="0" fontId="7" fillId="0" borderId="10" xfId="0" applyFont="1" applyBorder="1">
      <alignment vertical="center"/>
    </xf>
    <xf numFmtId="0" fontId="7" fillId="0" borderId="2" xfId="0" applyFont="1" applyBorder="1">
      <alignment vertical="center"/>
    </xf>
    <xf numFmtId="0" fontId="7" fillId="0" borderId="5" xfId="0" applyFont="1" applyBorder="1">
      <alignment vertical="center"/>
    </xf>
    <xf numFmtId="0" fontId="7" fillId="0" borderId="4" xfId="0" applyFont="1" applyBorder="1">
      <alignment vertical="center"/>
    </xf>
    <xf numFmtId="0" fontId="1" fillId="0" borderId="0" xfId="0" applyFont="1"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wrapText="1"/>
    </xf>
    <xf numFmtId="0" fontId="13" fillId="0" borderId="1" xfId="53" applyFont="1" applyBorder="1" applyAlignment="1">
      <alignment vertical="center" wrapText="1"/>
    </xf>
    <xf numFmtId="0" fontId="0" fillId="0" borderId="1" xfId="53" applyBorder="1" applyAlignment="1">
      <alignment horizontal="center" vertical="center" wrapText="1"/>
    </xf>
    <xf numFmtId="49" fontId="7" fillId="0" borderId="1" xfId="53" applyNumberFormat="1" applyFont="1" applyBorder="1" applyAlignment="1">
      <alignment horizontal="center" vertical="center" wrapText="1"/>
    </xf>
    <xf numFmtId="49" fontId="0" fillId="0" borderId="1" xfId="53" applyNumberFormat="1" applyBorder="1" applyAlignment="1">
      <alignment horizontal="center" vertical="center" wrapText="1"/>
    </xf>
    <xf numFmtId="0" fontId="0" fillId="0" borderId="1" xfId="53" applyBorder="1" applyAlignment="1">
      <alignmen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14" fillId="0" borderId="0" xfId="0" applyFont="1" applyAlignment="1">
      <alignment vertical="top"/>
    </xf>
    <xf numFmtId="0" fontId="7" fillId="0" borderId="0" xfId="52" applyFont="1" applyAlignment="1">
      <alignment vertical="center" wrapText="1"/>
    </xf>
    <xf numFmtId="0" fontId="15" fillId="0" borderId="1" xfId="52" applyFont="1" applyBorder="1" applyAlignment="1">
      <alignment horizontal="center" vertical="center" wrapText="1"/>
    </xf>
    <xf numFmtId="0" fontId="9" fillId="0" borderId="1" xfId="52" applyFont="1" applyBorder="1" applyAlignment="1">
      <alignment vertical="center" wrapText="1"/>
    </xf>
    <xf numFmtId="0" fontId="9" fillId="0" borderId="1" xfId="52" applyFont="1" applyBorder="1" applyAlignment="1">
      <alignment horizontal="left" vertical="center" wrapText="1"/>
    </xf>
    <xf numFmtId="0" fontId="0" fillId="0" borderId="0" xfId="52" applyAlignment="1">
      <alignment vertical="center" wrapText="1"/>
    </xf>
    <xf numFmtId="0" fontId="7" fillId="0" borderId="1" xfId="56" applyFont="1" applyBorder="1" applyAlignment="1" quotePrefix="1">
      <alignment vertical="center"/>
    </xf>
    <xf numFmtId="0" fontId="7" fillId="0" borderId="1" xfId="53" applyFont="1" applyBorder="1" applyAlignment="1" quotePrefix="1">
      <alignment horizontal="left" vertical="center"/>
    </xf>
    <xf numFmtId="0" fontId="7" fillId="0" borderId="1" xfId="53" applyFont="1" applyBorder="1" applyAlignment="1" quotePrefix="1">
      <alignment horizontal="left" vertical="center" wrapText="1"/>
    </xf>
    <xf numFmtId="0" fontId="3" fillId="0" borderId="1" xfId="0" applyFont="1" applyBorder="1" applyAlignment="1" quotePrefix="1">
      <alignment horizontal="left" vertical="center"/>
    </xf>
    <xf numFmtId="0" fontId="3" fillId="0" borderId="2" xfId="0" applyFont="1" applyBorder="1" applyAlignment="1" quotePrefix="1">
      <alignment horizontal="left" vertical="center"/>
    </xf>
    <xf numFmtId="0" fontId="3" fillId="0" borderId="4" xfId="0" applyFont="1" applyBorder="1" applyAlignment="1" quotePrefix="1">
      <alignment horizontal="left" vertic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3" xfId="50"/>
    <cellStyle name="常规 2 3 2" xfId="51"/>
    <cellStyle name="常规_Sheet1" xfId="52"/>
    <cellStyle name="常规_Sheet2" xfId="53"/>
    <cellStyle name="常规_Sheet2 2" xfId="54"/>
    <cellStyle name="常规_数据结构" xfId="55"/>
    <cellStyle name="常规_数据元说明" xfId="56"/>
  </cellStyles>
  <tableStyles count="0" defaultTableStyle="TableStyleMedium2"/>
  <colors>
    <mruColors>
      <color rgb="00FFFF99"/>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e\cbirc\Desktop\east5.0210119\&#23450;&#31295;19\&#23450;&#31295;19\&#38468;&#20214;3&#12298;&#20013;&#22269;&#38134;&#20445;&#30417;&#20250;&#38134;&#34892;&#19994;&#37329;&#34701;&#26426;&#26500;&#30417;&#31649;&#25968;&#25454;&#26631;&#20934;&#21270;&#35268;&#33539;&#65288;2021&#29256;&#65289;&#12299;\data_new\Cbirc\EAST\02%20&#26631;&#20934;&#21270;&#35268;&#33539;\01%20&#38134;&#34892;&#19994;\06%20&#38134;&#34892;&#19994;&#37329;&#34701;&#26426;&#26500;2021&#29256;\&#25311;&#21457;&#25991;&#31295;\Users\Administrator\Desktop\&#38468;&#20214;2&#65306;&#20013;&#22269;&#38134;&#20445;&#30417;&#20250;&#38134;&#34892;&#19994;&#37329;&#34701;&#26426;&#26500;&#30417;&#31649;&#25968;&#25454;&#26631;&#20934;&#21270;&#35268;&#33539;2021&#29256;&#65288;&#24449;&#27714;&#24847;&#35265;&#31295;&#65289;(1208)-&#20462;&#25913;&#22788;&#26631;&#34013;.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格说明"/>
      <sheetName val="表结构总览"/>
      <sheetName val="数据元说明"/>
      <sheetName val="数据结构"/>
      <sheetName val="自营报送范围"/>
      <sheetName val="删除的表和数据项"/>
      <sheetName val="Sheet1"/>
    </sheetNames>
    <sheetDataSet>
      <sheetData sheetId="0"/>
      <sheetData sheetId="1"/>
      <sheetData sheetId="2">
        <row r="2">
          <cell r="A2" t="str">
            <v>数据元说明</v>
          </cell>
        </row>
        <row r="4">
          <cell r="A4" t="str">
            <v>分类</v>
          </cell>
          <cell r="B4" t="str">
            <v>数据元编码</v>
          </cell>
          <cell r="C4" t="str">
            <v>数据元名称</v>
          </cell>
          <cell r="D4" t="str">
            <v>数据元英文</v>
          </cell>
          <cell r="E4" t="str">
            <v>数据元说明</v>
          </cell>
          <cell r="F4" t="str">
            <v>格式</v>
          </cell>
        </row>
        <row r="6">
          <cell r="A6" t="str">
            <v>公共信息</v>
          </cell>
          <cell r="B6" t="str">
            <v>001</v>
          </cell>
        </row>
        <row r="7">
          <cell r="B7" t="str">
            <v>001001</v>
          </cell>
          <cell r="C7" t="str">
            <v>名称</v>
          </cell>
          <cell r="D7" t="str">
            <v>Name</v>
          </cell>
          <cell r="E7" t="str">
            <v>名称应与公章所使用的名称完全一致。银行机构以银保监会金融机构许可证登记名称为准。无独立金融机构许可证的机构，可在本名称中体现出机构特征。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ell>
          <cell r="F7" t="str">
            <v>C..400</v>
          </cell>
        </row>
        <row r="8">
          <cell r="B8" t="str">
            <v>001002</v>
          </cell>
          <cell r="C8" t="str">
            <v>是否标志</v>
          </cell>
          <cell r="D8" t="str">
            <v>Yes or No</v>
          </cell>
          <cell r="E8" t="str">
            <v>是，否。</v>
          </cell>
          <cell r="F8" t="str">
            <v>C..4</v>
          </cell>
        </row>
        <row r="9">
          <cell r="B9" t="str">
            <v>001003</v>
          </cell>
          <cell r="C9" t="str">
            <v>比例</v>
          </cell>
          <cell r="D9" t="str">
            <v>Ratio</v>
          </cell>
          <cell r="E9" t="str">
            <v>百分比为单位，即1/100，保留两位小数。如4.5%则填报为4.50。</v>
          </cell>
          <cell r="F9" t="str">
            <v>D20.2</v>
          </cell>
        </row>
        <row r="10">
          <cell r="B10" t="str">
            <v>001004</v>
          </cell>
          <cell r="C10" t="str">
            <v>日期</v>
          </cell>
          <cell r="D10" t="str">
            <v>Date</v>
          </cell>
          <cell r="E10" t="str">
            <v>YYYYMMDD，默认值99991231。</v>
          </cell>
          <cell r="F10" t="str">
            <v>C8</v>
          </cell>
        </row>
        <row r="11">
          <cell r="B11" t="str">
            <v>001005</v>
          </cell>
          <cell r="C11" t="str">
            <v>年月</v>
          </cell>
          <cell r="D11" t="str">
            <v>Year &amp; Month</v>
          </cell>
          <cell r="E11" t="str">
            <v>YYYYMM，默认值999912。</v>
          </cell>
          <cell r="F11" t="str">
            <v>C6</v>
          </cell>
        </row>
        <row r="12">
          <cell r="B12" t="str">
            <v>001006</v>
          </cell>
          <cell r="C12" t="str">
            <v>时间</v>
          </cell>
          <cell r="D12" t="str">
            <v>Time</v>
          </cell>
          <cell r="E12" t="str">
            <v>24小时制时间，精确到秒。hhmmss，默认值000000。</v>
          </cell>
          <cell r="F12" t="str">
            <v>C6</v>
          </cell>
        </row>
        <row r="13">
          <cell r="B13" t="str">
            <v>001007</v>
          </cell>
          <cell r="C13" t="str">
            <v>地址</v>
          </cell>
          <cell r="D13" t="str">
            <v>Address</v>
          </cell>
          <cell r="E13" t="str">
            <v>中文描述。个人住址。金融机构以金融机构许可证登记地址为准。集团母公司为境内企业的，按照《企业法人营业执照》中的注册地填报，要写明省（区、市）、地（区、市、州、盟）、县（区、市、旗）。集团母公司为境外企业的，不填报。</v>
          </cell>
          <cell r="F13" t="str">
            <v>C..400</v>
          </cell>
        </row>
        <row r="14">
          <cell r="B14" t="str">
            <v>001008</v>
          </cell>
          <cell r="C14" t="str">
            <v>电话</v>
          </cell>
          <cell r="D14" t="str">
            <v>Tel.</v>
          </cell>
          <cell r="E14" t="str">
            <v>手机号码或者区号-固定电话号码。</v>
          </cell>
          <cell r="F14" t="str">
            <v>C..30</v>
          </cell>
        </row>
        <row r="15">
          <cell r="B15" t="str">
            <v>001009</v>
          </cell>
          <cell r="C15" t="str">
            <v>银行机构代码</v>
          </cell>
          <cell r="D15" t="str">
            <v>Bank code</v>
          </cell>
          <cell r="E15" t="str">
            <v>人行支付行号。</v>
          </cell>
          <cell r="F15" t="str">
            <v>C..30</v>
          </cell>
        </row>
        <row r="16">
          <cell r="B16" t="str">
            <v>001010</v>
          </cell>
          <cell r="C16" t="str">
            <v>金融许可证号</v>
          </cell>
          <cell r="D16" t="str">
            <v>Financial license number</v>
          </cell>
          <cell r="E16" t="str">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ell>
          <cell r="F16" t="str">
            <v>C..30</v>
          </cell>
        </row>
        <row r="17">
          <cell r="B17" t="str">
            <v>001011</v>
          </cell>
          <cell r="C17" t="str">
            <v>内部机构号</v>
          </cell>
          <cell r="D17" t="str">
            <v>Inner organization number</v>
          </cell>
          <cell r="E17" t="str">
            <v>银行内部机构号。应具有标识机构的唯一性。</v>
          </cell>
          <cell r="F17" t="str">
            <v>C..30</v>
          </cell>
        </row>
        <row r="18">
          <cell r="B18" t="str">
            <v>001012</v>
          </cell>
          <cell r="C18" t="str">
            <v>机构类别</v>
          </cell>
          <cell r="D18" t="str">
            <v>Organization type</v>
          </cell>
          <cell r="E18" t="str">
            <v>管理机构、营业机构、虚拟机构、内设机构</v>
          </cell>
          <cell r="F18" t="str">
            <v>C..30</v>
          </cell>
        </row>
        <row r="19">
          <cell r="B19" t="str">
            <v>001013</v>
          </cell>
          <cell r="C19" t="str">
            <v>邮政编码</v>
          </cell>
          <cell r="D19" t="str">
            <v>Zip code</v>
          </cell>
          <cell r="E19" t="str">
            <v>该机构注册地邮政编码，6位。超过6位的只取前6位。</v>
          </cell>
          <cell r="F19" t="str">
            <v>C6</v>
          </cell>
        </row>
        <row r="20">
          <cell r="B20" t="str">
            <v>001014</v>
          </cell>
          <cell r="C20" t="str">
            <v>营业状态</v>
          </cell>
          <cell r="D20" t="str">
            <v>Business state</v>
          </cell>
          <cell r="E20" t="str">
            <v>营业，停业。</v>
          </cell>
          <cell r="F20" t="str">
            <v>C..6</v>
          </cell>
        </row>
        <row r="21">
          <cell r="B21" t="str">
            <v>001015</v>
          </cell>
          <cell r="C21" t="str">
            <v>工号</v>
          </cell>
          <cell r="D21" t="str">
            <v>Emp ID</v>
          </cell>
          <cell r="E21" t="str">
            <v>工号。默认值99999999。</v>
          </cell>
          <cell r="F21" t="str">
            <v>C..30</v>
          </cell>
        </row>
        <row r="22">
          <cell r="B22" t="str">
            <v>001016</v>
          </cell>
          <cell r="C22" t="str">
            <v>姓名</v>
          </cell>
          <cell r="D22" t="str">
            <v>Name (people)</v>
          </cell>
          <cell r="E22" t="str">
            <v>姓名。</v>
          </cell>
          <cell r="F22" t="str">
            <v>C..200</v>
          </cell>
        </row>
        <row r="23">
          <cell r="B23" t="str">
            <v>001017</v>
          </cell>
          <cell r="C23" t="str">
            <v>所属部门</v>
          </cell>
          <cell r="D23" t="str">
            <v>Department</v>
          </cell>
          <cell r="E23" t="str">
            <v>中文字典或中文描述，银行自定义。</v>
          </cell>
          <cell r="F23" t="str">
            <v>C..60</v>
          </cell>
        </row>
        <row r="24">
          <cell r="B24" t="str">
            <v>001018</v>
          </cell>
          <cell r="C24" t="str">
            <v>职务</v>
          </cell>
          <cell r="D24" t="str">
            <v>Post.</v>
          </cell>
          <cell r="E24" t="str">
            <v>中文字典或中文描述，银行自定义。</v>
          </cell>
          <cell r="F24" t="str">
            <v>C..60</v>
          </cell>
        </row>
        <row r="25">
          <cell r="B25" t="str">
            <v>001019</v>
          </cell>
          <cell r="C25" t="str">
            <v>状态</v>
          </cell>
          <cell r="D25" t="str">
            <v>Status</v>
          </cell>
          <cell r="E25" t="str">
            <v>中文字典或中文描述，银行自定义。</v>
          </cell>
          <cell r="F25" t="str">
            <v>C..30</v>
          </cell>
        </row>
        <row r="26">
          <cell r="B26" t="str">
            <v>001020</v>
          </cell>
          <cell r="C26" t="str">
            <v>柜员号</v>
          </cell>
          <cell r="D26" t="str">
            <v>Teller number</v>
          </cell>
          <cell r="E26" t="str">
            <v>柜员编号。银行自定义。</v>
          </cell>
          <cell r="F26" t="str">
            <v>C..30</v>
          </cell>
        </row>
        <row r="27">
          <cell r="B27" t="str">
            <v>001021</v>
          </cell>
          <cell r="C27" t="str">
            <v>柜员类型</v>
          </cell>
          <cell r="D27" t="str">
            <v>Type of teller</v>
          </cell>
          <cell r="E27" t="str">
            <v>中文字典或中文描述，银行自定义。</v>
          </cell>
          <cell r="F27" t="str">
            <v>C..30</v>
          </cell>
        </row>
        <row r="28">
          <cell r="B28" t="str">
            <v>001022</v>
          </cell>
          <cell r="C28" t="str">
            <v>柜员用户级别</v>
          </cell>
          <cell r="D28" t="str">
            <v>Teller level</v>
          </cell>
          <cell r="E28" t="str">
            <v>银行自定义。</v>
          </cell>
          <cell r="F28" t="str">
            <v>C..30</v>
          </cell>
        </row>
        <row r="29">
          <cell r="B29" t="str">
            <v>001023</v>
          </cell>
          <cell r="C29" t="str">
            <v>柜员权限级别</v>
          </cell>
          <cell r="D29" t="str">
            <v>Teller authority</v>
          </cell>
          <cell r="E29" t="str">
            <v>柜员权限级别，银行自定义。</v>
          </cell>
          <cell r="F29" t="str">
            <v>C..30</v>
          </cell>
        </row>
        <row r="30">
          <cell r="B30" t="str">
            <v>001024</v>
          </cell>
          <cell r="C30" t="str">
            <v>岗位编号</v>
          </cell>
          <cell r="D30" t="str">
            <v>Post number</v>
          </cell>
          <cell r="E30" t="str">
            <v>银行自定义。</v>
          </cell>
          <cell r="F30" t="str">
            <v>C..60</v>
          </cell>
        </row>
        <row r="31">
          <cell r="B31" t="str">
            <v>001025</v>
          </cell>
          <cell r="C31" t="str">
            <v>岗位种类</v>
          </cell>
          <cell r="D31" t="str">
            <v>Post type</v>
          </cell>
          <cell r="E31" t="str">
            <v>岗位种类，中文字典或中文描述，银行自定义。</v>
          </cell>
          <cell r="F31" t="str">
            <v>C..60</v>
          </cell>
        </row>
        <row r="32">
          <cell r="B32" t="str">
            <v>001026</v>
          </cell>
          <cell r="C32" t="str">
            <v>岗位名称</v>
          </cell>
          <cell r="D32" t="str">
            <v>Post name</v>
          </cell>
          <cell r="E32" t="str">
            <v>岗位名称，中文字典或中文描述，银行自定义。</v>
          </cell>
          <cell r="F32" t="str">
            <v>C..100</v>
          </cell>
        </row>
        <row r="33">
          <cell r="B33" t="str">
            <v>001027</v>
          </cell>
          <cell r="C33" t="str">
            <v>岗位说明</v>
          </cell>
          <cell r="D33" t="str">
            <v>Post description</v>
          </cell>
          <cell r="E33" t="str">
            <v>对岗位工作的中文描述，银行自定义。</v>
          </cell>
          <cell r="F33" t="str">
            <v>C..400</v>
          </cell>
        </row>
        <row r="34">
          <cell r="B34" t="str">
            <v>001028</v>
          </cell>
          <cell r="C34" t="str">
            <v>金融机构代码</v>
          </cell>
          <cell r="D34" t="str">
            <v>Bank code for statistic</v>
          </cell>
          <cell r="E34" t="str">
            <v>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v>
          </cell>
          <cell r="F34" t="str">
            <v>C..30</v>
          </cell>
        </row>
        <row r="35">
          <cell r="B35" t="str">
            <v>001029</v>
          </cell>
          <cell r="C35" t="str">
            <v>地区名称</v>
          </cell>
          <cell r="D35" t="str">
            <v>District name</v>
          </cell>
          <cell r="E35" t="str">
            <v>地区名称。金融机构填写金融机构代码对应的地区名称。集团母公司为境内企业的，按照《企业法人营业执照》中的注册地填报，要写明省（区、市）、地（区、市、州、盟）、县（区、市、旗）。集团母公司为境外企业的，不填报。</v>
          </cell>
          <cell r="F35" t="str">
            <v>C..60</v>
          </cell>
        </row>
        <row r="36">
          <cell r="B36" t="str">
            <v>001030</v>
          </cell>
          <cell r="C36" t="str">
            <v>数量</v>
          </cell>
          <cell r="D36" t="str">
            <v>Quantity</v>
          </cell>
          <cell r="E36" t="str">
            <v>数量。</v>
          </cell>
          <cell r="F36" t="str">
            <v>D20</v>
          </cell>
        </row>
        <row r="37">
          <cell r="B37" t="str">
            <v>001031</v>
          </cell>
          <cell r="C37" t="str">
            <v>名称集合</v>
          </cell>
          <cell r="D37" t="str">
            <v>Collection of names</v>
          </cell>
          <cell r="E37" t="str">
            <v>多个名称</v>
          </cell>
          <cell r="F37" t="str">
            <v>C..2000</v>
          </cell>
        </row>
        <row r="38">
          <cell r="B38" t="str">
            <v>001032</v>
          </cell>
          <cell r="C38" t="str">
            <v>代码集合</v>
          </cell>
          <cell r="D38" t="str">
            <v>Collection of code</v>
          </cell>
          <cell r="E38" t="str">
            <v>多个代码</v>
          </cell>
          <cell r="F38" t="str">
            <v>C..1000</v>
          </cell>
        </row>
        <row r="39">
          <cell r="B39" t="str">
            <v>001033</v>
          </cell>
          <cell r="C39" t="str">
            <v>员工状态</v>
          </cell>
          <cell r="D39" t="str">
            <v>State of staff</v>
          </cell>
          <cell r="E39" t="str">
            <v>正式员工离职，正式员工在职，非正式员工离职，非正式员工在职，内退，退休，开除，死亡，调出，其他-银行自定义。无法以枚举类型填报的，以“其它-XX”填报，其中“XX”为银行自定义类型。</v>
          </cell>
          <cell r="F39" t="str">
            <v>C..30</v>
          </cell>
        </row>
        <row r="40">
          <cell r="B40" t="str">
            <v>001034</v>
          </cell>
          <cell r="C40" t="str">
            <v>IP地址</v>
          </cell>
          <cell r="D40" t="str">
            <v>IP address</v>
          </cell>
          <cell r="E40" t="str">
            <v>点分十进制格式表示的IPV4地址或者IPV6地址。</v>
          </cell>
          <cell r="F40" t="str">
            <v>C..40</v>
          </cell>
        </row>
        <row r="41">
          <cell r="B41" t="str">
            <v>001035</v>
          </cell>
          <cell r="C41" t="str">
            <v>MAC地址</v>
          </cell>
          <cell r="D41" t="str">
            <v>MAC address</v>
          </cell>
          <cell r="E41" t="str">
            <v>网络设备唯一的网络标识：
1.可以是MAC地址，以12个16进制数表示（6个字节），每个字节以英文半角冒号（:）隔开。
2.若交易渠道为网银、手机银行，Android7.0以上系统可填报设备IMEI码；IOS7以上系统科填报UUID码，唯一对应设备即可。</v>
          </cell>
          <cell r="F41" t="str">
            <v>C..60</v>
          </cell>
        </row>
        <row r="42">
          <cell r="B42" t="str">
            <v>001036</v>
          </cell>
          <cell r="C42" t="str">
            <v>备注</v>
          </cell>
          <cell r="D42" t="str">
            <v>Remark</v>
          </cell>
          <cell r="E42" t="str">
            <v>银行自定义。</v>
          </cell>
          <cell r="F42" t="str">
            <v>C..600</v>
          </cell>
        </row>
        <row r="43">
          <cell r="A43" t="str">
            <v>客户信息</v>
          </cell>
          <cell r="B43" t="str">
            <v>002</v>
          </cell>
        </row>
        <row r="44">
          <cell r="B44" t="str">
            <v>002001</v>
          </cell>
          <cell r="C44" t="str">
            <v>客户统一编号</v>
          </cell>
          <cell r="D44" t="str">
            <v>Customer number</v>
          </cell>
          <cell r="E44" t="str">
            <v>银行自定义的唯一识别客户的标识。供应链融资的填写供应链融资编码。</v>
          </cell>
          <cell r="F44" t="str">
            <v>C..60</v>
          </cell>
        </row>
        <row r="45">
          <cell r="B45" t="str">
            <v>002002</v>
          </cell>
          <cell r="C45" t="str">
            <v>证件类别</v>
          </cell>
          <cell r="D45" t="str">
            <v>Document type</v>
          </cell>
          <cell r="E45" t="str">
            <v>对公客户：统一社会信用代码，组织机构代码，其他-XX。
个人客户：居民身份证，军官证，文职干部证，警官证，士兵证，户口簿，临时身份证，其他有效通行旅行证件，护照，学生证，无证件，其他-XX。
无法以枚举类型填报的，以“其他-XX”报送，其中“XX”为银行自定义类型。</v>
          </cell>
          <cell r="F45" t="str">
            <v>C..60</v>
          </cell>
        </row>
        <row r="46">
          <cell r="B46" t="str">
            <v>002003</v>
          </cell>
          <cell r="C46" t="str">
            <v>证件号码</v>
          </cell>
          <cell r="D46" t="str">
            <v>Document number</v>
          </cell>
          <cell r="E46" t="str">
            <v>与证件类别对应的证件号码。涉及个人身份证件时需按照本规范给定规则进行脱敏处理。</v>
          </cell>
          <cell r="F46" t="str">
            <v>C..70</v>
          </cell>
        </row>
        <row r="47">
          <cell r="B47" t="str">
            <v>002004</v>
          </cell>
          <cell r="C47" t="str">
            <v>国籍</v>
          </cell>
          <cell r="D47" t="str">
            <v>Nationality</v>
          </cell>
          <cell r="E47" t="str">
            <v>参照《GB/T 2659-2000 世界各国和地区名称》。</v>
          </cell>
          <cell r="F47" t="str">
            <v>C..60</v>
          </cell>
        </row>
        <row r="48">
          <cell r="B48" t="str">
            <v>002005</v>
          </cell>
          <cell r="C48" t="str">
            <v>民族</v>
          </cell>
          <cell r="D48" t="str">
            <v>Ethnicity</v>
          </cell>
          <cell r="E48" t="str">
            <v>国家认可的在公安户籍管理部门正式登记注册的客户所属民族的名称。</v>
          </cell>
          <cell r="F48" t="str">
            <v>C..30</v>
          </cell>
        </row>
        <row r="49">
          <cell r="B49" t="str">
            <v>002006</v>
          </cell>
          <cell r="C49" t="str">
            <v>性别</v>
          </cell>
          <cell r="D49" t="str">
            <v>Gender</v>
          </cell>
          <cell r="E49" t="str">
            <v>男，女，其他类型按银行自定义填写中文描述。</v>
          </cell>
          <cell r="F49" t="str">
            <v>C..10</v>
          </cell>
        </row>
        <row r="50">
          <cell r="B50" t="str">
            <v>002007</v>
          </cell>
          <cell r="C50" t="str">
            <v>学历</v>
          </cell>
          <cell r="D50" t="str">
            <v>Education degree</v>
          </cell>
          <cell r="E50" t="str">
            <v>参照《GB/T 4658-2006 学历代码》填写中文描述或中文字典。</v>
          </cell>
          <cell r="F50" t="str">
            <v>C..30</v>
          </cell>
        </row>
        <row r="51">
          <cell r="B51" t="str">
            <v>002008</v>
          </cell>
          <cell r="C51" t="str">
            <v>职业</v>
          </cell>
          <cell r="D51" t="str">
            <v>Career</v>
          </cell>
          <cell r="E51" t="str">
            <v>中文描述或中文字典，银行自定义。</v>
          </cell>
          <cell r="F51" t="str">
            <v>C..80</v>
          </cell>
        </row>
        <row r="52">
          <cell r="B52" t="str">
            <v>002009</v>
          </cell>
          <cell r="C52" t="str">
            <v>婚姻情况</v>
          </cell>
          <cell r="D52" t="str">
            <v>Marriage</v>
          </cell>
          <cell r="E52" t="str">
            <v>未婚，已婚，初婚，再婚，复婚，丧偶，离异；
未说明的婚姻状况。</v>
          </cell>
          <cell r="F52" t="str">
            <v>C..30</v>
          </cell>
        </row>
        <row r="53">
          <cell r="B53" t="str">
            <v>002010</v>
          </cell>
          <cell r="C53" t="str">
            <v>上黑名单原因</v>
          </cell>
          <cell r="D53" t="str">
            <v>Reason of on black list</v>
          </cell>
          <cell r="E53" t="str">
            <v>中文字典或中文描述，银行自定义。</v>
          </cell>
          <cell r="F53" t="str">
            <v>C..400</v>
          </cell>
        </row>
        <row r="54">
          <cell r="B54" t="str">
            <v>002011</v>
          </cell>
          <cell r="C54" t="str">
            <v>单位性质</v>
          </cell>
          <cell r="D54" t="str">
            <v>Unit property</v>
          </cell>
          <cell r="E54" t="str">
            <v>国有企业、民营企业、政府机关、事业单位、其他单位</v>
          </cell>
          <cell r="F54" t="str">
            <v>C..60</v>
          </cell>
        </row>
        <row r="55">
          <cell r="B55" t="str">
            <v>002012</v>
          </cell>
          <cell r="C55" t="str">
            <v>职称</v>
          </cell>
          <cell r="D55" t="str">
            <v>Title</v>
          </cell>
          <cell r="E55" t="str">
            <v>参照《GB/T 8561-2001 专业技术职务代码》填写中文描述或中文字典。</v>
          </cell>
          <cell r="F55" t="str">
            <v>C..60</v>
          </cell>
        </row>
        <row r="56">
          <cell r="B56" t="str">
            <v>002013</v>
          </cell>
          <cell r="C56" t="str">
            <v>社会关系</v>
          </cell>
          <cell r="D56" t="str">
            <v>Social relationship</v>
          </cell>
          <cell r="E56" t="str">
            <v>配偶，父母，子女，亲属关系，朋友，同事，合作伙伴，离异原配偶，其他-银行自定义。无法以枚举类型填报的，以“其它-XX”填报，其中“XX”为银行自定义类型。</v>
          </cell>
          <cell r="F56" t="str">
            <v>C..60</v>
          </cell>
        </row>
        <row r="57">
          <cell r="B57" t="str">
            <v>002014</v>
          </cell>
          <cell r="C57" t="str">
            <v>法人代表</v>
          </cell>
          <cell r="D57" t="str">
            <v>Legal person</v>
          </cell>
          <cell r="E57" t="str">
            <v>该对公客户法人代表。依照法律或者法人组织章程规定，代表法人行使职权的负责人姓名。</v>
          </cell>
          <cell r="F57" t="str">
            <v>C..30</v>
          </cell>
        </row>
        <row r="58">
          <cell r="B58" t="str">
            <v>002015</v>
          </cell>
          <cell r="C58" t="str">
            <v>营业执照号</v>
          </cell>
          <cell r="D58" t="str">
            <v>Business license number</v>
          </cell>
          <cell r="E58" t="str">
            <v>已登记统一社会信用代码的，填18位统一社会信用代码；未登记统一社会信用代码的，按原有方式填写。</v>
          </cell>
          <cell r="F58" t="str">
            <v>C..60</v>
          </cell>
        </row>
        <row r="59">
          <cell r="B59" t="str">
            <v>002016</v>
          </cell>
          <cell r="C59" t="str">
            <v>经营范围</v>
          </cell>
          <cell r="D59" t="str">
            <v>Business scope</v>
          </cell>
          <cell r="E59" t="str">
            <v>客户的经营范围。</v>
          </cell>
          <cell r="F59" t="str">
            <v>C..1500</v>
          </cell>
        </row>
        <row r="60">
          <cell r="B60" t="str">
            <v>002017</v>
          </cell>
          <cell r="C60" t="str">
            <v>所属行业</v>
          </cell>
          <cell r="D60" t="str">
            <v>Industry</v>
          </cell>
          <cell r="E60" t="str">
            <v>填报该客户所属行业的小类代码对应的中文行业名称。行业分类按《GB/T 4754 国民经济行业分类》执行。境外机构按“境外”填报。</v>
          </cell>
          <cell r="F60" t="str">
            <v>C..100</v>
          </cell>
        </row>
        <row r="61">
          <cell r="B61" t="str">
            <v>002018</v>
          </cell>
          <cell r="C61" t="str">
            <v>客户类别</v>
          </cell>
          <cell r="D61" t="str">
            <v>Customer type</v>
          </cell>
          <cell r="E61" t="str">
            <v>对公，个人。</v>
          </cell>
          <cell r="F61" t="str">
            <v>C6</v>
          </cell>
        </row>
        <row r="62">
          <cell r="B62" t="str">
            <v>002019</v>
          </cell>
          <cell r="C62" t="str">
            <v>人数</v>
          </cell>
          <cell r="D62" t="str">
            <v>Number of people</v>
          </cell>
          <cell r="E62" t="str">
            <v>人。</v>
          </cell>
          <cell r="F62" t="str">
            <v>I..10</v>
          </cell>
        </row>
        <row r="63">
          <cell r="B63" t="str">
            <v>002020</v>
          </cell>
          <cell r="C63" t="str">
            <v>统一社会信用代码</v>
          </cell>
          <cell r="D63" t="str">
            <v>Unified social credit code</v>
          </cell>
          <cell r="E63" t="str">
            <v>已登记统一社会信用代码的，填18位统一社会信用代码；未登记统一社会信用代码的，填组织机构代码。境外机构、临时验资户类客户填写默认值0</v>
          </cell>
          <cell r="F63" t="str">
            <v>C..40</v>
          </cell>
        </row>
        <row r="64">
          <cell r="B64" t="str">
            <v>002021</v>
          </cell>
          <cell r="C64" t="str">
            <v>关联人类别</v>
          </cell>
          <cell r="D64" t="str">
            <v>Associated person type</v>
          </cell>
          <cell r="E64" t="str">
            <v>个人，大型企业，中型企业，小型企业，微型企业，机关，事业单位，社会团体，其他组织机构，境外机构，其他-银行自定义。无法以枚举类型填报的，以“其它-XX”填报，其中“XX”为银行自定义类型。</v>
          </cell>
          <cell r="F64" t="str">
            <v>C6</v>
          </cell>
        </row>
        <row r="65">
          <cell r="B65" t="str">
            <v>002022</v>
          </cell>
          <cell r="C65" t="str">
            <v>关系类型</v>
          </cell>
          <cell r="D65" t="str">
            <v>Relationship type</v>
          </cell>
          <cell r="E65" t="str">
            <v>股东，上下游关系，共同出资组建企业关系，亲属关系，担保关系，实际控制人，共同受同一自然人控制，集团成员，法定代表人，董事长（理事长），监事长，总经理，财务主管，个人股东，其他关联关系。同一个人兼任或具有多重关联关系的，分别填报。</v>
          </cell>
          <cell r="F65" t="str">
            <v>C..300</v>
          </cell>
        </row>
        <row r="66">
          <cell r="B66" t="str">
            <v>002023</v>
          </cell>
          <cell r="C66" t="str">
            <v>工作单位名称</v>
          </cell>
          <cell r="D66" t="str">
            <v>Name of workplace</v>
          </cell>
          <cell r="E66" t="str">
            <v>按照客户工作单位注册的《营业执照》中的名称填报。</v>
          </cell>
          <cell r="F66" t="str">
            <v>C..200</v>
          </cell>
        </row>
        <row r="67">
          <cell r="B67" t="str">
            <v>002024</v>
          </cell>
          <cell r="C67" t="str">
            <v>工作单位地址</v>
          </cell>
          <cell r="D67" t="str">
            <v>Address of workplace</v>
          </cell>
          <cell r="E67" t="str">
            <v>中文描述。按照客户工作单位注册的《营业执照》中的住所填报，要写明省（区、市）、地（区、市、州、盟）、县（区、市、旗）。</v>
          </cell>
          <cell r="F67" t="str">
            <v>C..400</v>
          </cell>
        </row>
        <row r="68">
          <cell r="B68" t="str">
            <v>002025</v>
          </cell>
          <cell r="C68" t="str">
            <v>企业分类</v>
          </cell>
          <cell r="D68" t="str">
            <v>Enterprise type</v>
          </cell>
          <cell r="E68" t="str">
            <v>参照《统计上大中小微型企业划分办法（2017）》（国统字〔2017〕213号）和《金融业企业划型标准规定》（银发〔2015〕309号）的划分标准进行填报，分为以下枚举类型。
大型企业，中型企业，小型企业，微型企业，机关，事业单位，社会团体，其他组织机构，境外机构。</v>
          </cell>
          <cell r="F68" t="str">
            <v>C..30</v>
          </cell>
        </row>
        <row r="69">
          <cell r="B69" t="str">
            <v>002026</v>
          </cell>
          <cell r="C69" t="str">
            <v>个人客户类型</v>
          </cell>
          <cell r="D69" t="str">
            <v>Customer type of customer</v>
          </cell>
          <cell r="E69" t="str">
            <v>个人客户（自然人），个体工商户，小微企业主，银行自定义类型。无法以枚举类型填报的，以“其它-XX”填报，其中“XX”为银行自定义类型。</v>
          </cell>
          <cell r="F69" t="str">
            <v>C..60</v>
          </cell>
        </row>
        <row r="70">
          <cell r="B70" t="str">
            <v>002027</v>
          </cell>
          <cell r="C70" t="str">
            <v>报表口径</v>
          </cell>
          <cell r="D70" t="str">
            <v>Report type</v>
          </cell>
          <cell r="E70" t="str">
            <v>本部报表，合并报表，其他-银行自定义。无法以枚举类型填报的，以“其它-XX”填报，其中“XX”为银行自定义类型。</v>
          </cell>
          <cell r="F70" t="str">
            <v>C..30</v>
          </cell>
        </row>
        <row r="71">
          <cell r="B71" t="str">
            <v>002028</v>
          </cell>
          <cell r="C71" t="str">
            <v>集团编号</v>
          </cell>
          <cell r="D71" t="str">
            <v>Group number</v>
          </cell>
          <cell r="E71" t="str">
            <v>银行为统一管理，根据既定规则生成并分配给集团客户作为唯一识别的编号。</v>
          </cell>
          <cell r="F71" t="str">
            <v>C..60</v>
          </cell>
        </row>
        <row r="72">
          <cell r="B72" t="str">
            <v>002029</v>
          </cell>
          <cell r="C72" t="str">
            <v>股东类别</v>
          </cell>
          <cell r="D72" t="str">
            <v>Shareholder type</v>
          </cell>
          <cell r="E72" t="str">
            <v>个人，大型企业，中型企业，小型企业，微型企业，机关，事业单位，社会团体，其他组织机构，境外机构，其他-银行自定义。无法以枚举类型填报的，以“其它-XX”填报，其中“XX”为银行自定义类型。</v>
          </cell>
          <cell r="F72" t="str">
            <v>C..60</v>
          </cell>
        </row>
        <row r="73">
          <cell r="A73" t="str">
            <v>账户</v>
          </cell>
          <cell r="B73" t="str">
            <v>003</v>
          </cell>
        </row>
        <row r="74">
          <cell r="B74" t="str">
            <v>003001</v>
          </cell>
          <cell r="C74" t="str">
            <v>账号</v>
          </cell>
          <cell r="D74" t="str">
            <v>Account number</v>
          </cell>
          <cell r="E74" t="str">
            <v>系统内最细一级的账号，无唯一性约束，不需要和序号、子序号等做拼接。</v>
          </cell>
          <cell r="F74" t="str">
            <v>C..60</v>
          </cell>
        </row>
        <row r="75">
          <cell r="B75" t="str">
            <v>003002</v>
          </cell>
          <cell r="C75" t="str">
            <v>总账会计科目编号</v>
          </cell>
          <cell r="D75" t="str">
            <v>Subject number of general ledger accounting</v>
          </cell>
          <cell r="E75" t="str">
            <v>机构实际使用的总账会计科目编码。</v>
          </cell>
          <cell r="F75" t="str">
            <v>C..200</v>
          </cell>
        </row>
        <row r="76">
          <cell r="B76" t="str">
            <v>003003</v>
          </cell>
          <cell r="C76" t="str">
            <v>总账会计科目名称</v>
          </cell>
          <cell r="D76" t="str">
            <v>Subject name of general ledger accounting</v>
          </cell>
          <cell r="E76" t="str">
            <v>机构实际使用的总账会计科目编码对应的名称。</v>
          </cell>
          <cell r="F76" t="str">
            <v>C..200</v>
          </cell>
        </row>
        <row r="77">
          <cell r="B77" t="str">
            <v>003004</v>
          </cell>
          <cell r="C77" t="str">
            <v>统计科目编号</v>
          </cell>
          <cell r="D77" t="str">
            <v>Statistic subject number</v>
          </cell>
          <cell r="E77" t="str">
            <v>参照《中国人民银行关于建立金融基础数据统计制度的通知》（银发[2020]164号）中的统计指标编码填报。如：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v>
          </cell>
          <cell r="F77" t="str">
            <v>C..20</v>
          </cell>
        </row>
        <row r="78">
          <cell r="B78" t="str">
            <v>003005</v>
          </cell>
          <cell r="C78" t="str">
            <v>统计科目名称</v>
          </cell>
          <cell r="D78" t="str">
            <v>Statistic subject name</v>
          </cell>
          <cell r="E78" t="str">
            <v>参照《中国人民银行关于建立金融基础数据统计制度的通知》（银发[2020]164号）中的统计指标名称填报。如：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v>
          </cell>
          <cell r="F78" t="str">
            <v>C..120</v>
          </cell>
        </row>
        <row r="79">
          <cell r="B79" t="str">
            <v>003006</v>
          </cell>
          <cell r="C79" t="str">
            <v>明细科目编号</v>
          </cell>
          <cell r="D79" t="str">
            <v>Subject number</v>
          </cell>
          <cell r="E79" t="str">
            <v>机构实际使用的明细科目编号。关联数据项：内部科目对照表.总账会计科目编号</v>
          </cell>
          <cell r="F79" t="str">
            <v>C..60</v>
          </cell>
        </row>
        <row r="80">
          <cell r="B80" t="str">
            <v>003007</v>
          </cell>
          <cell r="C80" t="str">
            <v>明细科目名称</v>
          </cell>
          <cell r="D80" t="str">
            <v>Subject name</v>
          </cell>
          <cell r="E80" t="str">
            <v>机构实际使用的明细科目名称。关联数据项：内部科目对照表.总账会计科目名称</v>
          </cell>
          <cell r="F80" t="str">
            <v>C..300</v>
          </cell>
        </row>
        <row r="81">
          <cell r="B81" t="str">
            <v>003008</v>
          </cell>
          <cell r="C81" t="str">
            <v>总账会计科目级次</v>
          </cell>
          <cell r="D81" t="str">
            <v>Subject grade of general ledger accounting</v>
          </cell>
          <cell r="E81" t="str">
            <v>总账会计科目编号在科目结构中所对应的级次。</v>
          </cell>
          <cell r="F81" t="str">
            <v>I..2</v>
          </cell>
        </row>
        <row r="82">
          <cell r="B82" t="str">
            <v>003009</v>
          </cell>
          <cell r="C82" t="str">
            <v>总账会计科目类型</v>
          </cell>
          <cell r="D82" t="str">
            <v>Subject type of general ledger accounting</v>
          </cell>
          <cell r="E82" t="str">
            <v>1资产，2负债，3所有者权益，4损益，5资产负债共同类，6表外，7其他-银行自定义。无法以枚举类型填报的，以“其他-XX”报送，其中“XX”为银行自定义类型。</v>
          </cell>
          <cell r="F82" t="str">
            <v>C..60</v>
          </cell>
        </row>
        <row r="83">
          <cell r="B83" t="str">
            <v>003010</v>
          </cell>
          <cell r="C83" t="str">
            <v>借贷标志</v>
          </cell>
          <cell r="D83" t="str">
            <v>D.C. flag</v>
          </cell>
          <cell r="E83" t="str">
            <v>借，贷，借贷并列。</v>
          </cell>
          <cell r="F83" t="str">
            <v>C..12</v>
          </cell>
        </row>
        <row r="84">
          <cell r="B84" t="str">
            <v>003011</v>
          </cell>
          <cell r="C84" t="str">
            <v>金额</v>
          </cell>
          <cell r="D84" t="str">
            <v>Amount</v>
          </cell>
          <cell r="E84" t="str">
            <v>与币种相对应金额。</v>
          </cell>
          <cell r="F84" t="str">
            <v>D20.2</v>
          </cell>
        </row>
        <row r="85">
          <cell r="B85" t="str">
            <v>003012</v>
          </cell>
          <cell r="C85" t="str">
            <v>余额</v>
          </cell>
          <cell r="D85" t="str">
            <v>Balance</v>
          </cell>
          <cell r="E85" t="str">
            <v>与币种相对应金额。</v>
          </cell>
          <cell r="F85" t="str">
            <v>D20.2</v>
          </cell>
        </row>
        <row r="86">
          <cell r="B86" t="str">
            <v>003013</v>
          </cell>
          <cell r="C86" t="str">
            <v>额度</v>
          </cell>
          <cell r="D86" t="str">
            <v>Limit</v>
          </cell>
          <cell r="E86" t="str">
            <v>与币种相对应金额。</v>
          </cell>
          <cell r="F86" t="str">
            <v>D20.2</v>
          </cell>
        </row>
        <row r="87">
          <cell r="B87" t="str">
            <v>003014</v>
          </cell>
          <cell r="C87" t="str">
            <v>手续费</v>
          </cell>
          <cell r="D87" t="str">
            <v>Commission</v>
          </cell>
          <cell r="E87" t="str">
            <v>与币种相对应金额。</v>
          </cell>
          <cell r="F87" t="str">
            <v>D20.2</v>
          </cell>
        </row>
        <row r="88">
          <cell r="B88" t="str">
            <v>003015</v>
          </cell>
          <cell r="C88" t="str">
            <v>手续费率</v>
          </cell>
          <cell r="D88" t="str">
            <v>Commission rate</v>
          </cell>
          <cell r="E88" t="str">
            <v>百分比为单位，即1/100。</v>
          </cell>
          <cell r="F88" t="str">
            <v>D10.6</v>
          </cell>
        </row>
        <row r="89">
          <cell r="B89" t="str">
            <v>003016</v>
          </cell>
          <cell r="C89" t="str">
            <v>币种</v>
          </cell>
          <cell r="D89" t="str">
            <v>Currency</v>
          </cell>
          <cell r="E89" t="str">
            <v>遵循《GB/T 12406-2008 表示货币和资金的代码》的字母代码，如CNY。</v>
          </cell>
          <cell r="F89" t="str">
            <v>C3</v>
          </cell>
        </row>
        <row r="90">
          <cell r="B90" t="str">
            <v>003017</v>
          </cell>
          <cell r="C90" t="str">
            <v>账户名称</v>
          </cell>
          <cell r="D90" t="str">
            <v>Account name</v>
          </cell>
          <cell r="E90" t="str">
            <v>账户归属者的名称。客户是境内涉密法人的，账户名称填报为“*********”。</v>
          </cell>
          <cell r="F90" t="str">
            <v>C..200</v>
          </cell>
        </row>
        <row r="91">
          <cell r="B91" t="str">
            <v>003018</v>
          </cell>
          <cell r="C91" t="str">
            <v>个人活期存款账户类型</v>
          </cell>
          <cell r="D91" t="str">
            <v>Type of individual current deposit account</v>
          </cell>
          <cell r="E91" t="str">
            <v>个人活期存款账户的类别。I类户,II类户,III类户,外汇结算账户，非结算账户，其他-银行自定义。无法以枚举类型填报的，以“其它-XX”填报，其中“XX”为银行自定义类型。</v>
          </cell>
          <cell r="F91" t="str">
            <v>C..60</v>
          </cell>
        </row>
        <row r="92">
          <cell r="B92" t="str">
            <v>003019</v>
          </cell>
          <cell r="C92" t="str">
            <v>账户状态</v>
          </cell>
          <cell r="D92" t="str">
            <v>Account state</v>
          </cell>
          <cell r="E92" t="str">
            <v>正常，预开户，逾期，司法冻结-部分冻结，司法冻结-全额冻结，挂失冻结，其他冻结，暂停非柜面业务，睡眠户，久悬户，预销户，销户，其他-银行自定义。无法以枚举类型填报的，以“其它-XX”填报，其中“XX”为银行自定义类型。</v>
          </cell>
          <cell r="F92" t="str">
            <v>C..60</v>
          </cell>
        </row>
        <row r="93">
          <cell r="B93" t="str">
            <v>003020</v>
          </cell>
          <cell r="C93" t="str">
            <v>钞汇类别</v>
          </cell>
          <cell r="D93" t="str">
            <v>Cash or remittance</v>
          </cell>
          <cell r="E93" t="str">
            <v>人民币，钞，汇，可钞可汇等。</v>
          </cell>
          <cell r="F93" t="str">
            <v>C..12</v>
          </cell>
        </row>
        <row r="94">
          <cell r="B94" t="str">
            <v>003021</v>
          </cell>
          <cell r="C94" t="str">
            <v>个人定期存款账户类型</v>
          </cell>
          <cell r="D94" t="str">
            <v>Type of individual term deposit account</v>
          </cell>
          <cell r="E94" t="str">
            <v>个人定期存款，定活两便存款，个人通知存款，个人协议存款，个人协定存款，个人保证金存款，个人结构性存款（不含保本理财），个人其他存款。
与1104报表G01_III中[2.2 个人存款]项的填报口径保持一致。</v>
          </cell>
          <cell r="F94" t="str">
            <v>C..60</v>
          </cell>
        </row>
        <row r="95">
          <cell r="B95" t="str">
            <v>003022</v>
          </cell>
          <cell r="C95" t="str">
            <v>存款期限</v>
          </cell>
          <cell r="D95" t="str">
            <v>Deposit term</v>
          </cell>
          <cell r="E95" t="str">
            <v>1天通知，7天通知，1个月，3个月，6个月，12个月，18个月，24个月，36个月，60个月，72个月，80个月，不固定，其他期限。</v>
          </cell>
          <cell r="F95" t="str">
            <v>C..20</v>
          </cell>
        </row>
        <row r="96">
          <cell r="B96" t="str">
            <v>003023</v>
          </cell>
          <cell r="C96" t="str">
            <v>对公活期存款账户类型</v>
          </cell>
          <cell r="D96" t="str">
            <v>Type of corporation current deposit</v>
          </cell>
          <cell r="E96" t="str">
            <v>人民币：基本户，一般户，专用户，临时户，临时户（验资注册），临时户（验资增资），待核准账户，人民币保证金账户，同业存款账户，委贷基金账户。
外币：依据国家外汇管理局《境内外汇账户管理规定》（银发［1997］416号）中规定的类型填报，如“经常项目-外汇结算账户”，“资本项目-外汇资本金账户”等。
无法以枚举类型填报的，以“其它-XX”填报，其中“XX”为银行自定义类型。</v>
          </cell>
          <cell r="F96" t="str">
            <v>C..60</v>
          </cell>
        </row>
        <row r="97">
          <cell r="B97" t="str">
            <v>003024</v>
          </cell>
          <cell r="C97" t="str">
            <v>利息</v>
          </cell>
          <cell r="D97" t="str">
            <v>Interest</v>
          </cell>
          <cell r="E97" t="str">
            <v>元。</v>
          </cell>
          <cell r="F97" t="str">
            <v>D20.2</v>
          </cell>
        </row>
        <row r="98">
          <cell r="B98" t="str">
            <v>003025</v>
          </cell>
          <cell r="C98" t="str">
            <v>利率</v>
          </cell>
          <cell r="D98" t="str">
            <v>Interest rate</v>
          </cell>
          <cell r="E98" t="str">
            <v>百分比为单位，即1/100，如4.5%填报为4.5。</v>
          </cell>
          <cell r="F98" t="str">
            <v>D10.4</v>
          </cell>
        </row>
        <row r="99">
          <cell r="B99" t="str">
            <v>003026</v>
          </cell>
          <cell r="C99" t="str">
            <v>对公定期存款账户类型</v>
          </cell>
          <cell r="D99" t="str">
            <v>Type of corporation time deposit</v>
          </cell>
          <cell r="E99" t="str">
            <v>单位定期存款，单位通知存款，单位协议存款，单位协定存款，单位保证金存款，单位结构性存款（不含保本理财），单位其他存款。
与1104报表G01_III中[2.1 单位存款]项的填报口径保持一致。</v>
          </cell>
          <cell r="F99" t="str">
            <v>C..60</v>
          </cell>
        </row>
        <row r="100">
          <cell r="B100" t="str">
            <v>003027</v>
          </cell>
          <cell r="C100" t="str">
            <v>内部分户账账户类型</v>
          </cell>
          <cell r="D100" t="str">
            <v>Type of Internal subsidiary ledger account</v>
          </cell>
          <cell r="E100" t="str">
            <v>中文描述，银行自定义。</v>
          </cell>
          <cell r="F100" t="str">
            <v>C..60</v>
          </cell>
        </row>
        <row r="101">
          <cell r="B101" t="str">
            <v>003028</v>
          </cell>
          <cell r="C101" t="str">
            <v>计息方式</v>
          </cell>
          <cell r="D101" t="str">
            <v>Interest method</v>
          </cell>
          <cell r="E101" t="str">
            <v>利息的计算方法，按月结息，按季结息，按半年结息，按年结息，不定期结息，不记利息，利随本清，其他-银行自定义。无法以枚举类型填报的，以“其它-XX”填报，其中“XX”为银行自定义类型。</v>
          </cell>
          <cell r="F101" t="str">
            <v>C..30</v>
          </cell>
        </row>
        <row r="102">
          <cell r="B102" t="str">
            <v>003029</v>
          </cell>
          <cell r="C102" t="str">
            <v>借据号</v>
          </cell>
          <cell r="D102" t="str">
            <v>Duebill number</v>
          </cell>
          <cell r="E102" t="str">
            <v>借据统一编号。</v>
          </cell>
          <cell r="F102" t="str">
            <v>C..100</v>
          </cell>
        </row>
        <row r="103">
          <cell r="B103" t="str">
            <v>003030</v>
          </cell>
          <cell r="C103" t="str">
            <v>合同号</v>
          </cell>
          <cell r="D103" t="str">
            <v>Contract number</v>
          </cell>
          <cell r="E103" t="str">
            <v>合同号。</v>
          </cell>
          <cell r="F103" t="str">
            <v>C..100</v>
          </cell>
        </row>
        <row r="104">
          <cell r="B104" t="str">
            <v>003031</v>
          </cell>
          <cell r="C104" t="str">
            <v>贷款五级分类</v>
          </cell>
          <cell r="D104" t="str">
            <v>The five category assets classification for bank loans</v>
          </cell>
          <cell r="E104" t="str">
            <v>正常，关注，次级，可疑，损失。</v>
          </cell>
          <cell r="F104" t="str">
            <v>C6</v>
          </cell>
        </row>
        <row r="105">
          <cell r="B105" t="str">
            <v>003032</v>
          </cell>
          <cell r="C105" t="str">
            <v>会计周期</v>
          </cell>
          <cell r="D105" t="str">
            <v>Accounting cycle</v>
          </cell>
          <cell r="E105" t="str">
            <v>日报，月报，季报，半年报，年报，其他-银行自定义。无法以枚举类型填报的，以“其它-XX”填报，其中“XX”为银行自定义类型。</v>
          </cell>
          <cell r="F105" t="str">
            <v>C..20</v>
          </cell>
        </row>
        <row r="106">
          <cell r="B106" t="str">
            <v>003033</v>
          </cell>
          <cell r="C106" t="str">
            <v>会计科目大类</v>
          </cell>
          <cell r="D106" t="str">
            <v>Business type</v>
          </cell>
          <cell r="E106" t="str">
            <v>资产类、负债类、所有者权益类、表外业务类。</v>
          </cell>
          <cell r="F106" t="str">
            <v>C..60</v>
          </cell>
        </row>
        <row r="107">
          <cell r="B107" t="str">
            <v>003034</v>
          </cell>
          <cell r="C107" t="str">
            <v>会计科目子类</v>
          </cell>
          <cell r="D107" t="str">
            <v>Sub business type</v>
          </cell>
          <cell r="E107" t="str">
            <v>与1104报表G01和G01_I的填报口径保持一致。归属多个业务子类时使用英文半角分号隔开，按照中文名称报送。
资产类业务子类：1现金，2贵金属，3存放中央银行款项，4存放同业款项，5应收利息，6贷款，7贸易融资，8贴现及买断式转贴现，9其它贷款，10拆放同业，11其他应收款，12投资，13买入返售资产，14长期待摊费用，15固定资产原价，16减：累计折旧，17固定资产净值，18固定资产清理，19在建工程，20无形资产，21抵债资产，22递延所得税资产，23其他资产，24. 减：各项资产减值损失准备。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表外业务类别：55承兑汇票，56跟单信用证，57保函，58信用风险仍在银行的销售与购买协议，59其他担保类业务，60可随时无条件撤销的贷款承诺，61不可无条件撤销的贷款承诺，62未使用的信用卡授信额度，63其他承诺，64发行非保本理财产品，65委托贷款，66委托投资，67代理代销业务，68资产托管，69其他金融资产服务业务，70金融衍生品类。</v>
          </cell>
          <cell r="F107" t="str">
            <v>C..60</v>
          </cell>
        </row>
        <row r="108">
          <cell r="B108" t="str">
            <v>003035</v>
          </cell>
          <cell r="C108" t="str">
            <v>交易借贷标志</v>
          </cell>
          <cell r="D108" t="str">
            <v>Debit record or Credit   record flag</v>
          </cell>
          <cell r="E108" t="str">
            <v>借，贷。</v>
          </cell>
          <cell r="F108" t="str">
            <v>C3</v>
          </cell>
        </row>
        <row r="109">
          <cell r="B109" t="str">
            <v>003036</v>
          </cell>
          <cell r="C109" t="str">
            <v>外部账号</v>
          </cell>
          <cell r="D109" t="str">
            <v>Outer account number</v>
          </cell>
          <cell r="E109" t="str">
            <v>外部转账交易使用的账号。报送跟个人内部账号相对应的外部卡号、折号、单号或客户账号。个人定期存款报送与该业务绑定交易的卡号、折号、单号。对公活期报送活期存款账户对应的客户账号，对公定期报送与该业务绑定交易的客户账号。</v>
          </cell>
          <cell r="F109" t="str">
            <v>C..60</v>
          </cell>
        </row>
        <row r="110">
          <cell r="A110" t="str">
            <v>交易流水信息</v>
          </cell>
          <cell r="B110" t="str">
            <v>004</v>
          </cell>
        </row>
        <row r="111">
          <cell r="B111" t="str">
            <v>004001</v>
          </cell>
          <cell r="C111" t="str">
            <v>交易序列号</v>
          </cell>
          <cell r="D111" t="str">
            <v>Trading time stamp</v>
          </cell>
          <cell r="E111" t="str">
            <v>唯一标识交易序列的编号。可以填报银行交易系统中使用的时间戳，如时间戳(纳秒)：1530027865231834600。</v>
          </cell>
          <cell r="F111" t="str">
            <v>C..30</v>
          </cell>
        </row>
        <row r="112">
          <cell r="B112" t="str">
            <v>004002</v>
          </cell>
          <cell r="C112" t="str">
            <v>交易类型</v>
          </cell>
          <cell r="D112" t="str">
            <v>Trading type</v>
          </cell>
          <cell r="E112" t="str">
            <v>一般转账，取现，存现，三方支付、银联交易，消费，代发，代扣，代缴，批量交易，贷款发放，还款-还本，还款-还息，银证转账，投资理财，其他-银行自定义类型。无法以枚举类型填报的，以“其他-XX”报送，其中“XX”为银行自定义类型。</v>
          </cell>
          <cell r="F112" t="str">
            <v>C..60</v>
          </cell>
        </row>
        <row r="113">
          <cell r="B113" t="str">
            <v>004003</v>
          </cell>
          <cell r="C113" t="str">
            <v>交易渠道</v>
          </cell>
          <cell r="D113" t="str">
            <v>Trading channel</v>
          </cell>
          <cell r="E113" t="str">
            <v>柜面，ATM，VTM，POS，网银，手机银行，同业清算，SWIFT，银证业务，网联支付，云闪付，银联无卡交易，其他-银行自定义。以枚举类型填报，如无法以枚举类型填报，则以“其它-XX”填报，其中“XX”为银行自定义类型。</v>
          </cell>
          <cell r="F113" t="str">
            <v>C..60</v>
          </cell>
        </row>
        <row r="114">
          <cell r="B114" t="str">
            <v>004004</v>
          </cell>
          <cell r="C114" t="str">
            <v>现转标志</v>
          </cell>
          <cell r="D114" t="str">
            <v>Cash or transfer</v>
          </cell>
          <cell r="E114" t="str">
            <v>现，转。</v>
          </cell>
          <cell r="F114" t="str">
            <v>C..4</v>
          </cell>
        </row>
        <row r="115">
          <cell r="B115" t="str">
            <v>004005</v>
          </cell>
          <cell r="C115" t="str">
            <v>摘要</v>
          </cell>
          <cell r="D115" t="str">
            <v>Memo</v>
          </cell>
          <cell r="E115" t="str">
            <v>银行自定义交易内容的简要描述。可以是转账凭证上的备注、附注、摘要。</v>
          </cell>
          <cell r="F115" t="str">
            <v>C..400</v>
          </cell>
        </row>
        <row r="116">
          <cell r="B116" t="str">
            <v>004006</v>
          </cell>
          <cell r="C116" t="str">
            <v>冲补抹标志</v>
          </cell>
          <cell r="D116" t="str">
            <v>Regular, strike, mend</v>
          </cell>
          <cell r="E116" t="str">
            <v>正常，冲账，补账，抹账。</v>
          </cell>
          <cell r="F116" t="str">
            <v>C..10</v>
          </cell>
        </row>
        <row r="117">
          <cell r="B117" t="str">
            <v>004007</v>
          </cell>
          <cell r="C117" t="str">
            <v>卡片交易类型</v>
          </cell>
          <cell r="D117" t="str">
            <v>Card trading type</v>
          </cell>
          <cell r="E117" t="str">
            <v>现金交易，还款交易，消费交易，转账交易，其他-银行自定义。以枚举类型填报，如无法以枚举类型填报，则以“其它-XX”填报，其中“XX”为银行自定义类型。</v>
          </cell>
          <cell r="F117" t="str">
            <v>C..60</v>
          </cell>
        </row>
        <row r="118">
          <cell r="B118" t="str">
            <v>004008</v>
          </cell>
          <cell r="C118" t="str">
            <v>主要担保类型</v>
          </cell>
          <cell r="D118" t="str">
            <v>Main guarantee type</v>
          </cell>
          <cell r="E118" t="str">
            <v>质押，抵押，保证，信用。</v>
          </cell>
          <cell r="F118" t="str">
            <v>C4</v>
          </cell>
        </row>
        <row r="119">
          <cell r="B119" t="str">
            <v>004009</v>
          </cell>
          <cell r="C119" t="str">
            <v>担保说明</v>
          </cell>
          <cell r="D119" t="str">
            <v>Guarantee illustration</v>
          </cell>
          <cell r="E119" t="str">
            <v>中文字典或中文描述，银行自定义。</v>
          </cell>
          <cell r="F119" t="str">
            <v>C..400</v>
          </cell>
        </row>
        <row r="120">
          <cell r="A120" t="str">
            <v>授信交易信息</v>
          </cell>
          <cell r="B120" t="str">
            <v>005</v>
          </cell>
        </row>
        <row r="121">
          <cell r="B121" t="str">
            <v>005001</v>
          </cell>
          <cell r="C121" t="str">
            <v>产品名称</v>
          </cell>
          <cell r="D121" t="str">
            <v>Product name</v>
          </cell>
          <cell r="E121" t="str">
            <v>银行内部产品中文名称，银行自定义。</v>
          </cell>
          <cell r="F121" t="str">
            <v>C..200</v>
          </cell>
        </row>
        <row r="122">
          <cell r="B122" t="str">
            <v>005002</v>
          </cell>
          <cell r="C122" t="str">
            <v>合同名称</v>
          </cell>
          <cell r="D122" t="str">
            <v>Contract name</v>
          </cell>
          <cell r="E122" t="str">
            <v>信贷合同的中文名称，银行自定义。</v>
          </cell>
          <cell r="F122" t="str">
            <v>C..200</v>
          </cell>
        </row>
        <row r="123">
          <cell r="B123" t="str">
            <v>005003</v>
          </cell>
          <cell r="C123" t="str">
            <v>信贷业务种类</v>
          </cell>
          <cell r="D123" t="str">
            <v>Loan business type</v>
          </cell>
          <cell r="E123" t="str">
            <v>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它-XX”填报，其中“XX”为银行自定义类型。</v>
          </cell>
          <cell r="F123" t="str">
            <v>C..100</v>
          </cell>
        </row>
        <row r="124">
          <cell r="B124" t="str">
            <v>005004</v>
          </cell>
          <cell r="C124" t="str">
            <v>利率浮动</v>
          </cell>
          <cell r="D124" t="str">
            <v>Rate float</v>
          </cell>
          <cell r="E124" t="str">
            <v>基准点为单位。浮动比例与上浮比例均折算点数填报。如上浮1%是填100.00，下浮1%是填-100.00，精确到小数点后2位。如果利率类型是固定利率，则利率浮动填写0.00。如利率类型是浮动利率，则与利率基准结合进行计算。</v>
          </cell>
          <cell r="F124" t="str">
            <v>D8.5</v>
          </cell>
        </row>
        <row r="125">
          <cell r="B125" t="str">
            <v>005005</v>
          </cell>
          <cell r="C125" t="str">
            <v>主要担保方式</v>
          </cell>
          <cell r="D125" t="str">
            <v>Main guarantee way</v>
          </cell>
          <cell r="E125" t="str">
            <v>质押（含保证金），抵押，保证，信用，其他。</v>
          </cell>
          <cell r="F125" t="str">
            <v>C..60</v>
          </cell>
        </row>
        <row r="126">
          <cell r="B126" t="str">
            <v>005006</v>
          </cell>
          <cell r="C126" t="str">
            <v>放款方式</v>
          </cell>
          <cell r="D126" t="str">
            <v>Distribute way</v>
          </cell>
          <cell r="E126" t="str">
            <v>自主支付，受托支付，混合支付。</v>
          </cell>
          <cell r="F126" t="str">
            <v>C12</v>
          </cell>
        </row>
        <row r="127">
          <cell r="B127" t="str">
            <v>005007</v>
          </cell>
          <cell r="C127" t="str">
            <v>贷款用途</v>
          </cell>
          <cell r="D127" t="str">
            <v>Loan purpose</v>
          </cell>
          <cell r="E127" t="str">
            <v>贷款使用的具体内容。</v>
          </cell>
          <cell r="F127" t="str">
            <v>C..1000</v>
          </cell>
        </row>
        <row r="128">
          <cell r="B128" t="str">
            <v>005008</v>
          </cell>
          <cell r="C128" t="str">
            <v>贷款投向行业</v>
          </cell>
          <cell r="D128" t="str">
            <v>Invest industry</v>
          </cell>
          <cell r="E128" t="str">
            <v>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v>
          </cell>
          <cell r="F128" t="str">
            <v>C..100</v>
          </cell>
        </row>
        <row r="129">
          <cell r="B129" t="str">
            <v>005009</v>
          </cell>
          <cell r="C129" t="str">
            <v>项目名称</v>
          </cell>
          <cell r="D129" t="str">
            <v>Project name</v>
          </cell>
          <cell r="E129" t="str">
            <v>项目贷款名称。</v>
          </cell>
          <cell r="F129" t="str">
            <v>C..100</v>
          </cell>
        </row>
        <row r="130">
          <cell r="B130" t="str">
            <v>005010</v>
          </cell>
          <cell r="C130" t="str">
            <v>项目类型</v>
          </cell>
          <cell r="D130" t="str">
            <v>Project type</v>
          </cell>
          <cell r="E130" t="str">
            <v>基础设施建设项目，房地产项目，技术改造项目，科技开发项目，并购贷款，其他-银行自定义类型。如无法以枚举类型填报，则以“其它-XX”填报，其中“XX”为银行自定义类型。</v>
          </cell>
          <cell r="F130" t="str">
            <v>C..100</v>
          </cell>
        </row>
        <row r="131">
          <cell r="B131" t="str">
            <v>005011</v>
          </cell>
          <cell r="C131" t="str">
            <v>批文文号</v>
          </cell>
          <cell r="D131" t="str">
            <v>Approval number</v>
          </cell>
          <cell r="E131" t="str">
            <v>银行自定义。</v>
          </cell>
          <cell r="F131" t="str">
            <v>C..60</v>
          </cell>
        </row>
        <row r="132">
          <cell r="B132" t="str">
            <v>005012</v>
          </cell>
          <cell r="C132" t="str">
            <v>立项批文</v>
          </cell>
          <cell r="D132" t="str">
            <v>Project approval</v>
          </cell>
          <cell r="E132" t="str">
            <v>批文名称，可银行自定义。</v>
          </cell>
          <cell r="F132" t="str">
            <v>C..60</v>
          </cell>
        </row>
        <row r="133">
          <cell r="B133" t="str">
            <v>005013</v>
          </cell>
          <cell r="C133" t="str">
            <v>建设用地规划许可证编号</v>
          </cell>
          <cell r="D133" t="str">
            <v>Construction land Plan permit number</v>
          </cell>
          <cell r="E133" t="str">
            <v>银行自定义。</v>
          </cell>
          <cell r="F133" t="str">
            <v>C..60</v>
          </cell>
        </row>
        <row r="134">
          <cell r="B134" t="str">
            <v>005014</v>
          </cell>
          <cell r="C134" t="str">
            <v>建设工程规划许可证编号</v>
          </cell>
          <cell r="D134" t="str">
            <v>Construction engineering Plan permit number</v>
          </cell>
          <cell r="E134" t="str">
            <v>银行自定义。</v>
          </cell>
          <cell r="F134" t="str">
            <v>C..60</v>
          </cell>
        </row>
        <row r="135">
          <cell r="B135" t="str">
            <v>005015</v>
          </cell>
          <cell r="C135" t="str">
            <v>建设用地许可证编号</v>
          </cell>
          <cell r="D135" t="str">
            <v>Construction land permit number</v>
          </cell>
          <cell r="E135" t="str">
            <v>银行自定义。</v>
          </cell>
          <cell r="F135" t="str">
            <v>C..60</v>
          </cell>
        </row>
        <row r="136">
          <cell r="B136" t="str">
            <v>005016</v>
          </cell>
          <cell r="C136" t="str">
            <v>施工许可证编号</v>
          </cell>
          <cell r="D136" t="str">
            <v>Builder's permit number</v>
          </cell>
          <cell r="E136" t="str">
            <v>银行自定义。</v>
          </cell>
          <cell r="F136" t="str">
            <v>C..60</v>
          </cell>
        </row>
        <row r="137">
          <cell r="B137" t="str">
            <v>005017</v>
          </cell>
          <cell r="C137" t="str">
            <v>其他许可证</v>
          </cell>
          <cell r="D137" t="str">
            <v>Other permit</v>
          </cell>
          <cell r="E137" t="str">
            <v>银行自定义。</v>
          </cell>
          <cell r="F137" t="str">
            <v>C..60</v>
          </cell>
        </row>
        <row r="138">
          <cell r="B138" t="str">
            <v>005018</v>
          </cell>
          <cell r="C138" t="str">
            <v>票据号码</v>
          </cell>
          <cell r="D138" t="str">
            <v>Bill number</v>
          </cell>
          <cell r="E138" t="str">
            <v>票据号码。</v>
          </cell>
          <cell r="F138" t="str">
            <v>C..60</v>
          </cell>
        </row>
        <row r="139">
          <cell r="B139" t="str">
            <v>005019</v>
          </cell>
          <cell r="C139" t="str">
            <v>出票人编号</v>
          </cell>
          <cell r="D139" t="str">
            <v>Drawer number</v>
          </cell>
          <cell r="E139" t="str">
            <v>出票人客户统一编号。</v>
          </cell>
          <cell r="F139" t="str">
            <v>C..60</v>
          </cell>
        </row>
        <row r="140">
          <cell r="B140" t="str">
            <v>005020</v>
          </cell>
          <cell r="C140" t="str">
            <v>票据类型</v>
          </cell>
          <cell r="D140" t="str">
            <v>Bill type</v>
          </cell>
          <cell r="E140" t="str">
            <v>银行承兑汇票，商业承兑汇票。</v>
          </cell>
          <cell r="F140" t="str">
            <v>C..30</v>
          </cell>
        </row>
        <row r="141">
          <cell r="B141" t="str">
            <v>005021</v>
          </cell>
          <cell r="C141" t="str">
            <v>贸易融资品种</v>
          </cell>
          <cell r="D141" t="str">
            <v>Trade financing (TF) type</v>
          </cell>
          <cell r="E141" t="str">
            <v>出口合同打包放款，出口信用证打包放款，出口信用证押汇，出口信用证押汇（离岸），出口信用证贴现，出口信用证贴现（离岸），出口托收押汇，出口托收押汇（OTS），出口托收贴现，出口托收贴现（OTS），出口商业发票融资，福费廷，福费廷（离岸），货到付款押汇，进口信用证押汇，进口代收押汇，提货担保，提货担保（OTS），备用信用证，备用信用证（OTS），进口信用证，进口信用证（OTS），国际保理，国内保理，保兑仓，进口代付，打包贷款，议付/卖方融资，买方融资，发票融资，商品融资，其它-银行自定义。</v>
          </cell>
          <cell r="F141" t="str">
            <v>C..60</v>
          </cell>
        </row>
        <row r="142">
          <cell r="B142" t="str">
            <v>005022</v>
          </cell>
          <cell r="C142" t="str">
            <v>商业发票号码</v>
          </cell>
          <cell r="D142" t="str">
            <v>Invoice number</v>
          </cell>
          <cell r="E142" t="str">
            <v>贸易背景真实性审查收集的商业发票号码</v>
          </cell>
          <cell r="F142" t="str">
            <v>C..100</v>
          </cell>
        </row>
        <row r="143">
          <cell r="B143" t="str">
            <v>005023</v>
          </cell>
          <cell r="C143" t="str">
            <v>商业发票种类</v>
          </cell>
          <cell r="D143" t="str">
            <v>Invoice type</v>
          </cell>
          <cell r="E143" t="str">
            <v>银行自定义，例如：商业发票，详细发票，证实发票，收妥发票，厂商发票，形式发票，样品发票，领事发票，寄售发票，海关发票</v>
          </cell>
          <cell r="F143" t="str">
            <v>C..30</v>
          </cell>
        </row>
        <row r="144">
          <cell r="B144" t="str">
            <v>005024</v>
          </cell>
          <cell r="C144" t="str">
            <v>代理参贷标志</v>
          </cell>
          <cell r="D144" t="str">
            <v>Agent loan sign</v>
          </cell>
          <cell r="E144" t="str">
            <v>代理行，参贷行。</v>
          </cell>
          <cell r="F144" t="str">
            <v>C9</v>
          </cell>
        </row>
        <row r="145">
          <cell r="B145" t="str">
            <v>005025</v>
          </cell>
          <cell r="C145" t="str">
            <v>协议状态</v>
          </cell>
          <cell r="D145" t="str">
            <v>Agreement state</v>
          </cell>
          <cell r="E145" t="str">
            <v>中文描述或中文字典，银行自定义。</v>
          </cell>
          <cell r="F145" t="str">
            <v>C..60</v>
          </cell>
        </row>
        <row r="146">
          <cell r="B146" t="str">
            <v>005026</v>
          </cell>
          <cell r="C146" t="str">
            <v>手续费方式</v>
          </cell>
          <cell r="D146" t="str">
            <v>Way of submit commission</v>
          </cell>
          <cell r="E146" t="str">
            <v>中文描述或中文字典，银行自定义。</v>
          </cell>
          <cell r="F146" t="str">
            <v>C..60</v>
          </cell>
        </row>
        <row r="147">
          <cell r="B147" t="str">
            <v>005027</v>
          </cell>
          <cell r="C147" t="str">
            <v>展期次数</v>
          </cell>
          <cell r="D147" t="str">
            <v>Times of loan extension</v>
          </cell>
          <cell r="E147" t="str">
            <v>贷款展期次数，未展期为0。</v>
          </cell>
          <cell r="F147" t="str">
            <v>I..4</v>
          </cell>
        </row>
        <row r="148">
          <cell r="B148" t="str">
            <v>005028</v>
          </cell>
          <cell r="C148" t="str">
            <v>期数</v>
          </cell>
          <cell r="D148" t="str">
            <v>Number of terms</v>
          </cell>
          <cell r="E148" t="str">
            <v>期数，默认值0。</v>
          </cell>
          <cell r="F148" t="str">
            <v>I..4</v>
          </cell>
        </row>
        <row r="149">
          <cell r="B149" t="str">
            <v>005029</v>
          </cell>
          <cell r="C149" t="str">
            <v>贷款状态</v>
          </cell>
          <cell r="D149" t="str">
            <v>Loan state</v>
          </cell>
          <cell r="E149" t="str">
            <v>正常、结清、逾期、核销、转让，其他-银行自定义。以枚举类型填报，如无法以枚举类型填报，则以“其它-XX”填报，其中“XX”为银行自定义状态。</v>
          </cell>
          <cell r="F149" t="str">
            <v>C..30</v>
          </cell>
        </row>
        <row r="150">
          <cell r="B150" t="str">
            <v>005030</v>
          </cell>
          <cell r="C150" t="str">
            <v>还款方式</v>
          </cell>
          <cell r="D150" t="str">
            <v>Repayment way</v>
          </cell>
          <cell r="E150" t="str">
            <v>按月，按季，按半年，按年，利随本清，分期付息一次还本，其他-银行自定义。若无法以枚举类型填写，则以“其它-XX”填报，其中“XX”为银行自定义类型。</v>
          </cell>
          <cell r="F150" t="str">
            <v>C..40</v>
          </cell>
        </row>
        <row r="151">
          <cell r="B151" t="str">
            <v>005031</v>
          </cell>
          <cell r="C151" t="str">
            <v>担保类型</v>
          </cell>
          <cell r="D151" t="str">
            <v>Guarantee type</v>
          </cell>
          <cell r="E151" t="str">
            <v>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v>
          </cell>
          <cell r="F151" t="str">
            <v>C..30</v>
          </cell>
        </row>
        <row r="152">
          <cell r="B152" t="str">
            <v>005032</v>
          </cell>
          <cell r="C152" t="str">
            <v>担保合同类型</v>
          </cell>
          <cell r="D152" t="str">
            <v>Guarantee contract type</v>
          </cell>
          <cell r="E152" t="str">
            <v>一般担保合同，最高额担保合同。</v>
          </cell>
          <cell r="F152" t="str">
            <v>C..30</v>
          </cell>
        </row>
        <row r="153">
          <cell r="B153" t="str">
            <v>005033</v>
          </cell>
          <cell r="C153" t="str">
            <v>担保人类别</v>
          </cell>
          <cell r="D153" t="str">
            <v>Guarantor type</v>
          </cell>
          <cell r="E153" t="str">
            <v>对公，个人。</v>
          </cell>
          <cell r="F153" t="str">
            <v>C6</v>
          </cell>
        </row>
        <row r="154">
          <cell r="B154" t="str">
            <v>005034</v>
          </cell>
          <cell r="C154" t="str">
            <v>担保合同状态</v>
          </cell>
          <cell r="D154" t="str">
            <v>Guarantee contract state</v>
          </cell>
          <cell r="E154" t="str">
            <v>有效，失效。</v>
          </cell>
          <cell r="F154" t="str">
            <v>C6</v>
          </cell>
        </row>
        <row r="155">
          <cell r="B155" t="str">
            <v>005035</v>
          </cell>
          <cell r="C155" t="str">
            <v>抵质押物编号</v>
          </cell>
          <cell r="D155" t="str">
            <v>Pledge or collateral number</v>
          </cell>
          <cell r="E155" t="str">
            <v>因信贷业务而成为抵质押物的编号。</v>
          </cell>
          <cell r="F155" t="str">
            <v>C..60</v>
          </cell>
        </row>
        <row r="156">
          <cell r="B156" t="str">
            <v>005036</v>
          </cell>
          <cell r="C156" t="str">
            <v>抵质押物名称</v>
          </cell>
          <cell r="D156" t="str">
            <v>Pledge or collateral name</v>
          </cell>
          <cell r="E156" t="str">
            <v>因信贷业务而成为抵质押物的名称。当抵质押物类型为商业房地产和居住用房地产时，名称应为房产证上房屋地址。</v>
          </cell>
          <cell r="F156" t="str">
            <v>C..1000</v>
          </cell>
        </row>
        <row r="157">
          <cell r="B157" t="str">
            <v>005037</v>
          </cell>
          <cell r="C157" t="str">
            <v>抵质押物类型</v>
          </cell>
          <cell r="D157" t="str">
            <v>Pledge or collateral type</v>
          </cell>
          <cell r="E157" t="str">
            <v>与1104报表G13《押品情况统计表》口径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它-XX”，其中“XX”为银行自定义类型。</v>
          </cell>
          <cell r="F157" t="str">
            <v>C..300</v>
          </cell>
        </row>
        <row r="158">
          <cell r="B158" t="str">
            <v>005038</v>
          </cell>
          <cell r="C158" t="str">
            <v>质押票证号码</v>
          </cell>
          <cell r="D158" t="str">
            <v>Impawn bill number</v>
          </cell>
          <cell r="E158" t="str">
            <v>当抵质押物类型为票据等有编号的押品需要填写。</v>
          </cell>
          <cell r="F158" t="str">
            <v>C..300</v>
          </cell>
        </row>
        <row r="159">
          <cell r="B159" t="str">
            <v>005039</v>
          </cell>
          <cell r="C159" t="str">
            <v>权证登记号码</v>
          </cell>
          <cell r="D159" t="str">
            <v>Prop certification register number</v>
          </cell>
          <cell r="E159" t="str">
            <v>当抵质押物类型为商业房地产和居住用房地产时，填写产权证编号或不动产权证编号。</v>
          </cell>
          <cell r="F159" t="str">
            <v>C..30</v>
          </cell>
        </row>
        <row r="160">
          <cell r="B160" t="str">
            <v>005040</v>
          </cell>
          <cell r="C160" t="str">
            <v>权证登记面积</v>
          </cell>
          <cell r="D160" t="str">
            <v>Prop certification register acreage</v>
          </cell>
          <cell r="E160" t="str">
            <v>当抵质押物类型为商业房地产和居住用房地产时，相关权证上登记的房产面积。单位：㎡，如1000平方米填报为1000.</v>
          </cell>
          <cell r="F160" t="str">
            <v>C..30</v>
          </cell>
        </row>
        <row r="161">
          <cell r="B161" t="str">
            <v>005041</v>
          </cell>
          <cell r="C161" t="str">
            <v>委托贷款类型</v>
          </cell>
          <cell r="D161" t="str">
            <v>Type of entrust loan</v>
          </cell>
          <cell r="E161" t="str">
            <v>现金管理项下委托贷款，非现金管理项下委托贷款，公积金贷款。</v>
          </cell>
          <cell r="F161" t="str">
            <v>C..30</v>
          </cell>
        </row>
        <row r="162">
          <cell r="B162" t="str">
            <v>005042</v>
          </cell>
          <cell r="C162" t="str">
            <v>地区</v>
          </cell>
          <cell r="D162" t="str">
            <v>Area</v>
          </cell>
          <cell r="E162" t="str">
            <v>境内地区参照《GB/T 2260 中华人民共和国行政区划代码》填写国内行政区划名称，精确到地市级；境外地区参照《GB/T 2659-2000 世界各国和地区名称》填写中文国家或地区名称。</v>
          </cell>
          <cell r="F162" t="str">
            <v>C..200</v>
          </cell>
        </row>
        <row r="163">
          <cell r="B163" t="str">
            <v>005043</v>
          </cell>
          <cell r="C163" t="str">
            <v>担保业务种类</v>
          </cell>
          <cell r="D163" t="str">
            <v>LG/LC  type</v>
          </cell>
          <cell r="E163" t="str">
            <v>融资性保函，非融资性保函，国内信用证、国际信用证，销售协议，购买协议，银行自定义。无法以枚举类型填报的，以“其它-XX”填报，其中“XX”为银行自定义的担保类业务种类。</v>
          </cell>
          <cell r="F163" t="str">
            <v>C..30</v>
          </cell>
        </row>
        <row r="164">
          <cell r="B164" t="str">
            <v>005044</v>
          </cell>
          <cell r="C164" t="str">
            <v>抵质押物状态</v>
          </cell>
          <cell r="D164" t="str">
            <v>Pledge or collateral state</v>
          </cell>
          <cell r="E164" t="str">
            <v>正常，冻结，查封，扣押，其他-银行自定义。无法以枚举类型填报的，以“其它-XX”填报，其中“XX”为银行自定义抵质押物状态。</v>
          </cell>
          <cell r="F164" t="str">
            <v>C..30</v>
          </cell>
        </row>
        <row r="165">
          <cell r="B165" t="str">
            <v>005045</v>
          </cell>
          <cell r="C165" t="str">
            <v>处置权顺位</v>
          </cell>
          <cell r="D165" t="str">
            <v>Collateral ranking</v>
          </cell>
          <cell r="E165" t="str">
            <v>第一顺位，第二顺位，第三顺位...以此类推。</v>
          </cell>
          <cell r="F165" t="str">
            <v>C..20</v>
          </cell>
        </row>
        <row r="166">
          <cell r="B166" t="str">
            <v>005046</v>
          </cell>
          <cell r="C166" t="str">
            <v>贷款发放类型</v>
          </cell>
          <cell r="D166" t="str">
            <v>Loan form</v>
          </cell>
          <cell r="E166" t="str">
            <v>新增贷款，续贷贷款，借新还旧贷款，重组贷款，银行自定义类型。</v>
          </cell>
          <cell r="F166" t="str">
            <v>C..30</v>
          </cell>
        </row>
        <row r="167">
          <cell r="B167" t="str">
            <v>005047</v>
          </cell>
          <cell r="C167" t="str">
            <v>收回标志</v>
          </cell>
          <cell r="D167" t="str">
            <v>Retrieve flag</v>
          </cell>
          <cell r="E167" t="str">
            <v>零收回，部分收回，完全收回。</v>
          </cell>
          <cell r="F167" t="str">
            <v>C..20</v>
          </cell>
        </row>
        <row r="168">
          <cell r="B168" t="str">
            <v>005048</v>
          </cell>
          <cell r="C168" t="str">
            <v>合同状态</v>
          </cell>
          <cell r="D168" t="str">
            <v>Contract state</v>
          </cell>
          <cell r="E168" t="str">
            <v>未生效，有效，撤销，终结，其他-银行自定义。无法以枚举类型填报的，以“其它-XX”填报，其中“XX”为银行自定义状态。</v>
          </cell>
          <cell r="F168" t="str">
            <v>C..30</v>
          </cell>
        </row>
        <row r="169">
          <cell r="B169" t="str">
            <v>005049</v>
          </cell>
          <cell r="C169" t="str">
            <v>票据状态</v>
          </cell>
          <cell r="D169" t="str">
            <v>Bill state</v>
          </cell>
          <cell r="E169" t="str">
            <v>正常，卖断，解付，垫款，核销，其他-银行自定义。无法以枚举类型填报的，以“其它-XX”填报，其中“XX”为银行自定义状态。</v>
          </cell>
          <cell r="F169" t="str">
            <v>C..20</v>
          </cell>
        </row>
        <row r="170">
          <cell r="B170" t="str">
            <v>005050</v>
          </cell>
          <cell r="C170" t="str">
            <v>转贴现类型</v>
          </cell>
          <cell r="D170" t="str">
            <v>Rediscount type</v>
          </cell>
          <cell r="E170" t="str">
            <v>转贴现买断，转贴现卖断，质押式回购正回购，质押式回购逆回购，买断式回购正回购，买断式回购逆回购。</v>
          </cell>
          <cell r="F170" t="str">
            <v>C..60</v>
          </cell>
        </row>
        <row r="171">
          <cell r="B171" t="str">
            <v>005051</v>
          </cell>
          <cell r="C171" t="str">
            <v>保函或信用证状态</v>
          </cell>
          <cell r="D171" t="str">
            <v>LG/LC state</v>
          </cell>
          <cell r="E171" t="str">
            <v>未生效，正常，失效，垫款，闭卷，撤销，终结，其他-银行自定义。无法以枚举类型填报的，以“其它-XX”填报，其中“XX”为银行自定义状态。</v>
          </cell>
          <cell r="F171" t="str">
            <v>C..20</v>
          </cell>
        </row>
        <row r="172">
          <cell r="B172" t="str">
            <v>005052</v>
          </cell>
          <cell r="C172" t="str">
            <v>融资租赁类型</v>
          </cell>
          <cell r="D172" t="str">
            <v>Lease type</v>
          </cell>
          <cell r="E172" t="str">
            <v>金融机构设备租赁，电信设备租赁，教育、医疗设备租赁，工程机械租赁，大型交通运输工具（飞机、船舶等）租赁，其他-银行自定义。无法以枚举类型填报的，以“其它-XX”填报，其中“XX”为银行自定义融资租赁类型。</v>
          </cell>
          <cell r="F172" t="str">
            <v>C..200</v>
          </cell>
        </row>
        <row r="173">
          <cell r="B173" t="str">
            <v>005053</v>
          </cell>
          <cell r="C173" t="str">
            <v>融资租赁方式</v>
          </cell>
          <cell r="D173" t="str">
            <v>Lease way</v>
          </cell>
          <cell r="E173" t="str">
            <v>直接融资租赁，售后回租，其他-银行自定义。无法以枚举类型填报的，以“其它-XX”填报，其中“XX”为银行自定义租赁方式。</v>
          </cell>
          <cell r="F173" t="str">
            <v>C..60</v>
          </cell>
        </row>
        <row r="174">
          <cell r="B174" t="str">
            <v>005054</v>
          </cell>
          <cell r="C174" t="str">
            <v>贸易业务种类</v>
          </cell>
          <cell r="D174" t="str">
            <v>Trade bill type</v>
          </cell>
          <cell r="E174" t="str">
            <v>承兑汇票，保函，信用证，其他-银行自定义。无法以枚举类型填报的，以“其它-XX”填报，其中“XX”为银行自定义业务种类。</v>
          </cell>
          <cell r="F174" t="str">
            <v>C..30</v>
          </cell>
        </row>
        <row r="175">
          <cell r="B175" t="str">
            <v>005055</v>
          </cell>
          <cell r="C175" t="str">
            <v>核销状态</v>
          </cell>
          <cell r="D175" t="str">
            <v>Loan wite off state</v>
          </cell>
          <cell r="E175" t="str">
            <v>账销案存，完全终结。</v>
          </cell>
          <cell r="F175" t="str">
            <v>C12</v>
          </cell>
        </row>
        <row r="176">
          <cell r="A176" t="str">
            <v>卡片信息</v>
          </cell>
          <cell r="B176" t="str">
            <v>006</v>
          </cell>
        </row>
        <row r="177">
          <cell r="B177" t="str">
            <v>006001</v>
          </cell>
          <cell r="C177" t="str">
            <v>卡号</v>
          </cell>
          <cell r="D177" t="str">
            <v>Card number</v>
          </cell>
          <cell r="E177" t="str">
            <v>卡号，可以是借记卡号，贷记卡号等。</v>
          </cell>
          <cell r="F177" t="str">
            <v>C..60</v>
          </cell>
        </row>
        <row r="178">
          <cell r="B178" t="str">
            <v>006002</v>
          </cell>
          <cell r="C178" t="str">
            <v>借记卡产品名称</v>
          </cell>
          <cell r="D178" t="str">
            <v>Debit card name</v>
          </cell>
          <cell r="E178" t="str">
            <v>借记卡产品名称，中文字典或中文描述，银行自定义。</v>
          </cell>
          <cell r="F178" t="str">
            <v>C..60</v>
          </cell>
        </row>
        <row r="179">
          <cell r="B179" t="str">
            <v>006003</v>
          </cell>
          <cell r="C179" t="str">
            <v>卡片状态</v>
          </cell>
          <cell r="D179" t="str">
            <v>Card state</v>
          </cell>
          <cell r="E179" t="str">
            <v>未激活，正常，冻结，销户，睡眠，挂失，止付，其他-银行自定义。以枚举类型填报，如果无法以枚举类型填报的，以“其它-XX”填报，其中XX为银行自定义的卡片状态。</v>
          </cell>
          <cell r="F179" t="str">
            <v>C..30</v>
          </cell>
        </row>
        <row r="180">
          <cell r="B180" t="str">
            <v>006004</v>
          </cell>
          <cell r="C180" t="str">
            <v>存折类型</v>
          </cell>
          <cell r="D180" t="str">
            <v>Passbook type</v>
          </cell>
          <cell r="E180" t="str">
            <v>普通存折，存单，一本通，大额定期存单，其他-银行自定义。无法以枚举类型填报的，以“其它-XX”填报，其中XX为银行自定义的类型。</v>
          </cell>
          <cell r="F180" t="str">
            <v>C..20</v>
          </cell>
        </row>
        <row r="181">
          <cell r="B181" t="str">
            <v>006005</v>
          </cell>
          <cell r="C181" t="str">
            <v>存折状态</v>
          </cell>
          <cell r="D181" t="str">
            <v>Passbook state</v>
          </cell>
          <cell r="E181" t="str">
            <v>正常，冻结，注销，睡眠，未激活，其他-银行自定义。无法以枚举类型填报的，以“其它-XX”填报，其中XX为银行自定义状态。</v>
          </cell>
          <cell r="F181" t="str">
            <v>C..30</v>
          </cell>
        </row>
        <row r="182">
          <cell r="B182" t="str">
            <v>006006</v>
          </cell>
          <cell r="C182" t="str">
            <v>卡片名称</v>
          </cell>
          <cell r="D182" t="str">
            <v>Card name</v>
          </cell>
          <cell r="E182" t="str">
            <v>信用卡片种类名称。</v>
          </cell>
          <cell r="F182" t="str">
            <v>C..60</v>
          </cell>
        </row>
        <row r="183">
          <cell r="B183" t="str">
            <v>006007</v>
          </cell>
          <cell r="C183" t="str">
            <v>卡片级别</v>
          </cell>
          <cell r="D183" t="str">
            <v>Card level</v>
          </cell>
          <cell r="E183" t="str">
            <v>中文字典或中文描述，银行自定义。</v>
          </cell>
          <cell r="F183" t="str">
            <v>C..60</v>
          </cell>
        </row>
        <row r="184">
          <cell r="B184" t="str">
            <v>006008</v>
          </cell>
          <cell r="C184" t="str">
            <v>账户状态</v>
          </cell>
          <cell r="D184" t="str">
            <v>Account state</v>
          </cell>
          <cell r="E184" t="str">
            <v>未启用，正常，冻结，挂失，销户，其他-银行自定义。</v>
          </cell>
          <cell r="F184" t="str">
            <v>C..60</v>
          </cell>
        </row>
        <row r="185">
          <cell r="B185" t="str">
            <v>006009</v>
          </cell>
          <cell r="C185" t="str">
            <v>商户编号</v>
          </cell>
          <cell r="D185" t="str">
            <v>Merchant ID</v>
          </cell>
          <cell r="E185" t="str">
            <v>银行自定义的唯一识别商户的编码。</v>
          </cell>
          <cell r="F185" t="str">
            <v>C..200</v>
          </cell>
        </row>
        <row r="186">
          <cell r="B186" t="str">
            <v>006010</v>
          </cell>
          <cell r="C186" t="str">
            <v>商户名称</v>
          </cell>
          <cell r="D186" t="str">
            <v>Merchant Name</v>
          </cell>
          <cell r="E186" t="str">
            <v>商户注册登记的名称。</v>
          </cell>
          <cell r="F186" t="str">
            <v>C..100</v>
          </cell>
        </row>
        <row r="187">
          <cell r="B187" t="str">
            <v>006011</v>
          </cell>
          <cell r="C187" t="str">
            <v>商户MCC码</v>
          </cell>
          <cell r="D187" t="str">
            <v>MCC Code</v>
          </cell>
          <cell r="E187" t="str">
            <v>商户类别码。由四位数字代码组成。</v>
          </cell>
          <cell r="F187" t="str">
            <v>C4</v>
          </cell>
        </row>
        <row r="188">
          <cell r="B188" t="str">
            <v>006012</v>
          </cell>
          <cell r="C188" t="str">
            <v>商户MCC名称</v>
          </cell>
          <cell r="D188" t="str">
            <v>MCC Name</v>
          </cell>
          <cell r="E188" t="str">
            <v>商户类别码对应的名称。</v>
          </cell>
          <cell r="F188" t="str">
            <v>C..100</v>
          </cell>
        </row>
        <row r="189">
          <cell r="B189" t="str">
            <v>006013</v>
          </cell>
          <cell r="C189" t="str">
            <v>分期交易类型</v>
          </cell>
          <cell r="D189" t="str">
            <v>Installment Trading type</v>
          </cell>
          <cell r="E189" t="str">
            <v>普通交易、普通分期总额、普通分期单笔、专项分期总额、专项分期单笔、现金分期总额、现金分期单笔、其他-银行自定义。无法以枚举类型填报的，以“其它-XX”填报，其中XX为银行自定义类型。</v>
          </cell>
          <cell r="F189" t="str">
            <v>C..60</v>
          </cell>
        </row>
        <row r="190">
          <cell r="B190" t="str">
            <v>006014</v>
          </cell>
          <cell r="C190" t="str">
            <v>线上线下交易标志</v>
          </cell>
          <cell r="D190" t="str">
            <v>On/off trade flag</v>
          </cell>
          <cell r="E190" t="str">
            <v>线上，线下</v>
          </cell>
          <cell r="F190" t="str">
            <v>C..60</v>
          </cell>
        </row>
        <row r="191">
          <cell r="B191" t="str">
            <v>006015</v>
          </cell>
          <cell r="C191" t="str">
            <v>POS终端号</v>
          </cell>
          <cell r="D191" t="str">
            <v>POS ID</v>
          </cell>
          <cell r="E191" t="str">
            <v>银行自定义的唯一标识POS终端编码。</v>
          </cell>
          <cell r="F191" t="str">
            <v>C..30</v>
          </cell>
        </row>
        <row r="192">
          <cell r="B192" t="str">
            <v>006016</v>
          </cell>
          <cell r="C192" t="str">
            <v>清算账号类型</v>
          </cell>
          <cell r="D192" t="str">
            <v>Banding account type</v>
          </cell>
          <cell r="E192" t="str">
            <v>本行卡，本行对公结算账户，他行卡，他行对公结算账户，第三方平台账户。</v>
          </cell>
          <cell r="F192" t="str">
            <v>C..30</v>
          </cell>
        </row>
        <row r="193">
          <cell r="A193" t="str">
            <v>信贷管理信息</v>
          </cell>
          <cell r="B193" t="str">
            <v>007</v>
          </cell>
        </row>
        <row r="194">
          <cell r="B194" t="str">
            <v>007001</v>
          </cell>
          <cell r="C194" t="str">
            <v>授信协议号</v>
          </cell>
          <cell r="D194" t="str">
            <v>Credit agreement number</v>
          </cell>
          <cell r="E194" t="str">
            <v>填报银行授予客户授信额度的授信号码（或授信合同号码），该号码唯一标识该笔授信。若银行对该客户有多笔授信，应逐笔填列。“未纳入授信业务”栏的授信号码按“WNRSXYW”填报。</v>
          </cell>
          <cell r="F194" t="str">
            <v>C..60</v>
          </cell>
        </row>
        <row r="195">
          <cell r="B195" t="str">
            <v>007002</v>
          </cell>
          <cell r="C195" t="str">
            <v>授信主体种类</v>
          </cell>
          <cell r="D195" t="str">
            <v>Credit type</v>
          </cell>
          <cell r="E195" t="str">
            <v>单一法人授信，集团客户授信，供应链融资，个人客户授信，同业客户授信，其他-银行自定义。无法以枚举类型填报的，以“其它-XX”填报，其中XX为银行自定义种类。</v>
          </cell>
          <cell r="F195" t="str">
            <v>C..60</v>
          </cell>
        </row>
        <row r="196">
          <cell r="B196" t="str">
            <v>007003</v>
          </cell>
          <cell r="C196" t="str">
            <v>授信种类</v>
          </cell>
          <cell r="D196" t="str">
            <v>Credit granting type</v>
          </cell>
          <cell r="E196" t="str">
            <v>敞口额度授信，低风险授信，临时额度授信，其他-银行自定义。无法以枚举类型填报的，以“其它-XX”填报，其中XX为银行自定义种类。</v>
          </cell>
          <cell r="F196" t="str">
            <v>C..60</v>
          </cell>
        </row>
        <row r="197">
          <cell r="B197" t="str">
            <v>007004</v>
          </cell>
          <cell r="C197" t="str">
            <v>有效状态</v>
          </cell>
          <cell r="D197" t="str">
            <v>Validity status</v>
          </cell>
          <cell r="E197" t="str">
            <v>有效，无效。</v>
          </cell>
          <cell r="F197" t="str">
            <v>C6</v>
          </cell>
        </row>
        <row r="198">
          <cell r="B198" t="str">
            <v>007005</v>
          </cell>
          <cell r="C198" t="str">
            <v>决策意见</v>
          </cell>
          <cell r="D198" t="str">
            <v>Decision</v>
          </cell>
          <cell r="E198" t="str">
            <v>银行自定义。</v>
          </cell>
          <cell r="F198" t="str">
            <v>C..2000</v>
          </cell>
        </row>
        <row r="199">
          <cell r="B199" t="str">
            <v>007006</v>
          </cell>
          <cell r="C199" t="str">
            <v>贷款展期编号</v>
          </cell>
          <cell r="D199" t="str">
            <v>Number of loan extension</v>
          </cell>
          <cell r="E199" t="str">
            <v>贷款展期编号。</v>
          </cell>
          <cell r="F199" t="str">
            <v>C..60</v>
          </cell>
        </row>
        <row r="200">
          <cell r="B200" t="str">
            <v>007007</v>
          </cell>
          <cell r="C200" t="str">
            <v>转让资产类型</v>
          </cell>
          <cell r="D200" t="str">
            <v>Trading asset type</v>
          </cell>
          <cell r="E200" t="str">
            <v>个人贷款，对公贷款，其他-银行自定义。无法以枚举类型填报的，以“其它-XX”填报，其中“XX”为银行自定义类型。</v>
          </cell>
          <cell r="F200" t="str">
            <v>C..30</v>
          </cell>
        </row>
        <row r="201">
          <cell r="B201" t="str">
            <v>007008</v>
          </cell>
          <cell r="C201" t="str">
            <v>变动方式</v>
          </cell>
          <cell r="D201" t="str">
            <v>Variation way</v>
          </cell>
          <cell r="E201" t="str">
            <v>人工，自动。</v>
          </cell>
          <cell r="F201" t="str">
            <v>C..30</v>
          </cell>
        </row>
        <row r="202">
          <cell r="B202" t="str">
            <v>007009</v>
          </cell>
          <cell r="C202" t="str">
            <v>协议名称</v>
          </cell>
          <cell r="D202" t="str">
            <v>Agreement name</v>
          </cell>
          <cell r="E202" t="str">
            <v>银行自定义。</v>
          </cell>
          <cell r="F202" t="str">
            <v>C..400</v>
          </cell>
        </row>
        <row r="203">
          <cell r="B203" t="str">
            <v>007010</v>
          </cell>
          <cell r="C203" t="str">
            <v>变动原因</v>
          </cell>
          <cell r="D203" t="str">
            <v>Happen reason</v>
          </cell>
          <cell r="E203" t="str">
            <v>中文字典或中文描述，银行自定义。</v>
          </cell>
          <cell r="F203" t="str">
            <v>C..60</v>
          </cell>
        </row>
        <row r="204">
          <cell r="B204" t="str">
            <v>007011</v>
          </cell>
          <cell r="C204" t="str">
            <v>转让方式</v>
          </cell>
          <cell r="D204" t="str">
            <v>Transfer method</v>
          </cell>
          <cell r="E204" t="str">
            <v>直接转让，信贷资产证券化，信贷资产收益权转让，其他-银行自定义。无法以枚举类型填报的，以“其它-XX”填报，其中“XX”为银行自定义方式。</v>
          </cell>
          <cell r="F204" t="str">
            <v>C..30</v>
          </cell>
        </row>
        <row r="205">
          <cell r="B205" t="str">
            <v>007012</v>
          </cell>
          <cell r="C205" t="str">
            <v>垫款类型</v>
          </cell>
          <cell r="D205" t="str">
            <v>Advances type</v>
          </cell>
          <cell r="E205" t="str">
            <v>与1104报表G01_Ⅵ《各项垫款情况表》一致。即分为（填报时1包含序号）：1.1承兑汇票，1.2融资性保函，1.3其他等同于贷款的授信业务， 2.1非融资性保函， 2.2其他与交易相关的或有项目，3.1跟单信用证，3.2其他与贸易相关的或有项目。</v>
          </cell>
          <cell r="F205" t="str">
            <v>C..60</v>
          </cell>
        </row>
        <row r="206">
          <cell r="B206" t="str">
            <v>007013</v>
          </cell>
          <cell r="C206" t="str">
            <v>垫款状态</v>
          </cell>
          <cell r="D206" t="str">
            <v>Advances state</v>
          </cell>
          <cell r="E206" t="str">
            <v>未结清，已结清，转让，核销。无法以枚举类型填报的，以“其它-XX”填报，其中“XX”为银行自定义垫款状态。</v>
          </cell>
          <cell r="F206" t="str">
            <v>C..20</v>
          </cell>
        </row>
        <row r="207">
          <cell r="A207" t="str">
            <v>资产负债及涉农统计</v>
          </cell>
          <cell r="B207" t="str">
            <v>008</v>
          </cell>
        </row>
        <row r="208">
          <cell r="B208" t="str">
            <v>008001</v>
          </cell>
          <cell r="C208" t="str">
            <v>期限类型</v>
          </cell>
          <cell r="D208" t="str">
            <v>Term type</v>
          </cell>
          <cell r="E208" t="str">
            <v>天，周，旬，月，季，半年，年。</v>
          </cell>
          <cell r="F208" t="str">
            <v>C..6</v>
          </cell>
        </row>
        <row r="209">
          <cell r="A209" t="str">
            <v>客户风险统计相关指标</v>
          </cell>
          <cell r="B209" t="str">
            <v>009</v>
          </cell>
        </row>
        <row r="210">
          <cell r="B210" t="str">
            <v>009001</v>
          </cell>
          <cell r="C210" t="str">
            <v>客户类型</v>
          </cell>
          <cell r="D210" t="str">
            <v>Customer type</v>
          </cell>
          <cell r="E210" t="str">
            <v>集团客户，单一法人客户，同业客户。同业客户的范围与银保监会非现场监管统计一致。银行对企业分公司等非法人机构授信的，视同单一法人客户填报。</v>
          </cell>
          <cell r="F210" t="str">
            <v>C..20</v>
          </cell>
        </row>
        <row r="211">
          <cell r="B211" t="str">
            <v>009002</v>
          </cell>
          <cell r="C211" t="str">
            <v>账户类型</v>
          </cell>
          <cell r="D211" t="str">
            <v>Account type</v>
          </cell>
          <cell r="E211" t="str">
            <v>银行账户，交易账户。</v>
          </cell>
          <cell r="F211" t="str">
            <v>C8</v>
          </cell>
        </row>
        <row r="212">
          <cell r="B212" t="str">
            <v>009003</v>
          </cell>
          <cell r="C212" t="str">
            <v>风险预警信号</v>
          </cell>
          <cell r="D212" t="str">
            <v>Risk warning signal</v>
          </cell>
          <cell r="E212" t="str">
            <v>根据客户类型，以银保监会客户风险统计报表的《集团风险预警代码及预警信号对照表》、《单一法人风险预警代码及预警信号对照表》对应的预警信号填报。银行机构对对公客户的风险状况作出独立的职业判断，并填报风险类别代码对应的中文描述。多个风险预警信号，使用英文半角分号隔开。</v>
          </cell>
          <cell r="F212" t="str">
            <v>C..2000</v>
          </cell>
        </row>
        <row r="213">
          <cell r="B213" t="str">
            <v>009004</v>
          </cell>
          <cell r="C213" t="str">
            <v>行政区划代码</v>
          </cell>
          <cell r="D213" t="str">
            <v>District code</v>
          </cell>
          <cell r="E213" t="str">
            <v>与个人住址或法人注册地对应的行政区划代码，按照《GB/T 2260 中华人民共和国行政区划代码》的前6位编码填报。境外机构填报为“999999”。</v>
          </cell>
          <cell r="F213" t="str">
            <v>C..20</v>
          </cell>
        </row>
        <row r="214">
          <cell r="A214" t="str">
            <v>资金与理财业务</v>
          </cell>
          <cell r="B214" t="str">
            <v>10</v>
          </cell>
        </row>
        <row r="215">
          <cell r="B215" t="str">
            <v>010001</v>
          </cell>
          <cell r="C215" t="str">
            <v>金融工具编号</v>
          </cell>
          <cell r="D215" t="str">
            <v>Instrument Code</v>
          </cell>
          <cell r="E215" t="str">
            <v>能在表内唯一识别金融工具的编号，包括但不限于标准化或非标准化金融产品。在中登公司有登记的金融产品，需填报在中登公司记录的正确编号，如果不是标准产品，则由银行自定义。</v>
          </cell>
          <cell r="F215" t="str">
            <v>C..60</v>
          </cell>
        </row>
        <row r="216">
          <cell r="B216" t="str">
            <v>010002</v>
          </cell>
          <cell r="C216" t="str">
            <v>金融工具名称</v>
          </cell>
          <cell r="D216" t="str">
            <v>Instrument</v>
          </cell>
          <cell r="E216" t="str">
            <v>金融产品名称，包括但不限于标准化或非标准化金融产品。如果不是标准产品，则由银行自定义。</v>
          </cell>
          <cell r="F216" t="str">
            <v>C..200</v>
          </cell>
        </row>
        <row r="217">
          <cell r="B217" t="str">
            <v>010003</v>
          </cell>
          <cell r="C217" t="str">
            <v>资产类型</v>
          </cell>
          <cell r="D217" t="str">
            <v>Asset type</v>
          </cell>
          <cell r="E217" t="str">
            <v>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v>
          </cell>
          <cell r="F217" t="str">
            <v>C..80</v>
          </cell>
        </row>
        <row r="218">
          <cell r="B218" t="str">
            <v>010004</v>
          </cell>
          <cell r="C218" t="str">
            <v>国别代码</v>
          </cell>
          <cell r="D218" t="str">
            <v>Country code</v>
          </cell>
          <cell r="E218" t="str">
            <v>《GB/T 2659 世界各国和地区名称代码》定义的三字符代码，如CHN。</v>
          </cell>
          <cell r="F218" t="str">
            <v>C3</v>
          </cell>
        </row>
        <row r="219">
          <cell r="B219" t="str">
            <v>010005</v>
          </cell>
          <cell r="C219" t="str">
            <v>交易编号</v>
          </cell>
          <cell r="D219" t="str">
            <v>Trade id</v>
          </cell>
          <cell r="E219" t="str">
            <v>识别交易的唯一编号，可以是合同号、成交编号或者其他自定义的编号。</v>
          </cell>
          <cell r="F219" t="str">
            <v>C..40</v>
          </cell>
        </row>
        <row r="220">
          <cell r="B220" t="str">
            <v>010006</v>
          </cell>
          <cell r="C220" t="str">
            <v>利率类型</v>
          </cell>
          <cell r="D220" t="str">
            <v>Interest type</v>
          </cell>
          <cell r="E220" t="str">
            <v>LPR，非LPR。</v>
          </cell>
          <cell r="F220" t="str">
            <v>C..6</v>
          </cell>
        </row>
        <row r="221">
          <cell r="B221" t="str">
            <v>010007</v>
          </cell>
          <cell r="C221" t="str">
            <v>产品代码</v>
          </cell>
          <cell r="D221" t="str">
            <v>Product code</v>
          </cell>
          <cell r="E221" t="str">
            <v>发行机构在发行登记时赋予理财产品的代码，该代码在发行机构内部具有唯一性。</v>
          </cell>
          <cell r="F221" t="str">
            <v>C..200</v>
          </cell>
        </row>
        <row r="222">
          <cell r="B222" t="str">
            <v>010008</v>
          </cell>
          <cell r="C222" t="str">
            <v>汇率</v>
          </cell>
          <cell r="D222" t="str">
            <v>FX Rate</v>
          </cell>
          <cell r="E222" t="str">
            <v>外汇汇率，以当天央行（外管局）公布汇率为准。</v>
          </cell>
          <cell r="F222" t="str">
            <v>D20.6</v>
          </cell>
        </row>
        <row r="223">
          <cell r="B223" t="str">
            <v>010009</v>
          </cell>
          <cell r="C223" t="str">
            <v>买卖标志</v>
          </cell>
          <cell r="D223" t="str">
            <v>Buy or sell</v>
          </cell>
          <cell r="E223" t="str">
            <v>买入，卖出。</v>
          </cell>
          <cell r="F223" t="str">
            <v>C6</v>
          </cell>
        </row>
        <row r="224">
          <cell r="B224" t="str">
            <v>010010</v>
          </cell>
          <cell r="C224" t="str">
            <v>信用评级</v>
          </cell>
          <cell r="D224" t="str">
            <v>Rating</v>
          </cell>
          <cell r="E224" t="str">
            <v>优先填报外部专业性的评级公司对融资人主体或资产的信用评级结果，如无，则由填报机构内部对融资人主体或资产的信用评级结果。</v>
          </cell>
          <cell r="F224" t="str">
            <v>C..20</v>
          </cell>
        </row>
        <row r="225">
          <cell r="B225" t="str">
            <v>010011</v>
          </cell>
          <cell r="C225" t="str">
            <v>期限</v>
          </cell>
          <cell r="D225" t="str">
            <v>Term</v>
          </cell>
          <cell r="E225" t="str">
            <v>约定的期限，适用于债券等业务。</v>
          </cell>
          <cell r="F225" t="str">
            <v>C..30</v>
          </cell>
        </row>
        <row r="226">
          <cell r="B226" t="str">
            <v>010012</v>
          </cell>
          <cell r="C226" t="str">
            <v>产品登记编码</v>
          </cell>
          <cell r="D226" t="str">
            <v>Product registration code</v>
          </cell>
          <cell r="E226" t="str">
            <v>登记机构赋予理财产品的标识码，该码具有唯一性。</v>
          </cell>
          <cell r="F226" t="str">
            <v>C..30</v>
          </cell>
        </row>
        <row r="227">
          <cell r="B227" t="str">
            <v>010013</v>
          </cell>
          <cell r="C227" t="str">
            <v>行内标识码</v>
          </cell>
          <cell r="D227" t="str">
            <v>Product inner code</v>
          </cell>
          <cell r="E227" t="str">
            <v>发行机构在申报登记时赋予理财产品的代码，该代码在发行机构内部具有唯一性。</v>
          </cell>
          <cell r="F227" t="str">
            <v>C..100</v>
          </cell>
        </row>
        <row r="228">
          <cell r="B228" t="str">
            <v>010014</v>
          </cell>
          <cell r="C228" t="str">
            <v>产品品牌</v>
          </cell>
          <cell r="D228" t="str">
            <v>Product brand</v>
          </cell>
          <cell r="E228" t="str">
            <v>理财产品的标记，用以和其他竞争产品相区别的名称，具有自我宣传的作用。</v>
          </cell>
          <cell r="F228" t="str">
            <v>C..120</v>
          </cell>
        </row>
        <row r="229">
          <cell r="B229" t="str">
            <v>010015</v>
          </cell>
          <cell r="C229" t="str">
            <v>资金投向地区</v>
          </cell>
          <cell r="D229" t="str">
            <v>Domestic/foreign investing flag</v>
          </cell>
          <cell r="E229" t="str">
            <v>境内，境外，境内和境外。</v>
          </cell>
          <cell r="F229" t="str">
            <v>C..15</v>
          </cell>
        </row>
        <row r="230">
          <cell r="B230" t="str">
            <v>010016</v>
          </cell>
          <cell r="C230" t="str">
            <v>投资者类型</v>
          </cell>
          <cell r="D230" t="str">
            <v>Investor type</v>
          </cell>
          <cell r="E230" t="str">
            <v>一般个人客户、高资产净值客户、私人银行客户、机构客户、金融同业客户。</v>
          </cell>
          <cell r="F230" t="str">
            <v>C..30</v>
          </cell>
        </row>
        <row r="231">
          <cell r="B231" t="str">
            <v>010017</v>
          </cell>
          <cell r="C231" t="str">
            <v>理财产品风险等级</v>
          </cell>
          <cell r="D231" t="str">
            <v>Financing product risk level</v>
          </cell>
          <cell r="E231" t="str">
            <v>一级，二级，三级，四级，五级。</v>
          </cell>
          <cell r="F231" t="str">
            <v>C..30</v>
          </cell>
        </row>
        <row r="232">
          <cell r="B232" t="str">
            <v>010018</v>
          </cell>
          <cell r="C232" t="str">
            <v>产品运作模式</v>
          </cell>
          <cell r="D232" t="str">
            <v>Product operation mode</v>
          </cell>
          <cell r="E232" t="str">
            <v>封闭式净值型，封闭式非净值型，开放式净值型，开放式非净值型。</v>
          </cell>
          <cell r="F232" t="str">
            <v>C..30</v>
          </cell>
        </row>
        <row r="233">
          <cell r="B233" t="str">
            <v>010019</v>
          </cell>
          <cell r="C233" t="str">
            <v>产品资产配置方式</v>
          </cell>
          <cell r="D233" t="str">
            <v>Product asset management</v>
          </cell>
          <cell r="E233" t="str">
            <v>单一资产配置（一对一），资产组合配置（一对多），其他配置（多对多）。</v>
          </cell>
          <cell r="F233" t="str">
            <v>C..30</v>
          </cell>
        </row>
        <row r="234">
          <cell r="B234" t="str">
            <v>010020</v>
          </cell>
          <cell r="C234" t="str">
            <v>产品管理模式</v>
          </cell>
          <cell r="D234" t="str">
            <v>Product manager type</v>
          </cell>
          <cell r="E234" t="str">
            <v>本机构为实际管理人，其他机构为实际管理人，资产管理公司，特殊目的载体（SPV）。</v>
          </cell>
          <cell r="F234" t="str">
            <v>C..30</v>
          </cell>
        </row>
        <row r="235">
          <cell r="B235" t="str">
            <v>010021</v>
          </cell>
          <cell r="C235" t="str">
            <v>产品定价方式</v>
          </cell>
          <cell r="D235" t="str">
            <v>Product pricing method</v>
          </cell>
          <cell r="E235" t="str">
            <v>公允价值定价，成本法定价，综合定价。</v>
          </cell>
          <cell r="F235" t="str">
            <v>C..30</v>
          </cell>
        </row>
        <row r="236">
          <cell r="B236" t="str">
            <v>010022</v>
          </cell>
          <cell r="C236" t="str">
            <v>投资类型</v>
          </cell>
          <cell r="D236" t="str">
            <v>Investment type</v>
          </cell>
          <cell r="E236" t="str">
            <v>结构性理财产品，货币市场工具类，债券类，非标准化债权类，基金股票类，股权类，另类投资类，混合类，代客境外理财产品。</v>
          </cell>
          <cell r="F236" t="str">
            <v>C..30</v>
          </cell>
        </row>
        <row r="237">
          <cell r="B237" t="str">
            <v>010023</v>
          </cell>
          <cell r="C237" t="str">
            <v>合作模式</v>
          </cell>
          <cell r="D237" t="str">
            <v>Cooperation mode</v>
          </cell>
          <cell r="E237" t="str">
            <v>独立运作，银信，银保，银基，银证，混合类，其他。</v>
          </cell>
          <cell r="F237" t="str">
            <v>C..30</v>
          </cell>
        </row>
        <row r="238">
          <cell r="B238" t="str">
            <v>010024</v>
          </cell>
          <cell r="C238" t="str">
            <v>投资资产种类及比例</v>
          </cell>
          <cell r="D238" t="str">
            <v>Investment structure</v>
          </cell>
          <cell r="E238" t="str">
            <v>需按照以下格式填写，例如“10%：股票（二级市场）；10%-20%：公司债券；70%-80%：信贷资产”(百分号、冒号、分号、连字号均为英文半角标点)；百分号前的数字应在[0,100]区间内。</v>
          </cell>
          <cell r="F238" t="str">
            <v>C..2000</v>
          </cell>
        </row>
        <row r="239">
          <cell r="B239" t="str">
            <v>010025</v>
          </cell>
          <cell r="C239" t="str">
            <v>产品销售区域</v>
          </cell>
          <cell r="D239" t="str">
            <v>Product sales territory</v>
          </cell>
          <cell r="E239" t="str">
            <v>全国，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ell>
          <cell r="F239" t="str">
            <v>C..2000</v>
          </cell>
        </row>
        <row r="240">
          <cell r="B240" t="str">
            <v>010026</v>
          </cell>
          <cell r="C240" t="str">
            <v>产品增信形式</v>
          </cell>
          <cell r="D240" t="str">
            <v>Product credit enhancement class</v>
          </cell>
          <cell r="E240" t="str">
            <v>内部增级，外部增级，内外增级。</v>
          </cell>
          <cell r="F240" t="str">
            <v>C12</v>
          </cell>
        </row>
        <row r="241">
          <cell r="B241" t="str">
            <v>010027</v>
          </cell>
          <cell r="C241" t="str">
            <v>到账日</v>
          </cell>
          <cell r="D241" t="str">
            <v>Days of settlement</v>
          </cell>
          <cell r="E241" t="str">
            <v>T+N（N为数字）</v>
          </cell>
          <cell r="F241" t="str">
            <v>C..20</v>
          </cell>
        </row>
        <row r="242">
          <cell r="B242" t="str">
            <v>010028</v>
          </cell>
          <cell r="C242" t="str">
            <v>业务大类</v>
          </cell>
          <cell r="D242" t="str">
            <v>Business large class</v>
          </cell>
          <cell r="E242" t="str">
            <v>同《自营报送范围》中的“业务大类”清单，其中债券与同业投资部分与1104报表G31的产品种类一致，不可自定义修改。</v>
          </cell>
          <cell r="F242" t="str">
            <v>C..60</v>
          </cell>
        </row>
        <row r="243">
          <cell r="B243" t="str">
            <v>010029</v>
          </cell>
          <cell r="C243" t="str">
            <v>业务中类</v>
          </cell>
          <cell r="D243" t="str">
            <v>Business middle class</v>
          </cell>
          <cell r="E243" t="str">
            <v>同《自营报送范围》中的“业务中类”清单，其中债券与同业投资部分与1104报表G31的产品种类一致，不可自定义修改。</v>
          </cell>
          <cell r="F243" t="str">
            <v>C..60</v>
          </cell>
        </row>
        <row r="244">
          <cell r="B244" t="str">
            <v>010030</v>
          </cell>
          <cell r="C244" t="str">
            <v>业务小类</v>
          </cell>
          <cell r="D244" t="str">
            <v>Business little class</v>
          </cell>
          <cell r="E244" t="str">
            <v>同《自营报送范围》中的“业务小类”清单，其中债券与同业投资部分与1104报表G31的产品种类一致，不可自定义修改。</v>
          </cell>
          <cell r="F244" t="str">
            <v>C..60</v>
          </cell>
        </row>
        <row r="245">
          <cell r="B245" t="str">
            <v>010031</v>
          </cell>
          <cell r="C245" t="str">
            <v>基础资产编号</v>
          </cell>
          <cell r="D245" t="str">
            <v>Base asset number</v>
          </cell>
          <cell r="E245" t="str">
            <v>银行自定义。</v>
          </cell>
          <cell r="F245" t="str">
            <v>C..60</v>
          </cell>
        </row>
        <row r="246">
          <cell r="B246" t="str">
            <v>010032</v>
          </cell>
          <cell r="C246" t="str">
            <v>纳税识别码</v>
          </cell>
          <cell r="D246" t="str">
            <v>Tax document number</v>
          </cell>
          <cell r="E246" t="str">
            <v>根据交易对手的营业执照是老三证还是新三证合一营业执照判断填写。如果是老三证，纳税识别码填税务登记证号；如果是三证合一的营业执照，填统一社会信用代码。</v>
          </cell>
          <cell r="F246" t="str">
            <v>C..30</v>
          </cell>
        </row>
        <row r="247">
          <cell r="B247" t="str">
            <v>010033</v>
          </cell>
          <cell r="C247" t="str">
            <v>投向类型</v>
          </cell>
          <cell r="D247" t="str">
            <v>Invest type</v>
          </cell>
          <cell r="E247" t="str">
            <v>按照1104报表G31标准填写穿透后的最终投向。当业务中类为私募基金投资、资产管理产品投资和其他投资时必填。其他业务类型允许为空。</v>
          </cell>
          <cell r="F247" t="str">
            <v>C..100</v>
          </cell>
        </row>
        <row r="248">
          <cell r="B248" t="str">
            <v>010034</v>
          </cell>
          <cell r="C248" t="str">
            <v>信用风险权重</v>
          </cell>
          <cell r="D248" t="str">
            <v>Credit risk weight</v>
          </cell>
          <cell r="E248" t="str">
            <v>信用风险加权资产计算权重，填写风险缓释后加权平均权重（即G4B-1表中的风险加权资产比例）。业务如可穿透管理则填写加权平均权重。</v>
          </cell>
          <cell r="F248" t="str">
            <v>D10.6</v>
          </cell>
        </row>
        <row r="249">
          <cell r="B249" t="str">
            <v>010035</v>
          </cell>
          <cell r="C249" t="str">
            <v>产品状态</v>
          </cell>
          <cell r="D249" t="str">
            <v>Product status</v>
          </cell>
          <cell r="E249" t="str">
            <v>已发行登记，已募集登记，已终止登记。</v>
          </cell>
          <cell r="F249" t="str">
            <v>C..30</v>
          </cell>
        </row>
        <row r="250">
          <cell r="B250" t="str">
            <v>010036</v>
          </cell>
          <cell r="C250" t="str">
            <v>净值</v>
          </cell>
          <cell r="D250" t="str">
            <v>Net value</v>
          </cell>
          <cell r="E250" t="str">
            <v>理财产品份额的单位价值。</v>
          </cell>
          <cell r="F250" t="str">
            <v>D12.7</v>
          </cell>
        </row>
        <row r="251">
          <cell r="B251" t="str">
            <v>010037</v>
          </cell>
          <cell r="C251" t="str">
            <v>开放模式</v>
          </cell>
          <cell r="D251" t="str">
            <v>Type of open-end period</v>
          </cell>
          <cell r="E251" t="str">
            <v>有规律开放，无规律开放。</v>
          </cell>
          <cell r="F251" t="str">
            <v>C..30</v>
          </cell>
        </row>
        <row r="252">
          <cell r="B252" t="str">
            <v>010038</v>
          </cell>
          <cell r="C252" t="str">
            <v>规律开放周期</v>
          </cell>
          <cell r="D252" t="str">
            <v>Open-end period interval</v>
          </cell>
          <cell r="E252" t="str">
            <v>每天开放，每周开放一次，每两周开放一次，每月开放一次，每季度开放一次，每半年开放一次，每年开放一次，其他规律开放周期。</v>
          </cell>
          <cell r="F252" t="str">
            <v>C..30</v>
          </cell>
        </row>
        <row r="253">
          <cell r="B253" t="str">
            <v>010039</v>
          </cell>
          <cell r="C253" t="str">
            <v>天数</v>
          </cell>
          <cell r="D253" t="str">
            <v>Number of days</v>
          </cell>
          <cell r="E253" t="str">
            <v>以天为单位计的时间长度。</v>
          </cell>
          <cell r="F253" t="str">
            <v>I..8</v>
          </cell>
        </row>
        <row r="254">
          <cell r="B254" t="str">
            <v>010040</v>
          </cell>
          <cell r="C254" t="str">
            <v>平均开放次数</v>
          </cell>
          <cell r="D254" t="str">
            <v>Number of open-end periods</v>
          </cell>
          <cell r="E254" t="str">
            <v>在一个年度内开放的次数。</v>
          </cell>
          <cell r="F254" t="str">
            <v>D5.2</v>
          </cell>
        </row>
        <row r="255">
          <cell r="B255" t="str">
            <v>010041</v>
          </cell>
          <cell r="C255" t="str">
            <v>开放期业务类型</v>
          </cell>
          <cell r="D255" t="str">
            <v>Option of open-end period</v>
          </cell>
          <cell r="E255" t="str">
            <v>申赎皆可，仅可申购无限制，仅可赎回无限制，仅可申购有限制，仅可赎回有限制，其他。</v>
          </cell>
          <cell r="F255" t="str">
            <v>C..30</v>
          </cell>
        </row>
        <row r="256">
          <cell r="B256" t="str">
            <v>010042</v>
          </cell>
          <cell r="C256" t="str">
            <v>产品募集方式</v>
          </cell>
          <cell r="D256" t="str">
            <v>Type of placement</v>
          </cell>
          <cell r="E256" t="str">
            <v>公募，私募。</v>
          </cell>
          <cell r="F256" t="str">
            <v>C..30</v>
          </cell>
        </row>
        <row r="257">
          <cell r="B257" t="str">
            <v>010043</v>
          </cell>
          <cell r="C257" t="str">
            <v>产品投资性质</v>
          </cell>
          <cell r="D257" t="str">
            <v>Type of portfolio</v>
          </cell>
          <cell r="E257" t="str">
            <v>固收类，权益类，商品及衍生品类，混合类。</v>
          </cell>
          <cell r="F257" t="str">
            <v>C..30</v>
          </cell>
        </row>
        <row r="258">
          <cell r="B258" t="str">
            <v>010044</v>
          </cell>
          <cell r="C258" t="str">
            <v>挂钩标的</v>
          </cell>
          <cell r="D258" t="str">
            <v>Linked subject</v>
          </cell>
          <cell r="E258" t="str">
            <v>利率，汇率，股票，农产品，大宗商品，贵金属，债券，指数，基金，另类资产，期货，期权，远期，互换，复合金融衍生品，其他。</v>
          </cell>
          <cell r="F258" t="str">
            <v>C..300</v>
          </cell>
        </row>
        <row r="259">
          <cell r="B259" t="str">
            <v>010045</v>
          </cell>
          <cell r="C259" t="str">
            <v>直接或间接标志</v>
          </cell>
          <cell r="D259" t="str">
            <v>Direct or indirect</v>
          </cell>
          <cell r="E259" t="str">
            <v>直接，间接。</v>
          </cell>
          <cell r="F259" t="str">
            <v>C..30</v>
          </cell>
        </row>
        <row r="260">
          <cell r="B260" t="str">
            <v>010046</v>
          </cell>
          <cell r="C260" t="str">
            <v>编码</v>
          </cell>
          <cell r="D260" t="str">
            <v>Serial number</v>
          </cell>
          <cell r="E260" t="str">
            <v>银行自定义的代码。</v>
          </cell>
          <cell r="F260" t="str">
            <v>C..40</v>
          </cell>
        </row>
        <row r="261">
          <cell r="B261" t="str">
            <v>010047</v>
          </cell>
          <cell r="C261" t="str">
            <v>资产类别（一级）</v>
          </cell>
          <cell r="D261" t="str">
            <v>Type of asset (Tier 1)</v>
          </cell>
          <cell r="E261" t="str">
            <v>现金及银行存款，同业存单，拆放同业及买入返售，债券，理财直接融资工具，新增可投资资产，非标准化债权类资产，权益类投资，金融衍生品，代客境外理财投资QDII，商品类资产，另类资产，公募基金，私募基金，资产管理产品，委外投资——协议方式。</v>
          </cell>
          <cell r="F261" t="str">
            <v>C..100</v>
          </cell>
        </row>
        <row r="262">
          <cell r="B262" t="str">
            <v>010048</v>
          </cell>
          <cell r="C262" t="str">
            <v>资产类别（二级）</v>
          </cell>
          <cell r="D262" t="str">
            <v>Type of asset (Tier 2)</v>
          </cell>
          <cell r="E262" t="str">
            <v>现金及活期存款，本行存款，他行存款，本行发行的大额存单，他行发行的大额存单，本行发行的同业存单，他行发行的同业存单，拆放同业，买入返售，国债，地方政府债券，中央银行票据，政府机构债券，政策性金融债券，商业性金融债券，企业债券，公司债券，企业债务融资工具，资产支持证券，外国债券（不含QDII债券），理财直接融资工具，信贷资产收益权转让，小微企业信贷资产流转和收益权转让，其他新增可投资资产，票据类，信用证，信托贷款，委托贷款，信贷资产转让，收/受益权，委托债权，应收账款，带回购条款的股权性融资，债券融资类产品，其他非标准化债权类投资，股权，股票（一级市场），股票（二级市场），其他权益类投资，远期，互换，期货，期权，债券借贷，权证，其他金融衍生品，QDII债券，QDII拆出，QDII逆回购，QDII债券型基金，QDII货币型基金，QDII混合型基金，QDII股票型基金，QDII股票，QDII结构性票据，其他代客境外理财投资QDII，贵金属类，大宗商品类，其他商品类资产，字画类艺术品，古董类艺术品，其他类艺术品，影视等知识产权，酒，其他另类资产，债券基金，货币市场基金，股票基金，基金中基金，混合基金，其他公募基金，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ell>
          <cell r="F262" t="str">
            <v>C..100</v>
          </cell>
        </row>
        <row r="263">
          <cell r="B263" t="str">
            <v>010049</v>
          </cell>
          <cell r="C263" t="str">
            <v>资产类别（三级）</v>
          </cell>
          <cell r="D263" t="str">
            <v>Type of asset (Tier 3)</v>
          </cell>
          <cell r="E263" t="str">
            <v>持仓对应资产的要素，不同资产类型统计方式不同：本行/他行存款；大额存单--结构性存款挂钩标的类别；债券类资产/理财直接融资工具/同业存单--具体类别；拆出/逆回购资产；拆入/正回购资产--回购标的类别；非标准化债权类资产/信贷资产流转项目--收/受益权类型；权益类资产--股票类型；金融衍生品--标的类别；资产管理计划--资金实际投向；其他债券及货币市场工具/非标准化债权类/权益类/代客境外理财投资QDII/理财直接融资工具/信贷资产流转项目--行内资产类别。</v>
          </cell>
          <cell r="F263" t="str">
            <v>C..100</v>
          </cell>
        </row>
        <row r="264">
          <cell r="B264" t="str">
            <v>010050</v>
          </cell>
          <cell r="C264" t="str">
            <v>流通场所</v>
          </cell>
          <cell r="D264" t="str">
            <v>Trading exchange</v>
          </cell>
          <cell r="E264" t="str">
            <v>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v>
          </cell>
          <cell r="F264" t="str">
            <v>C..30</v>
          </cell>
        </row>
        <row r="265">
          <cell r="B265" t="str">
            <v>010051</v>
          </cell>
          <cell r="C265" t="str">
            <v>收/受益权类型</v>
          </cell>
          <cell r="D265" t="str">
            <v>Type of usufruct</v>
          </cell>
          <cell r="E265" t="str">
            <v>信托贷款，信贷资产转让，委托债权，应收账款，带回购条款的股权性融资，私募债权，融资融券，证券公司受益凭证，委托贷款，其他。</v>
          </cell>
          <cell r="F265" t="str">
            <v>C..30</v>
          </cell>
        </row>
        <row r="266">
          <cell r="B266" t="str">
            <v>010052</v>
          </cell>
          <cell r="C266" t="str">
            <v>月数</v>
          </cell>
          <cell r="D266" t="str">
            <v>Number of months</v>
          </cell>
          <cell r="E266" t="str">
            <v>以月为单位计的时间长度。</v>
          </cell>
          <cell r="F266" t="str">
            <v>I..4</v>
          </cell>
        </row>
        <row r="267">
          <cell r="B267" t="str">
            <v>010053</v>
          </cell>
          <cell r="C267" t="str">
            <v>计息基础</v>
          </cell>
          <cell r="D267" t="str">
            <v>Day-count basis</v>
          </cell>
          <cell r="E267" t="str">
            <v>ACT/366，ACT/360，ACT/365，ACT/ACT，30/360</v>
          </cell>
          <cell r="F267" t="str">
            <v>C..30</v>
          </cell>
        </row>
        <row r="268">
          <cell r="B268" t="str">
            <v>010054</v>
          </cell>
          <cell r="C268" t="str">
            <v>基准利率种类</v>
          </cell>
          <cell r="D268" t="str">
            <v>Type of benchmark interest rate</v>
          </cell>
          <cell r="E268" t="str">
            <v>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v>
          </cell>
          <cell r="F268" t="str">
            <v>C..40</v>
          </cell>
        </row>
        <row r="269">
          <cell r="B269" t="str">
            <v>010055</v>
          </cell>
          <cell r="C269" t="str">
            <v>类型（按规模划分）</v>
          </cell>
          <cell r="D269" t="str">
            <v>Type (Scale)</v>
          </cell>
          <cell r="E269" t="str">
            <v>中小微企业，大型企业，其他。</v>
          </cell>
          <cell r="F269" t="str">
            <v>C..30</v>
          </cell>
        </row>
        <row r="270">
          <cell r="B270" t="str">
            <v>010056</v>
          </cell>
          <cell r="C270" t="str">
            <v>类型（按技术领域划分）</v>
          </cell>
          <cell r="D270" t="str">
            <v>Type (Tech)</v>
          </cell>
          <cell r="E270" t="str">
            <v>高新技术企业，其他。</v>
          </cell>
          <cell r="F270" t="str">
            <v>C..30</v>
          </cell>
        </row>
        <row r="271">
          <cell r="B271" t="str">
            <v>010057</v>
          </cell>
          <cell r="C271" t="str">
            <v>类型（按经济类型划分）</v>
          </cell>
          <cell r="D271" t="str">
            <v>Type (Ownership)</v>
          </cell>
          <cell r="E271" t="str">
            <v>国有企业，集体企业，私营企业，其他。</v>
          </cell>
          <cell r="F271" t="str">
            <v>C..30</v>
          </cell>
        </row>
        <row r="272">
          <cell r="B272" t="str">
            <v>010058</v>
          </cell>
          <cell r="C272" t="str">
            <v>重点监控类别</v>
          </cell>
          <cell r="D272" t="str">
            <v>Type (Monitoring)</v>
          </cell>
          <cell r="E272" t="str">
            <v>房地产（保障房除外），地方政府融资平台，“铁公基”行业，“两高一剩”行业，其他。</v>
          </cell>
          <cell r="F272" t="str">
            <v>C..30</v>
          </cell>
        </row>
        <row r="273">
          <cell r="B273" t="str">
            <v>010059</v>
          </cell>
          <cell r="C273" t="str">
            <v>单价</v>
          </cell>
          <cell r="D273" t="str">
            <v>Unit price</v>
          </cell>
          <cell r="E273" t="str">
            <v>单位价格。</v>
          </cell>
          <cell r="F273" t="str">
            <v>D17.4</v>
          </cell>
        </row>
        <row r="274">
          <cell r="B274" t="str">
            <v>010060</v>
          </cell>
          <cell r="C274" t="str">
            <v>层级类别</v>
          </cell>
          <cell r="D274" t="str">
            <v>Type of tier</v>
          </cell>
          <cell r="E274" t="str">
            <v>优先层级一，优先层级二，优先层级三，优先层级四，优先层级五，进取层级一，进取层级二，进取层级三，进取层级四，进取层级五。</v>
          </cell>
          <cell r="F274" t="str">
            <v>C..30</v>
          </cell>
        </row>
        <row r="275">
          <cell r="B275" t="str">
            <v>010061</v>
          </cell>
          <cell r="C275" t="str">
            <v>统一代码</v>
          </cell>
          <cell r="D275" t="str">
            <v>Universal code</v>
          </cell>
          <cell r="E275" t="str">
            <v>按照一定规则编制的，具有公开性、唯一性的资产编码</v>
          </cell>
          <cell r="F275" t="str">
            <v>C..30</v>
          </cell>
        </row>
        <row r="276">
          <cell r="B276" t="str">
            <v>010062</v>
          </cell>
          <cell r="C276" t="str">
            <v>资产或交易登记编码</v>
          </cell>
          <cell r="D276" t="str">
            <v>Asset registration code</v>
          </cell>
          <cell r="E276" t="str">
            <v>登记机构赋予资产或交易的标识码。</v>
          </cell>
          <cell r="F276" t="str">
            <v>C..30</v>
          </cell>
        </row>
        <row r="277">
          <cell r="B277" t="str">
            <v>010063</v>
          </cell>
          <cell r="C277" t="str">
            <v>中间层资产类型</v>
          </cell>
          <cell r="D277" t="str">
            <v>Type of intermediate asset</v>
          </cell>
          <cell r="E277" t="str">
            <v>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ell>
          <cell r="F277" t="str">
            <v>C..300</v>
          </cell>
        </row>
        <row r="278">
          <cell r="B278" t="str">
            <v>010064</v>
          </cell>
          <cell r="C278" t="str">
            <v>理财中心ID</v>
          </cell>
          <cell r="D278" t="str">
            <v>Wemax ID</v>
          </cell>
          <cell r="E278" t="str">
            <v>理财中心赋予产品或资产的序号。</v>
          </cell>
          <cell r="F278" t="str">
            <v>C..30</v>
          </cell>
        </row>
        <row r="279">
          <cell r="B279" t="str">
            <v>010065</v>
          </cell>
          <cell r="C279" t="str">
            <v>份额或资产数量</v>
          </cell>
          <cell r="D279" t="str">
            <v>Number of units</v>
          </cell>
          <cell r="E279" t="str">
            <v>产品份额或资产的数量。</v>
          </cell>
          <cell r="F279" t="str">
            <v>D23.5</v>
          </cell>
        </row>
        <row r="280">
          <cell r="B280" t="str">
            <v>010066</v>
          </cell>
          <cell r="C280" t="str">
            <v>理财产品发行机构类型</v>
          </cell>
          <cell r="D280" t="str">
            <v>Type of asset manager</v>
          </cell>
          <cell r="E280" t="str">
            <v>国有银行，股份制银行，城商行，外资银行，农村合作金融机构，政策性银行，国家开发银行，理财公司，其他。</v>
          </cell>
          <cell r="F280" t="str">
            <v>C..30</v>
          </cell>
        </row>
        <row r="281">
          <cell r="B281" t="str">
            <v>010067</v>
          </cell>
          <cell r="C281" t="str">
            <v>产品期次</v>
          </cell>
          <cell r="D281" t="str">
            <v>Serial number of product</v>
          </cell>
          <cell r="E281" t="str">
            <v>数字。</v>
          </cell>
          <cell r="F281" t="str">
            <v>C..6</v>
          </cell>
        </row>
        <row r="282">
          <cell r="B282" t="str">
            <v>010068</v>
          </cell>
          <cell r="C282" t="str">
            <v>理财业务备注</v>
          </cell>
          <cell r="D282" t="str">
            <v>Remark of asset managemet product</v>
          </cell>
          <cell r="E282" t="str">
            <v>发行机构自定义。</v>
          </cell>
          <cell r="F282" t="str">
            <v>C..400</v>
          </cell>
        </row>
        <row r="283">
          <cell r="B283" t="str">
            <v>010069</v>
          </cell>
          <cell r="C283" t="str">
            <v>外部评级</v>
          </cell>
          <cell r="D283" t="str">
            <v>Standard internal rating</v>
          </cell>
          <cell r="E283" t="str">
            <v>外部专业性的评级公司对融资人主体或资产的信用评级结果，以如下枚举值填报：AAA+，AAA，AAA-，AA+，AA，AA-，A+，A，A-，A-1，A-2，A-3，BBB+，BBB，BBB-，BB+，BB，BB-，B+，B，B-，CCC+，CCC，CCC-，CC+，CC，CC-，C+，C，C-，D，无评级。</v>
          </cell>
          <cell r="F283" t="str">
            <v>C..30</v>
          </cell>
        </row>
        <row r="284">
          <cell r="B284" t="str">
            <v>010070</v>
          </cell>
          <cell r="C284" t="str">
            <v>内部评级</v>
          </cell>
          <cell r="D284" t="str">
            <v>Non-standard internal rating</v>
          </cell>
          <cell r="E284" t="str">
            <v>填报机构内部对融资人主体或资产的信用评级结果，银行自定义。</v>
          </cell>
          <cell r="F284" t="str">
            <v>C..30</v>
          </cell>
        </row>
        <row r="285">
          <cell r="B285" t="str">
            <v>010071</v>
          </cell>
          <cell r="C285" t="str">
            <v>资金流动类型</v>
          </cell>
          <cell r="D285" t="str">
            <v>Type of transaction</v>
          </cell>
          <cell r="E285" t="str">
            <v>资产买入，资产卖出或到期，存入银行存款，银行存款到期，拆放同业和买入返售首期，同业拆入和卖出回购首期，拆放同业和买入返售到期，同业拆入和卖出回购到期，投资资产所得收益，投资资产支出，其他收入，其他支出。</v>
          </cell>
          <cell r="F285" t="str">
            <v>C..100</v>
          </cell>
        </row>
        <row r="286">
          <cell r="B286" t="str">
            <v>010072</v>
          </cell>
          <cell r="C286" t="str">
            <v>综合评级</v>
          </cell>
          <cell r="D286" t="str">
            <v>Comprehensive rating</v>
          </cell>
          <cell r="E286" t="str">
            <v>根据持仓对应资产的要素，报送以下对应评级（对应评级是报送内容解释，而非值域）：债券类资产/理财直接融资工具/同业存单——证券信用评级（中债数据库）；非标准化债权类资产/信贷资产流转项目——资产外部评级；QDII债券资产——债券信用评级；其他债券及货币市场工具/非标准化债权类/权益类/代客境外理财投资QDII/理财直接融资工具/信贷资产流转项目——对应资产外部评级。</v>
          </cell>
          <cell r="F286" t="str">
            <v>C..30</v>
          </cell>
        </row>
        <row r="287">
          <cell r="B287" t="str">
            <v>010073</v>
          </cell>
          <cell r="C287" t="str">
            <v>托管机构名称</v>
          </cell>
          <cell r="D287" t="str">
            <v>Name of custodian</v>
          </cell>
          <cell r="E287" t="str">
            <v>实际的托管机构名称。</v>
          </cell>
          <cell r="F287" t="str">
            <v>C..300</v>
          </cell>
        </row>
        <row r="288">
          <cell r="B288" t="str">
            <v>010074</v>
          </cell>
          <cell r="C288" t="str">
            <v>行政区划</v>
          </cell>
          <cell r="D288" t="str">
            <v>Administrative division</v>
          </cell>
          <cell r="E288" t="str">
            <v>根据《中华人民共和国行政区划代码》，填写至二级分类。</v>
          </cell>
          <cell r="F288" t="str">
            <v>C..30</v>
          </cell>
        </row>
        <row r="289">
          <cell r="B289" t="str">
            <v>010075</v>
          </cell>
          <cell r="C289" t="str">
            <v>发行机构代码</v>
          </cell>
          <cell r="D289" t="str">
            <v>Issuer Code</v>
          </cell>
          <cell r="E289" t="str">
            <v>采用《金融机构编码规范》编发的法人机构代码(即金融机构代码）前6位。</v>
          </cell>
          <cell r="F289" t="str">
            <v>C..30</v>
          </cell>
        </row>
        <row r="290">
          <cell r="B290" t="str">
            <v>010076</v>
          </cell>
          <cell r="C290" t="str">
            <v>理财业务种类</v>
          </cell>
          <cell r="D290" t="str">
            <v>Business Type</v>
          </cell>
          <cell r="E290" t="str">
            <v>募集期认购，存续期申购，存续期赎回，分红，红利再投资，质押融资首期，质押融资到期，冻结，解冻，交易过户转入，交易过户转出，非交易过户转入，非交易过户转出，份额强增，份额强减，到期兑付。</v>
          </cell>
          <cell r="F290" t="str">
            <v>C..100</v>
          </cell>
        </row>
        <row r="291">
          <cell r="B291" t="str">
            <v>010077</v>
          </cell>
          <cell r="C291" t="str">
            <v>管理方式</v>
          </cell>
          <cell r="D291" t="str">
            <v>Type of account</v>
          </cell>
          <cell r="E291" t="str">
            <v>集合管理，单独管理</v>
          </cell>
          <cell r="F291" t="str">
            <v>C..30</v>
          </cell>
        </row>
        <row r="292">
          <cell r="B292" t="str">
            <v>010078</v>
          </cell>
          <cell r="C292" t="str">
            <v>资产计量方式</v>
          </cell>
          <cell r="D292" t="str">
            <v>Method of asset measurement</v>
          </cell>
          <cell r="E292" t="str">
            <v>公允价值，摊余成本。</v>
          </cell>
          <cell r="F292" t="str">
            <v>C..30</v>
          </cell>
        </row>
        <row r="293">
          <cell r="B293" t="str">
            <v>010079</v>
          </cell>
          <cell r="C293" t="str">
            <v>担保方式</v>
          </cell>
          <cell r="D293" t="str">
            <v>Type of guarantee</v>
          </cell>
          <cell r="E293" t="str">
            <v>信用担保，第三方保证，抵押，质押，信用增级，其他。</v>
          </cell>
          <cell r="F293" t="str">
            <v>C..30</v>
          </cell>
        </row>
        <row r="294">
          <cell r="B294" t="str">
            <v>010080</v>
          </cell>
          <cell r="C294" t="str">
            <v>各层名称</v>
          </cell>
          <cell r="D294" t="str">
            <v>Name of layers</v>
          </cell>
          <cell r="E294" t="str">
            <v>持有的资管及委外资产的名称。</v>
          </cell>
          <cell r="F294" t="str">
            <v>C..800</v>
          </cell>
        </row>
        <row r="295">
          <cell r="B295" t="str">
            <v>010081</v>
          </cell>
          <cell r="C295" t="str">
            <v>计息类型</v>
          </cell>
          <cell r="D295" t="str">
            <v>Type of coupon</v>
          </cell>
          <cell r="E295" t="str">
            <v>贴现式，利随本清固定利率，利随本清浮动利率，附息式固定利率，附息式浮动利率，零息式。</v>
          </cell>
          <cell r="F295" t="str">
            <v>C..30</v>
          </cell>
        </row>
        <row r="296">
          <cell r="B296" t="str">
            <v>010082</v>
          </cell>
          <cell r="C296" t="str">
            <v>利息分布方式</v>
          </cell>
          <cell r="D296" t="str">
            <v>Coupon allocation type</v>
          </cell>
          <cell r="E296" t="str">
            <v>平均分配，实际天数分配。</v>
          </cell>
          <cell r="F296" t="str">
            <v>C..30</v>
          </cell>
        </row>
        <row r="297">
          <cell r="B297" t="str">
            <v>010083</v>
          </cell>
          <cell r="C297" t="str">
            <v>结构档次</v>
          </cell>
          <cell r="D297" t="str">
            <v>Structure grade</v>
          </cell>
          <cell r="E297" t="str">
            <v>优先，优先A，优先B，优先C，优先D，中间，次优先，次级。</v>
          </cell>
          <cell r="F297" t="str">
            <v>C..30</v>
          </cell>
        </row>
        <row r="298">
          <cell r="B298" t="str">
            <v>010084</v>
          </cell>
          <cell r="C298" t="str">
            <v>还本方式</v>
          </cell>
          <cell r="D298" t="str">
            <v>Principal payment type</v>
          </cell>
          <cell r="E298" t="str">
            <v>过手摊还，固定摊还。</v>
          </cell>
          <cell r="F298" t="str">
            <v>C..30</v>
          </cell>
        </row>
        <row r="299">
          <cell r="B299" t="str">
            <v>010085</v>
          </cell>
          <cell r="C299" t="str">
            <v>含权类型</v>
          </cell>
          <cell r="D299" t="str">
            <v>Option type</v>
          </cell>
          <cell r="E299" t="str">
            <v>发行人赎回选择权，发行人利息递延支付选择权，发行人续期选择权，投资人回售选择权，票面利率调整选择权，协商续期选择权，提前到期选择权。</v>
          </cell>
          <cell r="F299" t="str">
            <v>C..300</v>
          </cell>
        </row>
        <row r="300">
          <cell r="B300" t="str">
            <v>010086</v>
          </cell>
          <cell r="C300" t="str">
            <v>行权方式</v>
          </cell>
          <cell r="D300" t="str">
            <v>Exercise date type</v>
          </cell>
          <cell r="E300" t="str">
            <v>美式期权，欧式期权，百慕大期权。</v>
          </cell>
          <cell r="F300" t="str">
            <v>C..30</v>
          </cell>
        </row>
        <row r="301">
          <cell r="B301" t="str">
            <v>010087</v>
          </cell>
          <cell r="C301" t="str">
            <v>永续条款类型</v>
          </cell>
          <cell r="D301" t="str">
            <v>Perpetual type</v>
          </cell>
          <cell r="E301" t="str">
            <v>无，可续期条款，永续条款。</v>
          </cell>
          <cell r="F301" t="str">
            <v>C..30</v>
          </cell>
        </row>
        <row r="302">
          <cell r="B302" t="str">
            <v>010088</v>
          </cell>
          <cell r="C302" t="str">
            <v>利息递延条款类型</v>
          </cell>
          <cell r="D302" t="str">
            <v>Deferred interest type</v>
          </cell>
          <cell r="E302" t="str">
            <v>无利息递延条款，有利息递延条款，非利息递延条款引起的递延。</v>
          </cell>
          <cell r="F302" t="str">
            <v>C..30</v>
          </cell>
        </row>
        <row r="303">
          <cell r="B303" t="str">
            <v>010089</v>
          </cell>
          <cell r="C303" t="str">
            <v>分期还本条款标识</v>
          </cell>
          <cell r="D303" t="str">
            <v>Installment repay type</v>
          </cell>
          <cell r="E303" t="str">
            <v>分期还本，到期一次还本，其他。</v>
          </cell>
          <cell r="F303" t="str">
            <v>C..30</v>
          </cell>
        </row>
        <row r="304">
          <cell r="B304" t="str">
            <v>010090</v>
          </cell>
          <cell r="C304" t="str">
            <v>抵质押物类型（七项分类）</v>
          </cell>
          <cell r="D304" t="str">
            <v>Type of collateral</v>
          </cell>
          <cell r="E304" t="str">
            <v>现金及其等价物，贵金属，有价凭证，应收账款，房地产及土地使用权，存货，收费(益)权，其他。</v>
          </cell>
          <cell r="F304" t="str">
            <v>C..30</v>
          </cell>
        </row>
        <row r="305">
          <cell r="B305" t="str">
            <v>010091</v>
          </cell>
          <cell r="C305" t="str">
            <v>担保性质</v>
          </cell>
          <cell r="D305" t="str">
            <v>Nature of Guarantee</v>
          </cell>
          <cell r="E305" t="str">
            <v>有限责任，无限责任。</v>
          </cell>
          <cell r="F305" t="str">
            <v>C..30</v>
          </cell>
        </row>
        <row r="306">
          <cell r="B306" t="str">
            <v>010092</v>
          </cell>
          <cell r="C306" t="str">
            <v>担保人与融资人关系</v>
          </cell>
          <cell r="D306" t="str">
            <v>Relationship of borrower and guarantee</v>
          </cell>
          <cell r="E306" t="str">
            <v>主要股东，控股股东，实际控制人，一致行动人，最终受益人，其他。</v>
          </cell>
          <cell r="F306" t="str">
            <v>C..30</v>
          </cell>
        </row>
        <row r="307">
          <cell r="B307" t="str">
            <v>010093</v>
          </cell>
          <cell r="C307" t="str">
            <v>对手方类型</v>
          </cell>
          <cell r="D307" t="str">
            <v>Type of counterparty</v>
          </cell>
          <cell r="E307" t="str">
            <v>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v>
          </cell>
          <cell r="F307" t="str">
            <v>C..100</v>
          </cell>
        </row>
        <row r="308">
          <cell r="B308" t="str">
            <v>010094</v>
          </cell>
          <cell r="C308" t="str">
            <v>所属监管机构</v>
          </cell>
          <cell r="D308" t="str">
            <v>Supervisory Department</v>
          </cell>
          <cell r="E308" t="str">
            <v>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v>
          </cell>
          <cell r="F308" t="str">
            <v>C..30</v>
          </cell>
        </row>
        <row r="309">
          <cell r="B309" t="str">
            <v>010095</v>
          </cell>
          <cell r="C309" t="str">
            <v>金融工具利率类型</v>
          </cell>
          <cell r="D309" t="str">
            <v>Interest type of instrument</v>
          </cell>
          <cell r="E309" t="str">
            <v>固定，浮动，互换，其他。</v>
          </cell>
          <cell r="F309" t="str">
            <v>C6</v>
          </cell>
        </row>
        <row r="310">
          <cell r="B310" t="str">
            <v>010096</v>
          </cell>
          <cell r="C310" t="str">
            <v>资金交易产品种类</v>
          </cell>
          <cell r="D310" t="str">
            <v>Contract type of derivatives</v>
          </cell>
          <cell r="E310" t="str">
            <v>利率类产品，汇率类产品，商品及其他类产品，股权相关类产品，信用类产品，贵金属类产品，复合类产品</v>
          </cell>
          <cell r="F310" t="str">
            <v>C..30</v>
          </cell>
        </row>
        <row r="311">
          <cell r="B311" t="str">
            <v>010097</v>
          </cell>
          <cell r="C311" t="str">
            <v>资金交易业务种类</v>
          </cell>
          <cell r="D311" t="str">
            <v>Business type of derivatives</v>
          </cell>
          <cell r="E311" t="str">
            <v>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银行自定义。无法以枚举类型填报的，以“其它-XX”填报，其中“XX”为银行自定义类型。</v>
          </cell>
          <cell r="F311" t="str">
            <v>C..30</v>
          </cell>
        </row>
        <row r="312">
          <cell r="B312" t="str">
            <v>010098</v>
          </cell>
          <cell r="C312" t="str">
            <v>交易对手类别</v>
          </cell>
          <cell r="D312" t="str">
            <v>Type of counterparties</v>
          </cell>
          <cell r="E312" t="str">
            <v>银行业金融机构，非银行业金融机构，境外金融机构，公司客户，个人客户。</v>
          </cell>
          <cell r="F312" t="str">
            <v>C..30</v>
          </cell>
        </row>
        <row r="313">
          <cell r="B313" t="str">
            <v>010099</v>
          </cell>
          <cell r="C313" t="str">
            <v>代理代销交易类型</v>
          </cell>
          <cell r="D313" t="str">
            <v>Type of agency transaction</v>
          </cell>
          <cell r="E313" t="str">
            <v>债券承销，代理代销信托计划，代理代销资产管理计划，代理代销保险产品，代理代销基金，代理贵金属交易，代销其他机构理财产品，其他-银行自定义类型。无法以枚举类型填报的，以“其它-XX”填报，其中XX为银行自定义类型。</v>
          </cell>
          <cell r="F313" t="str">
            <v>C..30</v>
          </cell>
        </row>
        <row r="314">
          <cell r="B314" t="str">
            <v>010100</v>
          </cell>
          <cell r="C314" t="str">
            <v>基础资产类型</v>
          </cell>
          <cell r="D314" t="str">
            <v>Type of  underlying assets</v>
          </cell>
          <cell r="E314" t="str">
            <v>发行机构自定义。</v>
          </cell>
          <cell r="F314" t="str">
            <v>C..400</v>
          </cell>
        </row>
        <row r="315">
          <cell r="B315" t="str">
            <v>010101</v>
          </cell>
          <cell r="C315" t="str">
            <v>说明</v>
          </cell>
          <cell r="D315" t="str">
            <v>Instrument</v>
          </cell>
          <cell r="E315" t="str">
            <v>发行机构自定义。</v>
          </cell>
          <cell r="F315" t="str">
            <v>C..400</v>
          </cell>
        </row>
        <row r="316">
          <cell r="B316" t="str">
            <v>010102</v>
          </cell>
          <cell r="C316" t="str">
            <v>杠杆率</v>
          </cell>
          <cell r="D316" t="str">
            <v>Leverage ratio</v>
          </cell>
          <cell r="E316" t="str">
            <v>债券承销，代理代销信托计划，代理代销资产管理计划，代理代销保险产品，代理代销基金，代理贵金属交易，代销其他机构理财产品，其他-银行自定义类型。无法以枚举类型填报的，以“其它-XX”填报，其中XX为银行自定义类型。</v>
          </cell>
          <cell r="F316" t="str">
            <v>D20.4</v>
          </cell>
        </row>
        <row r="317">
          <cell r="B317" t="str">
            <v>010103</v>
          </cell>
          <cell r="C317" t="str">
            <v>统计日状态</v>
          </cell>
          <cell r="D317" t="str">
            <v>State on statistics day</v>
          </cell>
          <cell r="E317" t="str">
            <v>“产品统计日状态”为“存续”。即所在月末统计时点产品处于存续的状态。</v>
          </cell>
          <cell r="F317" t="str">
            <v>C..30</v>
          </cell>
        </row>
        <row r="318">
          <cell r="B318" t="str">
            <v>010103</v>
          </cell>
          <cell r="C318" t="str">
            <v>人民币金额</v>
          </cell>
          <cell r="D318" t="str">
            <v>Amount(RMB)</v>
          </cell>
          <cell r="E318" t="str">
            <v>折算人民币的金额。</v>
          </cell>
          <cell r="F318" t="str">
            <v>D20.2</v>
          </cell>
        </row>
      </sheetData>
      <sheetData sheetId="3"/>
      <sheetData sheetId="4"/>
      <sheetData sheetId="5"/>
      <sheetData sheetId="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14"/>
  <sheetViews>
    <sheetView showGridLines="0" workbookViewId="0">
      <selection activeCell="A13" sqref="A13"/>
    </sheetView>
  </sheetViews>
  <sheetFormatPr defaultColWidth="9" defaultRowHeight="15.75"/>
  <cols>
    <col min="1" max="1" width="91.875" style="138" customWidth="1"/>
    <col min="2" max="16384" width="9" style="48"/>
  </cols>
  <sheetData>
    <row r="1" ht="45" spans="1:1">
      <c r="A1" s="139" t="s">
        <v>0</v>
      </c>
    </row>
    <row r="2" ht="37.5" spans="1:1">
      <c r="A2" s="140" t="s">
        <v>1</v>
      </c>
    </row>
    <row r="3" ht="37.5" spans="1:1">
      <c r="A3" s="140" t="s">
        <v>2</v>
      </c>
    </row>
    <row r="4" ht="56.25" spans="1:1">
      <c r="A4" s="140" t="s">
        <v>3</v>
      </c>
    </row>
    <row r="5" ht="18.75" spans="1:1">
      <c r="A5" s="140" t="s">
        <v>4</v>
      </c>
    </row>
    <row r="6" ht="56.25" spans="1:1">
      <c r="A6" s="140" t="s">
        <v>5</v>
      </c>
    </row>
    <row r="7" ht="37.5" spans="1:1">
      <c r="A7" s="140" t="s">
        <v>6</v>
      </c>
    </row>
    <row r="8" ht="18.75" spans="1:1">
      <c r="A8" s="140" t="s">
        <v>7</v>
      </c>
    </row>
    <row r="9" ht="18.75" spans="1:1">
      <c r="A9" s="140" t="s">
        <v>8</v>
      </c>
    </row>
    <row r="10" ht="18.75" spans="1:1">
      <c r="A10" s="140" t="s">
        <v>9</v>
      </c>
    </row>
    <row r="11" ht="37.5" spans="1:1">
      <c r="A11" s="140" t="s">
        <v>10</v>
      </c>
    </row>
    <row r="12" ht="18.75" spans="1:1">
      <c r="A12" s="140" t="s">
        <v>11</v>
      </c>
    </row>
    <row r="13" ht="56.25" spans="1:1">
      <c r="A13" s="141" t="s">
        <v>12</v>
      </c>
    </row>
    <row r="14" spans="1:1">
      <c r="A14" s="142" t="s">
        <v>13</v>
      </c>
    </row>
  </sheetData>
  <pageMargins left="0.75" right="0.75" top="1" bottom="1" header="0.510416666666667" footer="0.510416666666667"/>
  <pageSetup paperSize="9" scale="88"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82"/>
  <sheetViews>
    <sheetView view="pageBreakPreview" zoomScaleNormal="100" workbookViewId="0">
      <pane ySplit="1" topLeftCell="A34" activePane="bottomLeft" state="frozenSplit"/>
      <selection/>
      <selection pane="bottomLeft" activeCell="H4" sqref="H4"/>
    </sheetView>
  </sheetViews>
  <sheetFormatPr defaultColWidth="9" defaultRowHeight="15.75"/>
  <cols>
    <col min="1" max="1" width="10.375" style="126" customWidth="1"/>
    <col min="2" max="2" width="9.875" customWidth="1"/>
    <col min="3" max="3" width="12.75" customWidth="1"/>
    <col min="4" max="4" width="10.25" customWidth="1"/>
    <col min="5" max="5" width="12.25" style="48" customWidth="1"/>
    <col min="6" max="6" width="13.75" style="126" customWidth="1"/>
    <col min="7" max="7" width="64" style="127" customWidth="1"/>
    <col min="8" max="8" width="10.75" style="128" customWidth="1"/>
  </cols>
  <sheetData>
    <row r="1" s="125" customFormat="1" ht="14.25" spans="1:8">
      <c r="A1" s="129" t="s">
        <v>14</v>
      </c>
      <c r="B1" s="125" t="s">
        <v>15</v>
      </c>
      <c r="C1" s="125" t="s">
        <v>16</v>
      </c>
      <c r="D1" s="125" t="s">
        <v>17</v>
      </c>
      <c r="E1" s="125" t="s">
        <v>18</v>
      </c>
      <c r="F1" s="129" t="s">
        <v>19</v>
      </c>
      <c r="G1" s="125" t="s">
        <v>20</v>
      </c>
      <c r="H1" s="125" t="s">
        <v>21</v>
      </c>
    </row>
    <row r="2" ht="18.75" spans="1:8">
      <c r="A2" s="130" t="s">
        <v>22</v>
      </c>
      <c r="B2" s="64" t="s">
        <v>23</v>
      </c>
      <c r="C2" s="59"/>
      <c r="D2" s="59"/>
      <c r="E2" s="64"/>
      <c r="F2" s="76"/>
      <c r="G2" s="68"/>
      <c r="H2" s="68"/>
    </row>
    <row r="3" ht="128.25" spans="1:8">
      <c r="A3" s="63"/>
      <c r="B3" s="64"/>
      <c r="C3" s="57" t="s">
        <v>24</v>
      </c>
      <c r="D3" s="131" t="s">
        <v>25</v>
      </c>
      <c r="E3" s="132" t="s">
        <v>26</v>
      </c>
      <c r="F3" s="133" t="s">
        <v>27</v>
      </c>
      <c r="G3" s="85" t="s">
        <v>28</v>
      </c>
      <c r="H3" s="85" t="s">
        <v>29</v>
      </c>
    </row>
    <row r="4" ht="128.25" spans="1:8">
      <c r="A4" s="63"/>
      <c r="B4" s="64"/>
      <c r="C4" s="57" t="s">
        <v>30</v>
      </c>
      <c r="D4" s="131" t="s">
        <v>31</v>
      </c>
      <c r="E4" s="132" t="s">
        <v>32</v>
      </c>
      <c r="F4" s="133" t="s">
        <v>27</v>
      </c>
      <c r="G4" s="85" t="s">
        <v>33</v>
      </c>
      <c r="H4" s="85" t="s">
        <v>29</v>
      </c>
    </row>
    <row r="5" ht="128.25" spans="1:8">
      <c r="A5" s="63"/>
      <c r="B5" s="64"/>
      <c r="C5" s="57" t="s">
        <v>34</v>
      </c>
      <c r="D5" s="131" t="s">
        <v>35</v>
      </c>
      <c r="E5" s="132" t="s">
        <v>36</v>
      </c>
      <c r="F5" s="133" t="s">
        <v>27</v>
      </c>
      <c r="G5" s="85" t="s">
        <v>37</v>
      </c>
      <c r="H5" s="85" t="s">
        <v>29</v>
      </c>
    </row>
    <row r="6" ht="128.25" spans="1:8">
      <c r="A6" s="63"/>
      <c r="B6" s="64"/>
      <c r="C6" s="57" t="s">
        <v>38</v>
      </c>
      <c r="D6" s="131" t="s">
        <v>39</v>
      </c>
      <c r="E6" s="132" t="s">
        <v>40</v>
      </c>
      <c r="F6" s="133" t="s">
        <v>27</v>
      </c>
      <c r="G6" s="85" t="s">
        <v>41</v>
      </c>
      <c r="H6" s="85" t="s">
        <v>29</v>
      </c>
    </row>
    <row r="7" ht="128.25" spans="1:8">
      <c r="A7" s="63"/>
      <c r="B7" s="64"/>
      <c r="C7" s="57" t="s">
        <v>42</v>
      </c>
      <c r="D7" s="131" t="s">
        <v>43</v>
      </c>
      <c r="E7" s="132" t="s">
        <v>44</v>
      </c>
      <c r="F7" s="133" t="s">
        <v>27</v>
      </c>
      <c r="G7" s="85" t="s">
        <v>45</v>
      </c>
      <c r="H7" s="85" t="s">
        <v>29</v>
      </c>
    </row>
    <row r="8" ht="128.25" spans="1:8">
      <c r="A8" s="70"/>
      <c r="B8" s="71"/>
      <c r="C8" s="57" t="s">
        <v>46</v>
      </c>
      <c r="D8" s="131" t="s">
        <v>47</v>
      </c>
      <c r="E8" s="132" t="s">
        <v>48</v>
      </c>
      <c r="F8" s="133" t="s">
        <v>27</v>
      </c>
      <c r="G8" s="85" t="s">
        <v>49</v>
      </c>
      <c r="H8" s="85" t="s">
        <v>29</v>
      </c>
    </row>
    <row r="9" ht="18.75" spans="1:8">
      <c r="A9" s="130" t="s">
        <v>50</v>
      </c>
      <c r="B9" s="64" t="s">
        <v>51</v>
      </c>
      <c r="C9" s="57"/>
      <c r="D9" s="57"/>
      <c r="E9" s="132"/>
      <c r="F9" s="132"/>
      <c r="G9" s="68"/>
      <c r="H9" s="68"/>
    </row>
    <row r="10" ht="74.1" customHeight="1" spans="1:8">
      <c r="A10" s="63"/>
      <c r="B10" s="64"/>
      <c r="C10" s="57" t="s">
        <v>52</v>
      </c>
      <c r="D10" s="131" t="s">
        <v>53</v>
      </c>
      <c r="E10" s="132" t="s">
        <v>54</v>
      </c>
      <c r="F10" s="133" t="s">
        <v>27</v>
      </c>
      <c r="G10" s="85" t="s">
        <v>55</v>
      </c>
      <c r="H10" s="85" t="s">
        <v>29</v>
      </c>
    </row>
    <row r="11" ht="128.25" spans="1:8">
      <c r="A11" s="70"/>
      <c r="B11" s="71"/>
      <c r="C11" s="57" t="s">
        <v>56</v>
      </c>
      <c r="D11" s="131" t="s">
        <v>57</v>
      </c>
      <c r="E11" s="132" t="s">
        <v>58</v>
      </c>
      <c r="F11" s="133" t="s">
        <v>27</v>
      </c>
      <c r="G11" s="85" t="s">
        <v>59</v>
      </c>
      <c r="H11" s="85" t="s">
        <v>29</v>
      </c>
    </row>
    <row r="12" ht="128.25" spans="1:8">
      <c r="A12" s="70"/>
      <c r="B12" s="71"/>
      <c r="C12" s="57" t="s">
        <v>60</v>
      </c>
      <c r="D12" s="131" t="s">
        <v>61</v>
      </c>
      <c r="E12" s="132" t="s">
        <v>62</v>
      </c>
      <c r="F12" s="133" t="s">
        <v>27</v>
      </c>
      <c r="G12" s="85" t="s">
        <v>63</v>
      </c>
      <c r="H12" s="85" t="s">
        <v>29</v>
      </c>
    </row>
    <row r="13" ht="57" spans="1:8">
      <c r="A13" s="63"/>
      <c r="B13" s="64"/>
      <c r="C13" s="57" t="s">
        <v>64</v>
      </c>
      <c r="D13" s="131" t="s">
        <v>65</v>
      </c>
      <c r="E13" s="57" t="s">
        <v>66</v>
      </c>
      <c r="F13" s="133" t="s">
        <v>67</v>
      </c>
      <c r="G13" s="85" t="s">
        <v>68</v>
      </c>
      <c r="H13" s="85" t="s">
        <v>69</v>
      </c>
    </row>
    <row r="14" ht="128.25" spans="1:8">
      <c r="A14" s="63"/>
      <c r="B14" s="59"/>
      <c r="C14" s="57" t="s">
        <v>70</v>
      </c>
      <c r="D14" s="131" t="s">
        <v>71</v>
      </c>
      <c r="E14" s="57" t="s">
        <v>72</v>
      </c>
      <c r="F14" s="133" t="s">
        <v>27</v>
      </c>
      <c r="G14" s="85" t="s">
        <v>73</v>
      </c>
      <c r="H14" s="134" t="s">
        <v>69</v>
      </c>
    </row>
    <row r="15" ht="142.5" spans="1:8">
      <c r="A15" s="63"/>
      <c r="B15" s="64"/>
      <c r="C15" s="57" t="s">
        <v>74</v>
      </c>
      <c r="D15" s="131" t="s">
        <v>75</v>
      </c>
      <c r="E15" s="132" t="s">
        <v>76</v>
      </c>
      <c r="F15" s="133" t="s">
        <v>27</v>
      </c>
      <c r="G15" s="85" t="s">
        <v>77</v>
      </c>
      <c r="H15" s="85" t="s">
        <v>29</v>
      </c>
    </row>
    <row r="16" ht="18.75" spans="1:8">
      <c r="A16" s="130" t="s">
        <v>78</v>
      </c>
      <c r="B16" s="64" t="s">
        <v>79</v>
      </c>
      <c r="C16" s="61"/>
      <c r="D16" s="61"/>
      <c r="E16" s="61"/>
      <c r="F16" s="61"/>
      <c r="G16" s="68"/>
      <c r="H16" s="68"/>
    </row>
    <row r="17" ht="128.25" spans="1:8">
      <c r="A17" s="63"/>
      <c r="B17" s="64"/>
      <c r="C17" s="57" t="s">
        <v>80</v>
      </c>
      <c r="D17" s="131" t="s">
        <v>81</v>
      </c>
      <c r="E17" s="132" t="s">
        <v>82</v>
      </c>
      <c r="F17" s="133" t="s">
        <v>27</v>
      </c>
      <c r="G17" s="85" t="s">
        <v>83</v>
      </c>
      <c r="H17" s="85" t="s">
        <v>29</v>
      </c>
    </row>
    <row r="18" ht="128.25" spans="1:8">
      <c r="A18" s="70"/>
      <c r="B18" s="71"/>
      <c r="C18" s="57" t="s">
        <v>84</v>
      </c>
      <c r="D18" s="131" t="s">
        <v>85</v>
      </c>
      <c r="E18" s="132" t="s">
        <v>86</v>
      </c>
      <c r="F18" s="133" t="s">
        <v>27</v>
      </c>
      <c r="G18" s="85" t="s">
        <v>87</v>
      </c>
      <c r="H18" s="85" t="s">
        <v>29</v>
      </c>
    </row>
    <row r="19" ht="128.25" spans="1:8">
      <c r="A19" s="70"/>
      <c r="B19" s="71"/>
      <c r="C19" s="57" t="s">
        <v>88</v>
      </c>
      <c r="D19" s="131" t="s">
        <v>89</v>
      </c>
      <c r="E19" s="57" t="s">
        <v>90</v>
      </c>
      <c r="F19" s="133" t="s">
        <v>27</v>
      </c>
      <c r="G19" s="85" t="s">
        <v>91</v>
      </c>
      <c r="H19" s="85" t="s">
        <v>69</v>
      </c>
    </row>
    <row r="20" ht="37.5" spans="1:8">
      <c r="A20" s="130" t="s">
        <v>92</v>
      </c>
      <c r="B20" s="64" t="s">
        <v>93</v>
      </c>
      <c r="C20" s="57"/>
      <c r="D20" s="57"/>
      <c r="E20" s="132"/>
      <c r="F20" s="132"/>
      <c r="G20" s="68"/>
      <c r="H20" s="68"/>
    </row>
    <row r="21" ht="128.25" spans="1:8">
      <c r="A21" s="63"/>
      <c r="B21" s="64"/>
      <c r="C21" s="57" t="s">
        <v>94</v>
      </c>
      <c r="D21" s="131" t="s">
        <v>95</v>
      </c>
      <c r="E21" s="132" t="s">
        <v>96</v>
      </c>
      <c r="F21" s="133" t="s">
        <v>27</v>
      </c>
      <c r="G21" s="135" t="s">
        <v>97</v>
      </c>
      <c r="H21" s="85" t="s">
        <v>29</v>
      </c>
    </row>
    <row r="22" ht="128.25" spans="1:8">
      <c r="A22" s="63"/>
      <c r="B22" s="64"/>
      <c r="C22" s="57" t="s">
        <v>98</v>
      </c>
      <c r="D22" s="131" t="s">
        <v>99</v>
      </c>
      <c r="E22" s="132" t="s">
        <v>100</v>
      </c>
      <c r="F22" s="133" t="s">
        <v>27</v>
      </c>
      <c r="G22" s="85" t="s">
        <v>101</v>
      </c>
      <c r="H22" s="85" t="s">
        <v>29</v>
      </c>
    </row>
    <row r="23" ht="108" customHeight="1" spans="1:8">
      <c r="A23" s="63"/>
      <c r="B23" s="64"/>
      <c r="C23" s="57" t="s">
        <v>102</v>
      </c>
      <c r="D23" s="131" t="s">
        <v>103</v>
      </c>
      <c r="E23" s="132" t="s">
        <v>104</v>
      </c>
      <c r="F23" s="133" t="s">
        <v>27</v>
      </c>
      <c r="G23" s="135" t="s">
        <v>105</v>
      </c>
      <c r="H23" s="85" t="s">
        <v>29</v>
      </c>
    </row>
    <row r="24" ht="57" spans="1:8">
      <c r="A24" s="70"/>
      <c r="B24" s="71"/>
      <c r="C24" s="59" t="s">
        <v>106</v>
      </c>
      <c r="D24" s="131" t="s">
        <v>107</v>
      </c>
      <c r="E24" s="132" t="s">
        <v>108</v>
      </c>
      <c r="F24" s="133" t="s">
        <v>67</v>
      </c>
      <c r="G24" s="85" t="s">
        <v>109</v>
      </c>
      <c r="H24" s="85" t="s">
        <v>29</v>
      </c>
    </row>
    <row r="25" ht="141.95" customHeight="1" spans="1:8">
      <c r="A25" s="70"/>
      <c r="B25" s="71"/>
      <c r="C25" s="57" t="s">
        <v>110</v>
      </c>
      <c r="D25" s="131" t="s">
        <v>111</v>
      </c>
      <c r="E25" s="132" t="s">
        <v>112</v>
      </c>
      <c r="F25" s="133" t="s">
        <v>27</v>
      </c>
      <c r="G25" s="135" t="s">
        <v>113</v>
      </c>
      <c r="H25" s="85" t="s">
        <v>29</v>
      </c>
    </row>
    <row r="26" ht="57" spans="1:8">
      <c r="A26" s="70"/>
      <c r="B26" s="71"/>
      <c r="C26" s="57" t="s">
        <v>114</v>
      </c>
      <c r="D26" s="131" t="s">
        <v>115</v>
      </c>
      <c r="E26" s="132" t="s">
        <v>116</v>
      </c>
      <c r="F26" s="133" t="s">
        <v>67</v>
      </c>
      <c r="G26" s="85" t="s">
        <v>117</v>
      </c>
      <c r="H26" s="85" t="s">
        <v>29</v>
      </c>
    </row>
    <row r="27" ht="128.25" spans="1:8">
      <c r="A27" s="63"/>
      <c r="B27" s="64"/>
      <c r="C27" s="57" t="s">
        <v>118</v>
      </c>
      <c r="D27" s="131" t="s">
        <v>119</v>
      </c>
      <c r="E27" s="132" t="s">
        <v>120</v>
      </c>
      <c r="F27" s="133" t="s">
        <v>27</v>
      </c>
      <c r="G27" s="85" t="s">
        <v>121</v>
      </c>
      <c r="H27" s="85" t="s">
        <v>29</v>
      </c>
    </row>
    <row r="28" ht="57" spans="1:8">
      <c r="A28" s="63"/>
      <c r="B28" s="64"/>
      <c r="C28" s="57" t="s">
        <v>122</v>
      </c>
      <c r="D28" s="131" t="s">
        <v>123</v>
      </c>
      <c r="E28" s="132" t="s">
        <v>124</v>
      </c>
      <c r="F28" s="133" t="s">
        <v>67</v>
      </c>
      <c r="G28" s="85" t="s">
        <v>125</v>
      </c>
      <c r="H28" s="85" t="s">
        <v>29</v>
      </c>
    </row>
    <row r="29" ht="80.1" customHeight="1" spans="1:8">
      <c r="A29" s="63"/>
      <c r="B29" s="64"/>
      <c r="C29" s="57" t="s">
        <v>126</v>
      </c>
      <c r="D29" s="131" t="s">
        <v>127</v>
      </c>
      <c r="E29" s="132" t="s">
        <v>128</v>
      </c>
      <c r="F29" s="133" t="s">
        <v>27</v>
      </c>
      <c r="G29" s="135" t="s">
        <v>129</v>
      </c>
      <c r="H29" s="85" t="s">
        <v>29</v>
      </c>
    </row>
    <row r="30" ht="71.25" spans="1:8">
      <c r="A30" s="70"/>
      <c r="B30" s="71"/>
      <c r="C30" s="57" t="s">
        <v>130</v>
      </c>
      <c r="D30" s="131" t="s">
        <v>131</v>
      </c>
      <c r="E30" s="132" t="s">
        <v>132</v>
      </c>
      <c r="F30" s="133" t="s">
        <v>67</v>
      </c>
      <c r="G30" s="136" t="s">
        <v>133</v>
      </c>
      <c r="H30" s="85" t="s">
        <v>29</v>
      </c>
    </row>
    <row r="31" ht="99" customHeight="1" spans="1:8">
      <c r="A31" s="70"/>
      <c r="B31" s="71"/>
      <c r="C31" s="57" t="s">
        <v>134</v>
      </c>
      <c r="D31" s="131" t="s">
        <v>135</v>
      </c>
      <c r="E31" s="132" t="s">
        <v>136</v>
      </c>
      <c r="F31" s="133" t="s">
        <v>27</v>
      </c>
      <c r="G31" s="135" t="s">
        <v>137</v>
      </c>
      <c r="H31" s="85" t="s">
        <v>29</v>
      </c>
    </row>
    <row r="32" ht="71.25" spans="1:8">
      <c r="A32" s="70"/>
      <c r="B32" s="71"/>
      <c r="C32" s="57" t="s">
        <v>138</v>
      </c>
      <c r="D32" s="131" t="s">
        <v>139</v>
      </c>
      <c r="E32" s="132" t="s">
        <v>140</v>
      </c>
      <c r="F32" s="133" t="s">
        <v>67</v>
      </c>
      <c r="G32" s="136" t="s">
        <v>141</v>
      </c>
      <c r="H32" s="85" t="s">
        <v>29</v>
      </c>
    </row>
    <row r="33" ht="18.75" spans="1:10">
      <c r="A33" s="130" t="s">
        <v>142</v>
      </c>
      <c r="B33" s="64" t="s">
        <v>143</v>
      </c>
      <c r="C33" s="57"/>
      <c r="D33" s="57"/>
      <c r="E33" s="132"/>
      <c r="F33" s="132"/>
      <c r="G33" s="68"/>
      <c r="H33" s="68"/>
    </row>
    <row r="34" ht="156.95" customHeight="1" spans="1:10">
      <c r="A34" s="63"/>
      <c r="B34" s="64"/>
      <c r="C34" s="57" t="s">
        <v>144</v>
      </c>
      <c r="D34" s="131" t="s">
        <v>145</v>
      </c>
      <c r="E34" s="132" t="s">
        <v>146</v>
      </c>
      <c r="F34" s="133" t="s">
        <v>27</v>
      </c>
      <c r="G34" s="136" t="s">
        <v>147</v>
      </c>
      <c r="H34" s="85" t="s">
        <v>29</v>
      </c>
      <c r="J34" s="137" t="s">
        <v>148</v>
      </c>
    </row>
    <row r="35" ht="128.25" spans="1:10">
      <c r="A35" s="63"/>
      <c r="B35" s="64"/>
      <c r="C35" s="57" t="s">
        <v>149</v>
      </c>
      <c r="D35" s="131" t="s">
        <v>150</v>
      </c>
      <c r="E35" s="132" t="s">
        <v>151</v>
      </c>
      <c r="F35" s="133" t="s">
        <v>27</v>
      </c>
      <c r="G35" s="85" t="s">
        <v>152</v>
      </c>
      <c r="H35" s="85" t="s">
        <v>69</v>
      </c>
    </row>
    <row r="36" ht="90.95" customHeight="1" spans="1:10">
      <c r="A36" s="63"/>
      <c r="B36" s="64"/>
      <c r="C36" s="57" t="s">
        <v>153</v>
      </c>
      <c r="D36" s="131" t="s">
        <v>154</v>
      </c>
      <c r="E36" s="132" t="s">
        <v>155</v>
      </c>
      <c r="F36" s="133" t="s">
        <v>27</v>
      </c>
      <c r="G36" s="85" t="s">
        <v>156</v>
      </c>
      <c r="H36" s="85" t="s">
        <v>29</v>
      </c>
    </row>
    <row r="37" ht="108" customHeight="1" spans="1:10">
      <c r="A37" s="70"/>
      <c r="B37" s="71"/>
      <c r="C37" s="57" t="s">
        <v>157</v>
      </c>
      <c r="D37" s="131" t="s">
        <v>158</v>
      </c>
      <c r="E37" s="132" t="s">
        <v>159</v>
      </c>
      <c r="F37" s="133" t="s">
        <v>27</v>
      </c>
      <c r="G37" s="85" t="s">
        <v>160</v>
      </c>
      <c r="H37" s="85" t="s">
        <v>29</v>
      </c>
    </row>
    <row r="38" ht="111" customHeight="1" spans="1:10">
      <c r="A38" s="63"/>
      <c r="B38" s="64"/>
      <c r="C38" s="57" t="s">
        <v>161</v>
      </c>
      <c r="D38" s="131" t="s">
        <v>162</v>
      </c>
      <c r="E38" s="132" t="s">
        <v>163</v>
      </c>
      <c r="F38" s="133" t="s">
        <v>67</v>
      </c>
      <c r="G38" s="85" t="s">
        <v>164</v>
      </c>
      <c r="H38" s="85" t="s">
        <v>69</v>
      </c>
    </row>
    <row r="39" ht="57.95" customHeight="1" spans="1:10">
      <c r="A39" s="63"/>
      <c r="B39" s="64"/>
      <c r="C39" s="57" t="s">
        <v>165</v>
      </c>
      <c r="D39" s="131" t="s">
        <v>166</v>
      </c>
      <c r="E39" s="132" t="s">
        <v>167</v>
      </c>
      <c r="F39" s="133" t="s">
        <v>27</v>
      </c>
      <c r="G39" s="85" t="s">
        <v>168</v>
      </c>
      <c r="H39" s="85" t="s">
        <v>29</v>
      </c>
    </row>
    <row r="40" ht="195.95" customHeight="1" spans="1:10">
      <c r="A40" s="70"/>
      <c r="B40" s="71"/>
      <c r="C40" s="57" t="s">
        <v>169</v>
      </c>
      <c r="D40" s="131" t="s">
        <v>170</v>
      </c>
      <c r="E40" s="132" t="s">
        <v>171</v>
      </c>
      <c r="F40" s="133" t="s">
        <v>27</v>
      </c>
      <c r="G40" s="85" t="s">
        <v>172</v>
      </c>
      <c r="H40" s="85" t="s">
        <v>29</v>
      </c>
    </row>
    <row r="41" ht="128.25" spans="1:10">
      <c r="A41" s="70"/>
      <c r="B41" s="71"/>
      <c r="C41" s="57" t="s">
        <v>173</v>
      </c>
      <c r="D41" s="131" t="s">
        <v>174</v>
      </c>
      <c r="E41" s="132" t="s">
        <v>175</v>
      </c>
      <c r="F41" s="133" t="s">
        <v>27</v>
      </c>
      <c r="G41" s="85" t="s">
        <v>176</v>
      </c>
      <c r="H41" s="85" t="s">
        <v>69</v>
      </c>
    </row>
    <row r="42" ht="128.25" spans="1:10">
      <c r="A42" s="70"/>
      <c r="B42" s="71"/>
      <c r="C42" s="57" t="s">
        <v>177</v>
      </c>
      <c r="D42" s="131" t="s">
        <v>178</v>
      </c>
      <c r="E42" s="132" t="s">
        <v>179</v>
      </c>
      <c r="F42" s="133" t="s">
        <v>27</v>
      </c>
      <c r="G42" s="85" t="s">
        <v>180</v>
      </c>
      <c r="H42" s="85" t="s">
        <v>69</v>
      </c>
    </row>
    <row r="43" ht="128.25" spans="1:10">
      <c r="A43" s="70"/>
      <c r="B43" s="71"/>
      <c r="C43" s="57" t="s">
        <v>181</v>
      </c>
      <c r="D43" s="131" t="s">
        <v>182</v>
      </c>
      <c r="E43" s="132" t="s">
        <v>183</v>
      </c>
      <c r="F43" s="133" t="s">
        <v>27</v>
      </c>
      <c r="G43" s="135" t="s">
        <v>184</v>
      </c>
      <c r="H43" s="85" t="s">
        <v>29</v>
      </c>
    </row>
    <row r="44" ht="128.25" spans="1:10">
      <c r="A44" s="70"/>
      <c r="B44" s="71"/>
      <c r="C44" s="57" t="s">
        <v>185</v>
      </c>
      <c r="D44" s="131" t="s">
        <v>186</v>
      </c>
      <c r="E44" s="132" t="s">
        <v>187</v>
      </c>
      <c r="F44" s="133" t="s">
        <v>27</v>
      </c>
      <c r="G44" s="85" t="s">
        <v>188</v>
      </c>
      <c r="H44" s="85" t="s">
        <v>69</v>
      </c>
    </row>
    <row r="45" ht="128.25" spans="1:10">
      <c r="A45" s="63"/>
      <c r="B45" s="64"/>
      <c r="C45" s="57" t="s">
        <v>189</v>
      </c>
      <c r="D45" s="131" t="s">
        <v>190</v>
      </c>
      <c r="E45" s="132" t="s">
        <v>191</v>
      </c>
      <c r="F45" s="133" t="s">
        <v>27</v>
      </c>
      <c r="G45" s="85" t="s">
        <v>192</v>
      </c>
      <c r="H45" s="85" t="s">
        <v>69</v>
      </c>
    </row>
    <row r="46" ht="128.25" spans="1:10">
      <c r="A46" s="63"/>
      <c r="B46" s="64"/>
      <c r="C46" s="57" t="s">
        <v>193</v>
      </c>
      <c r="D46" s="131" t="s">
        <v>194</v>
      </c>
      <c r="E46" s="132" t="s">
        <v>195</v>
      </c>
      <c r="F46" s="133" t="s">
        <v>27</v>
      </c>
      <c r="G46" s="85" t="s">
        <v>196</v>
      </c>
      <c r="H46" s="68"/>
    </row>
    <row r="47" ht="37.5" spans="1:10">
      <c r="A47" s="130" t="s">
        <v>197</v>
      </c>
      <c r="B47" s="64" t="s">
        <v>198</v>
      </c>
      <c r="C47" s="61"/>
      <c r="D47" s="61"/>
      <c r="E47" s="61"/>
      <c r="F47" s="61"/>
      <c r="G47" s="68"/>
      <c r="H47" s="68"/>
    </row>
    <row r="48" ht="128.25" spans="1:10">
      <c r="A48" s="70"/>
      <c r="B48" s="71"/>
      <c r="C48" s="57" t="s">
        <v>199</v>
      </c>
      <c r="D48" s="131" t="s">
        <v>200</v>
      </c>
      <c r="E48" s="132" t="s">
        <v>201</v>
      </c>
      <c r="F48" s="133" t="s">
        <v>27</v>
      </c>
      <c r="G48" s="135" t="s">
        <v>202</v>
      </c>
      <c r="H48" s="85" t="s">
        <v>29</v>
      </c>
    </row>
    <row r="49" ht="128.25" spans="1:8">
      <c r="A49" s="70"/>
      <c r="B49" s="71"/>
      <c r="C49" s="57" t="s">
        <v>203</v>
      </c>
      <c r="D49" s="131" t="s">
        <v>204</v>
      </c>
      <c r="E49" s="132" t="s">
        <v>205</v>
      </c>
      <c r="F49" s="133" t="s">
        <v>27</v>
      </c>
      <c r="G49" s="85" t="s">
        <v>206</v>
      </c>
      <c r="H49" s="85" t="s">
        <v>29</v>
      </c>
    </row>
    <row r="50" ht="128.25" spans="1:8">
      <c r="A50" s="70"/>
      <c r="B50" s="71"/>
      <c r="C50" s="57" t="s">
        <v>207</v>
      </c>
      <c r="D50" s="131" t="s">
        <v>208</v>
      </c>
      <c r="E50" s="132" t="s">
        <v>209</v>
      </c>
      <c r="F50" s="133" t="s">
        <v>27</v>
      </c>
      <c r="G50" s="85" t="s">
        <v>210</v>
      </c>
      <c r="H50" s="85" t="s">
        <v>29</v>
      </c>
    </row>
    <row r="51" ht="37.5" spans="1:8">
      <c r="A51" s="130" t="s">
        <v>211</v>
      </c>
      <c r="B51" s="64" t="s">
        <v>212</v>
      </c>
      <c r="C51" s="61"/>
      <c r="D51" s="61"/>
      <c r="E51" s="61"/>
      <c r="F51" s="61"/>
      <c r="G51" s="68"/>
      <c r="H51" s="68"/>
    </row>
    <row r="52" ht="150" customHeight="1" spans="1:8">
      <c r="A52" s="63"/>
      <c r="B52" s="64"/>
      <c r="C52" s="57" t="s">
        <v>213</v>
      </c>
      <c r="D52" s="131" t="s">
        <v>214</v>
      </c>
      <c r="E52" s="132" t="s">
        <v>215</v>
      </c>
      <c r="F52" s="133" t="s">
        <v>27</v>
      </c>
      <c r="G52" s="85" t="s">
        <v>216</v>
      </c>
      <c r="H52" s="85" t="s">
        <v>29</v>
      </c>
    </row>
    <row r="53" ht="153" customHeight="1" spans="1:8">
      <c r="A53" s="63"/>
      <c r="B53" s="64"/>
      <c r="C53" s="57" t="s">
        <v>217</v>
      </c>
      <c r="D53" s="131" t="s">
        <v>218</v>
      </c>
      <c r="E53" s="132" t="s">
        <v>219</v>
      </c>
      <c r="F53" s="133" t="s">
        <v>27</v>
      </c>
      <c r="G53" s="85" t="s">
        <v>220</v>
      </c>
      <c r="H53" s="85" t="s">
        <v>29</v>
      </c>
    </row>
    <row r="54" ht="128.25" spans="1:8">
      <c r="A54" s="63"/>
      <c r="B54" s="64"/>
      <c r="C54" s="57" t="s">
        <v>221</v>
      </c>
      <c r="D54" s="131" t="s">
        <v>222</v>
      </c>
      <c r="E54" s="132" t="s">
        <v>223</v>
      </c>
      <c r="F54" s="133" t="s">
        <v>27</v>
      </c>
      <c r="G54" s="85" t="s">
        <v>224</v>
      </c>
      <c r="H54" s="85" t="s">
        <v>29</v>
      </c>
    </row>
    <row r="55" ht="125.1" customHeight="1" spans="1:8">
      <c r="A55" s="63"/>
      <c r="B55" s="64"/>
      <c r="C55" s="57" t="s">
        <v>225</v>
      </c>
      <c r="D55" s="131" t="s">
        <v>226</v>
      </c>
      <c r="E55" s="132" t="s">
        <v>227</v>
      </c>
      <c r="F55" s="133" t="s">
        <v>27</v>
      </c>
      <c r="G55" s="85" t="s">
        <v>228</v>
      </c>
      <c r="H55" s="85" t="s">
        <v>29</v>
      </c>
    </row>
    <row r="56" ht="57" spans="1:8">
      <c r="A56" s="63"/>
      <c r="B56" s="64"/>
      <c r="C56" s="57" t="s">
        <v>229</v>
      </c>
      <c r="D56" s="131" t="s">
        <v>230</v>
      </c>
      <c r="E56" s="132" t="s">
        <v>231</v>
      </c>
      <c r="F56" s="133" t="s">
        <v>67</v>
      </c>
      <c r="G56" s="85" t="s">
        <v>232</v>
      </c>
      <c r="H56" s="85" t="s">
        <v>29</v>
      </c>
    </row>
    <row r="57" ht="37.5" spans="1:8">
      <c r="A57" s="130" t="s">
        <v>233</v>
      </c>
      <c r="B57" s="64" t="s">
        <v>234</v>
      </c>
      <c r="C57" s="57"/>
      <c r="D57" s="57"/>
      <c r="E57" s="132"/>
      <c r="F57" s="132"/>
      <c r="G57" s="68"/>
      <c r="H57" s="68"/>
    </row>
    <row r="58" ht="78.95" customHeight="1" spans="1:8">
      <c r="A58" s="70"/>
      <c r="B58" s="71"/>
      <c r="C58" s="57" t="s">
        <v>235</v>
      </c>
      <c r="D58" s="131" t="s">
        <v>236</v>
      </c>
      <c r="E58" s="132" t="s">
        <v>237</v>
      </c>
      <c r="F58" s="133" t="s">
        <v>27</v>
      </c>
      <c r="G58" s="85" t="s">
        <v>238</v>
      </c>
      <c r="H58" s="136" t="s">
        <v>29</v>
      </c>
    </row>
    <row r="59" ht="129.95" customHeight="1" spans="1:8">
      <c r="A59" s="70"/>
      <c r="B59" s="71"/>
      <c r="C59" s="57" t="s">
        <v>239</v>
      </c>
      <c r="D59" s="131" t="s">
        <v>240</v>
      </c>
      <c r="E59" s="132" t="s">
        <v>241</v>
      </c>
      <c r="F59" s="133" t="s">
        <v>67</v>
      </c>
      <c r="G59" s="85" t="s">
        <v>242</v>
      </c>
      <c r="H59" s="85" t="s">
        <v>29</v>
      </c>
    </row>
    <row r="60" ht="128.25" spans="1:8">
      <c r="A60" s="70"/>
      <c r="B60" s="71"/>
      <c r="C60" s="57" t="s">
        <v>243</v>
      </c>
      <c r="D60" s="131" t="s">
        <v>244</v>
      </c>
      <c r="E60" s="132" t="s">
        <v>245</v>
      </c>
      <c r="F60" s="133" t="s">
        <v>27</v>
      </c>
      <c r="G60" s="85" t="s">
        <v>246</v>
      </c>
      <c r="H60" s="85" t="s">
        <v>29</v>
      </c>
    </row>
    <row r="61" ht="57" spans="1:8">
      <c r="A61" s="70"/>
      <c r="B61" s="71"/>
      <c r="C61" s="57" t="s">
        <v>247</v>
      </c>
      <c r="D61" s="131" t="s">
        <v>248</v>
      </c>
      <c r="E61" s="132" t="s">
        <v>249</v>
      </c>
      <c r="F61" s="133" t="s">
        <v>67</v>
      </c>
      <c r="G61" s="85" t="s">
        <v>250</v>
      </c>
      <c r="H61" s="85" t="s">
        <v>29</v>
      </c>
    </row>
    <row r="62" ht="37.5" spans="1:8">
      <c r="A62" s="130" t="s">
        <v>251</v>
      </c>
      <c r="B62" s="64" t="s">
        <v>252</v>
      </c>
      <c r="C62" s="57"/>
      <c r="D62" s="57"/>
      <c r="E62" s="132"/>
      <c r="F62" s="132"/>
      <c r="G62" s="68"/>
      <c r="H62" s="68"/>
    </row>
    <row r="63" ht="128.25" spans="1:8">
      <c r="A63" s="77"/>
      <c r="B63" s="59"/>
      <c r="C63" s="57" t="s">
        <v>253</v>
      </c>
      <c r="D63" s="133" t="s">
        <v>254</v>
      </c>
      <c r="E63" s="57">
        <v>901</v>
      </c>
      <c r="F63" s="133" t="s">
        <v>27</v>
      </c>
      <c r="G63" s="85" t="s">
        <v>255</v>
      </c>
      <c r="H63" s="85" t="s">
        <v>29</v>
      </c>
    </row>
    <row r="64" ht="128.25" spans="1:8">
      <c r="A64" s="70"/>
      <c r="B64" s="71"/>
      <c r="C64" s="57" t="s">
        <v>256</v>
      </c>
      <c r="D64" s="131" t="s">
        <v>257</v>
      </c>
      <c r="E64" s="57">
        <v>902</v>
      </c>
      <c r="F64" s="133" t="s">
        <v>27</v>
      </c>
      <c r="G64" s="85" t="s">
        <v>258</v>
      </c>
      <c r="H64" s="85" t="s">
        <v>69</v>
      </c>
    </row>
    <row r="65" ht="114" spans="1:8">
      <c r="A65" s="70"/>
      <c r="B65" s="71"/>
      <c r="C65" s="57" t="s">
        <v>259</v>
      </c>
      <c r="D65" s="131" t="s">
        <v>260</v>
      </c>
      <c r="E65" s="57">
        <v>903</v>
      </c>
      <c r="F65" s="133" t="s">
        <v>67</v>
      </c>
      <c r="G65" s="85" t="s">
        <v>261</v>
      </c>
      <c r="H65" s="85" t="s">
        <v>69</v>
      </c>
    </row>
    <row r="66" ht="128.25" spans="1:8">
      <c r="A66" s="70"/>
      <c r="B66" s="71"/>
      <c r="C66" s="57" t="s">
        <v>262</v>
      </c>
      <c r="D66" s="131" t="s">
        <v>263</v>
      </c>
      <c r="E66" s="57">
        <v>904</v>
      </c>
      <c r="F66" s="133" t="s">
        <v>27</v>
      </c>
      <c r="G66" s="85" t="s">
        <v>264</v>
      </c>
      <c r="H66" s="85" t="s">
        <v>29</v>
      </c>
    </row>
    <row r="67" ht="71.25" spans="1:8">
      <c r="A67" s="63"/>
      <c r="B67" s="64"/>
      <c r="C67" s="57" t="s">
        <v>265</v>
      </c>
      <c r="D67" s="131" t="s">
        <v>266</v>
      </c>
      <c r="E67" s="57">
        <v>905</v>
      </c>
      <c r="F67" s="133" t="s">
        <v>67</v>
      </c>
      <c r="G67" s="135" t="s">
        <v>267</v>
      </c>
      <c r="H67" s="85" t="s">
        <v>69</v>
      </c>
    </row>
    <row r="68" ht="37.5" spans="1:8">
      <c r="A68" s="130" t="s">
        <v>268</v>
      </c>
      <c r="B68" s="64" t="s">
        <v>269</v>
      </c>
      <c r="C68" s="57"/>
      <c r="D68" s="57"/>
      <c r="E68" s="132"/>
      <c r="F68" s="132"/>
      <c r="G68" s="68"/>
      <c r="H68" s="68"/>
    </row>
    <row r="69" ht="57" spans="1:8">
      <c r="A69" s="63"/>
      <c r="B69" s="64"/>
      <c r="C69" s="57" t="s">
        <v>270</v>
      </c>
      <c r="D69" s="131" t="s">
        <v>271</v>
      </c>
      <c r="E69" s="132" t="s">
        <v>272</v>
      </c>
      <c r="F69" s="133" t="s">
        <v>67</v>
      </c>
      <c r="G69" s="85" t="s">
        <v>273</v>
      </c>
      <c r="H69" s="85" t="s">
        <v>29</v>
      </c>
    </row>
    <row r="70" ht="128.25" spans="1:8">
      <c r="A70" s="63"/>
      <c r="B70" s="64"/>
      <c r="C70" s="57" t="s">
        <v>274</v>
      </c>
      <c r="D70" s="131" t="s">
        <v>275</v>
      </c>
      <c r="E70" s="132" t="s">
        <v>276</v>
      </c>
      <c r="F70" s="133" t="s">
        <v>27</v>
      </c>
      <c r="G70" s="85" t="s">
        <v>277</v>
      </c>
      <c r="H70" s="85" t="s">
        <v>29</v>
      </c>
    </row>
    <row r="71" ht="85.5" spans="1:8">
      <c r="A71" s="63"/>
      <c r="B71" s="64"/>
      <c r="C71" s="57" t="s">
        <v>278</v>
      </c>
      <c r="D71" s="131" t="s">
        <v>279</v>
      </c>
      <c r="E71" s="132" t="s">
        <v>280</v>
      </c>
      <c r="F71" s="133" t="s">
        <v>67</v>
      </c>
      <c r="G71" s="85" t="s">
        <v>281</v>
      </c>
      <c r="H71" s="85" t="s">
        <v>29</v>
      </c>
    </row>
    <row r="72" ht="128.25" spans="1:8">
      <c r="A72" s="63"/>
      <c r="B72" s="64"/>
      <c r="C72" s="57" t="s">
        <v>282</v>
      </c>
      <c r="D72" s="131" t="s">
        <v>283</v>
      </c>
      <c r="E72" s="132" t="s">
        <v>284</v>
      </c>
      <c r="F72" s="133" t="s">
        <v>27</v>
      </c>
      <c r="G72" s="85" t="s">
        <v>285</v>
      </c>
      <c r="H72" s="85" t="s">
        <v>29</v>
      </c>
    </row>
    <row r="73" ht="171" spans="1:8">
      <c r="A73" s="63"/>
      <c r="B73" s="64"/>
      <c r="C73" s="57" t="s">
        <v>286</v>
      </c>
      <c r="D73" s="131" t="s">
        <v>287</v>
      </c>
      <c r="E73" s="132" t="s">
        <v>288</v>
      </c>
      <c r="F73" s="133" t="s">
        <v>67</v>
      </c>
      <c r="G73" s="85" t="s">
        <v>289</v>
      </c>
      <c r="H73" s="85" t="s">
        <v>69</v>
      </c>
    </row>
    <row r="74" ht="18.75" spans="1:8">
      <c r="A74" s="130" t="s">
        <v>290</v>
      </c>
      <c r="B74" s="64" t="s">
        <v>291</v>
      </c>
      <c r="C74" s="57"/>
      <c r="D74" s="57"/>
      <c r="E74" s="57"/>
      <c r="F74" s="57"/>
      <c r="G74" s="68"/>
      <c r="H74" s="68"/>
    </row>
    <row r="75" ht="128.25" spans="1:8">
      <c r="A75" s="63"/>
      <c r="B75" s="59"/>
      <c r="C75" s="57" t="s">
        <v>292</v>
      </c>
      <c r="D75" s="131" t="s">
        <v>293</v>
      </c>
      <c r="E75" s="57">
        <v>1101</v>
      </c>
      <c r="F75" s="133" t="s">
        <v>27</v>
      </c>
      <c r="G75" s="85" t="s">
        <v>294</v>
      </c>
      <c r="H75" s="85" t="s">
        <v>29</v>
      </c>
    </row>
    <row r="76" ht="128.25" spans="1:8">
      <c r="A76" s="63"/>
      <c r="B76" s="59"/>
      <c r="C76" s="57" t="s">
        <v>295</v>
      </c>
      <c r="D76" s="131" t="s">
        <v>296</v>
      </c>
      <c r="E76" s="57">
        <v>1102</v>
      </c>
      <c r="F76" s="133" t="s">
        <v>27</v>
      </c>
      <c r="G76" s="85" t="s">
        <v>297</v>
      </c>
      <c r="H76" s="85" t="s">
        <v>29</v>
      </c>
    </row>
    <row r="77" ht="128.25" spans="1:8">
      <c r="A77" s="63"/>
      <c r="B77" s="59"/>
      <c r="C77" s="57" t="s">
        <v>298</v>
      </c>
      <c r="D77" s="131" t="s">
        <v>299</v>
      </c>
      <c r="E77" s="57">
        <v>1103</v>
      </c>
      <c r="F77" s="133" t="s">
        <v>27</v>
      </c>
      <c r="G77" s="85" t="s">
        <v>300</v>
      </c>
      <c r="H77" s="85" t="s">
        <v>29</v>
      </c>
    </row>
    <row r="78" ht="128.25" spans="1:8">
      <c r="A78" s="63"/>
      <c r="B78" s="59"/>
      <c r="C78" s="57" t="s">
        <v>301</v>
      </c>
      <c r="D78" s="131" t="s">
        <v>302</v>
      </c>
      <c r="E78" s="57">
        <v>1104</v>
      </c>
      <c r="F78" s="133" t="s">
        <v>27</v>
      </c>
      <c r="G78" s="85" t="s">
        <v>303</v>
      </c>
      <c r="H78" s="85" t="s">
        <v>29</v>
      </c>
    </row>
    <row r="79" ht="128.25" spans="1:8">
      <c r="A79" s="63"/>
      <c r="B79" s="59"/>
      <c r="C79" s="57" t="s">
        <v>304</v>
      </c>
      <c r="D79" s="131" t="s">
        <v>305</v>
      </c>
      <c r="E79" s="57">
        <v>1105</v>
      </c>
      <c r="F79" s="133" t="s">
        <v>27</v>
      </c>
      <c r="G79" s="85" t="s">
        <v>306</v>
      </c>
      <c r="H79" s="85" t="s">
        <v>29</v>
      </c>
    </row>
    <row r="80" ht="57" spans="1:8">
      <c r="A80" s="63"/>
      <c r="B80" s="59"/>
      <c r="C80" s="57" t="s">
        <v>307</v>
      </c>
      <c r="D80" s="131" t="s">
        <v>308</v>
      </c>
      <c r="E80" s="57">
        <v>1106</v>
      </c>
      <c r="F80" s="133" t="s">
        <v>67</v>
      </c>
      <c r="G80" s="85" t="s">
        <v>309</v>
      </c>
      <c r="H80" s="85" t="s">
        <v>29</v>
      </c>
    </row>
    <row r="81" ht="57" spans="1:8">
      <c r="A81" s="63"/>
      <c r="B81" s="59"/>
      <c r="C81" s="57" t="s">
        <v>310</v>
      </c>
      <c r="D81" s="131" t="s">
        <v>311</v>
      </c>
      <c r="E81" s="57">
        <v>1107</v>
      </c>
      <c r="F81" s="133" t="s">
        <v>67</v>
      </c>
      <c r="G81" s="85" t="s">
        <v>312</v>
      </c>
      <c r="H81" s="85" t="s">
        <v>29</v>
      </c>
    </row>
    <row r="82" ht="128.25" spans="1:8">
      <c r="A82" s="63"/>
      <c r="B82" s="59"/>
      <c r="C82" s="57" t="s">
        <v>313</v>
      </c>
      <c r="D82" s="131" t="s">
        <v>314</v>
      </c>
      <c r="E82" s="57">
        <v>1108</v>
      </c>
      <c r="F82" s="133" t="s">
        <v>27</v>
      </c>
      <c r="G82" s="85" t="s">
        <v>315</v>
      </c>
      <c r="H82" s="85" t="s">
        <v>69</v>
      </c>
    </row>
  </sheetData>
  <pageMargins left="0.751388888888889" right="0.554166666666667" top="0.605555555555556" bottom="0.605555555555556" header="0.511805555555556" footer="0.511805555555556"/>
  <pageSetup paperSize="9" scale="86" fitToHeight="0" orientation="landscape"/>
  <headerFooter>
    <oddFooter>&amp;C第 &amp;P 页, &amp;A</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0"/>
  <sheetViews>
    <sheetView showGridLines="0" view="pageBreakPreview" zoomScale="80" zoomScaleNormal="90" topLeftCell="B1" workbookViewId="0">
      <pane ySplit="5" topLeftCell="A30" activePane="bottomLeft" state="frozen"/>
      <selection/>
      <selection pane="bottomLeft" activeCell="D46" sqref="D46"/>
    </sheetView>
  </sheetViews>
  <sheetFormatPr defaultColWidth="9" defaultRowHeight="15.75" outlineLevelCol="6"/>
  <cols>
    <col min="1" max="1" width="15.125" style="48" customWidth="1"/>
    <col min="2" max="2" width="11.625" style="48" customWidth="1"/>
    <col min="3" max="3" width="17.75" style="48" customWidth="1"/>
    <col min="4" max="4" width="29.625" style="48" customWidth="1"/>
    <col min="5" max="5" width="92.625" style="39" customWidth="1"/>
    <col min="6" max="16384" width="9" style="48"/>
  </cols>
  <sheetData>
    <row r="1" spans="1:6">
      <c r="C1"/>
    </row>
    <row r="2" spans="1:6">
      <c r="A2" s="95" t="s">
        <v>316</v>
      </c>
      <c r="B2" s="96"/>
      <c r="C2" s="96"/>
      <c r="D2" s="97"/>
      <c r="E2" s="97"/>
      <c r="F2" s="98"/>
    </row>
    <row r="3" spans="1:6">
      <c r="A3" s="99"/>
      <c r="B3" s="100"/>
      <c r="C3" s="100"/>
      <c r="D3" s="101"/>
      <c r="E3" s="101"/>
      <c r="F3" s="102"/>
    </row>
    <row r="4" spans="1:6">
      <c r="A4" s="103" t="s">
        <v>317</v>
      </c>
      <c r="B4" s="103" t="s">
        <v>318</v>
      </c>
      <c r="C4" s="103" t="s">
        <v>319</v>
      </c>
      <c r="D4" s="104" t="s">
        <v>320</v>
      </c>
      <c r="E4" s="104" t="s">
        <v>321</v>
      </c>
      <c r="F4" s="103" t="s">
        <v>322</v>
      </c>
    </row>
    <row r="5" spans="1:6">
      <c r="A5" s="105"/>
      <c r="B5" s="103"/>
      <c r="C5" s="103"/>
      <c r="D5" s="104"/>
      <c r="E5" s="104"/>
      <c r="F5" s="103"/>
    </row>
    <row r="6" spans="1:6">
      <c r="A6" s="72" t="s">
        <v>323</v>
      </c>
      <c r="B6" s="72" t="s">
        <v>23</v>
      </c>
      <c r="C6" s="72"/>
      <c r="D6" s="106"/>
      <c r="E6" s="106"/>
      <c r="F6" s="72"/>
    </row>
    <row r="7" ht="192.95" customHeight="1" outlineLevel="1" spans="1:6">
      <c r="A7" s="74"/>
      <c r="B7" s="107" t="s">
        <v>324</v>
      </c>
      <c r="C7" s="72" t="s">
        <v>325</v>
      </c>
      <c r="D7" s="106" t="s">
        <v>326</v>
      </c>
      <c r="E7" s="108" t="s">
        <v>327</v>
      </c>
      <c r="F7" s="72" t="s">
        <v>328</v>
      </c>
    </row>
    <row r="8" outlineLevel="1" spans="1:6">
      <c r="B8" s="107" t="s">
        <v>329</v>
      </c>
      <c r="C8" s="72" t="s">
        <v>330</v>
      </c>
      <c r="D8" s="106" t="s">
        <v>331</v>
      </c>
      <c r="E8" s="108" t="s">
        <v>332</v>
      </c>
      <c r="F8" s="72" t="s">
        <v>333</v>
      </c>
    </row>
    <row r="9" outlineLevel="1" spans="1:6">
      <c r="A9" s="74"/>
      <c r="B9" s="107" t="s">
        <v>334</v>
      </c>
      <c r="C9" s="72" t="s">
        <v>335</v>
      </c>
      <c r="D9" s="106" t="s">
        <v>336</v>
      </c>
      <c r="E9" s="108" t="s">
        <v>337</v>
      </c>
      <c r="F9" s="72" t="s">
        <v>338</v>
      </c>
    </row>
    <row r="10" outlineLevel="1" spans="1:6">
      <c r="A10" s="74"/>
      <c r="B10" s="107" t="s">
        <v>339</v>
      </c>
      <c r="C10" s="72" t="s">
        <v>340</v>
      </c>
      <c r="D10" s="106" t="s">
        <v>341</v>
      </c>
      <c r="E10" s="108" t="s">
        <v>342</v>
      </c>
      <c r="F10" s="72" t="s">
        <v>343</v>
      </c>
    </row>
    <row r="11" outlineLevel="1" spans="1:6">
      <c r="A11" s="74"/>
      <c r="B11" s="107" t="s">
        <v>344</v>
      </c>
      <c r="C11" s="72" t="s">
        <v>345</v>
      </c>
      <c r="D11" s="106" t="s">
        <v>346</v>
      </c>
      <c r="E11" s="108" t="s">
        <v>347</v>
      </c>
      <c r="F11" s="72" t="s">
        <v>348</v>
      </c>
    </row>
    <row r="12" outlineLevel="1" spans="1:6">
      <c r="A12" s="74"/>
      <c r="B12" s="107" t="s">
        <v>349</v>
      </c>
      <c r="C12" s="72" t="s">
        <v>350</v>
      </c>
      <c r="D12" s="106" t="s">
        <v>351</v>
      </c>
      <c r="E12" s="108" t="s">
        <v>352</v>
      </c>
      <c r="F12" s="72" t="s">
        <v>353</v>
      </c>
    </row>
    <row r="13" outlineLevel="1" spans="1:6">
      <c r="A13" s="74"/>
      <c r="B13" s="107" t="s">
        <v>354</v>
      </c>
      <c r="C13" s="72" t="s">
        <v>355</v>
      </c>
      <c r="D13" s="106" t="s">
        <v>356</v>
      </c>
      <c r="E13" s="108" t="s">
        <v>357</v>
      </c>
      <c r="F13" s="74" t="s">
        <v>353</v>
      </c>
    </row>
    <row r="14" ht="42.75" outlineLevel="1" spans="1:6">
      <c r="A14" s="74"/>
      <c r="B14" s="107" t="s">
        <v>358</v>
      </c>
      <c r="C14" s="72" t="s">
        <v>359</v>
      </c>
      <c r="D14" s="106" t="s">
        <v>360</v>
      </c>
      <c r="E14" s="108" t="s">
        <v>361</v>
      </c>
      <c r="F14" s="74" t="s">
        <v>362</v>
      </c>
    </row>
    <row r="15" outlineLevel="1" spans="1:6">
      <c r="A15" s="74"/>
      <c r="B15" s="107" t="s">
        <v>363</v>
      </c>
      <c r="C15" s="72" t="s">
        <v>364</v>
      </c>
      <c r="D15" s="106" t="s">
        <v>365</v>
      </c>
      <c r="E15" s="108" t="s">
        <v>366</v>
      </c>
      <c r="F15" s="74" t="s">
        <v>367</v>
      </c>
    </row>
    <row r="16" outlineLevel="1" spans="1:6">
      <c r="A16" s="74"/>
      <c r="B16" s="107" t="s">
        <v>368</v>
      </c>
      <c r="C16" s="72" t="s">
        <v>369</v>
      </c>
      <c r="D16" s="106" t="s">
        <v>370</v>
      </c>
      <c r="E16" s="109" t="s">
        <v>371</v>
      </c>
      <c r="F16" s="74" t="s">
        <v>367</v>
      </c>
    </row>
    <row r="17" ht="409.5" outlineLevel="1" spans="1:6">
      <c r="A17" s="74"/>
      <c r="B17" s="107" t="s">
        <v>372</v>
      </c>
      <c r="C17" s="72" t="s">
        <v>373</v>
      </c>
      <c r="D17" s="106" t="s">
        <v>374</v>
      </c>
      <c r="E17" s="108" t="s">
        <v>375</v>
      </c>
      <c r="F17" s="72" t="s">
        <v>367</v>
      </c>
    </row>
    <row r="18" outlineLevel="1" spans="1:6">
      <c r="A18" s="74"/>
      <c r="B18" s="107" t="s">
        <v>376</v>
      </c>
      <c r="C18" s="72" t="s">
        <v>377</v>
      </c>
      <c r="D18" s="106" t="s">
        <v>378</v>
      </c>
      <c r="E18" s="108" t="s">
        <v>379</v>
      </c>
      <c r="F18" s="72" t="s">
        <v>367</v>
      </c>
    </row>
    <row r="19" outlineLevel="1" spans="1:6">
      <c r="A19" s="74"/>
      <c r="B19" s="107" t="s">
        <v>380</v>
      </c>
      <c r="C19" s="72" t="s">
        <v>381</v>
      </c>
      <c r="D19" s="106" t="s">
        <v>382</v>
      </c>
      <c r="E19" s="108" t="s">
        <v>383</v>
      </c>
      <c r="F19" s="74" t="s">
        <v>367</v>
      </c>
    </row>
    <row r="20" outlineLevel="1" spans="1:6">
      <c r="A20" s="74"/>
      <c r="B20" s="107" t="s">
        <v>384</v>
      </c>
      <c r="C20" s="72" t="s">
        <v>385</v>
      </c>
      <c r="D20" s="106" t="s">
        <v>386</v>
      </c>
      <c r="E20" s="108" t="s">
        <v>387</v>
      </c>
      <c r="F20" s="74" t="s">
        <v>353</v>
      </c>
    </row>
    <row r="21" outlineLevel="1" spans="1:6">
      <c r="A21" s="74"/>
      <c r="B21" s="107" t="s">
        <v>388</v>
      </c>
      <c r="C21" s="72" t="s">
        <v>389</v>
      </c>
      <c r="D21" s="106" t="s">
        <v>390</v>
      </c>
      <c r="E21" s="108" t="s">
        <v>391</v>
      </c>
      <c r="F21" s="74" t="s">
        <v>367</v>
      </c>
    </row>
    <row r="22" outlineLevel="1" spans="1:6">
      <c r="A22" s="74"/>
      <c r="B22" s="107" t="s">
        <v>392</v>
      </c>
      <c r="C22" s="72" t="s">
        <v>393</v>
      </c>
      <c r="D22" s="106" t="s">
        <v>394</v>
      </c>
      <c r="E22" s="108" t="s">
        <v>395</v>
      </c>
      <c r="F22" s="74" t="s">
        <v>396</v>
      </c>
    </row>
    <row r="23" outlineLevel="1" spans="1:6">
      <c r="A23" s="74"/>
      <c r="B23" s="107" t="s">
        <v>397</v>
      </c>
      <c r="C23" s="72" t="s">
        <v>398</v>
      </c>
      <c r="D23" s="106" t="s">
        <v>399</v>
      </c>
      <c r="E23" s="108" t="s">
        <v>400</v>
      </c>
      <c r="F23" s="74" t="s">
        <v>396</v>
      </c>
    </row>
    <row r="24" outlineLevel="1" spans="1:6">
      <c r="A24" s="74"/>
      <c r="B24" s="107" t="s">
        <v>401</v>
      </c>
      <c r="C24" s="72" t="s">
        <v>402</v>
      </c>
      <c r="D24" s="106" t="s">
        <v>403</v>
      </c>
      <c r="E24" s="108" t="s">
        <v>400</v>
      </c>
      <c r="F24" s="74" t="s">
        <v>396</v>
      </c>
    </row>
    <row r="25" outlineLevel="1" spans="1:6">
      <c r="A25" s="74"/>
      <c r="B25" s="107" t="s">
        <v>404</v>
      </c>
      <c r="C25" s="72" t="s">
        <v>405</v>
      </c>
      <c r="D25" s="106" t="s">
        <v>406</v>
      </c>
      <c r="E25" s="108" t="s">
        <v>400</v>
      </c>
      <c r="F25" s="74" t="s">
        <v>407</v>
      </c>
    </row>
    <row r="26" outlineLevel="1" spans="1:6">
      <c r="A26" s="74"/>
      <c r="B26" s="107" t="s">
        <v>408</v>
      </c>
      <c r="C26" s="72" t="s">
        <v>409</v>
      </c>
      <c r="D26" s="106" t="s">
        <v>410</v>
      </c>
      <c r="E26" s="108" t="s">
        <v>411</v>
      </c>
      <c r="F26" s="74" t="s">
        <v>367</v>
      </c>
    </row>
    <row r="27" outlineLevel="1" spans="1:6">
      <c r="A27" s="74"/>
      <c r="B27" s="107" t="s">
        <v>412</v>
      </c>
      <c r="C27" s="72" t="s">
        <v>413</v>
      </c>
      <c r="D27" s="106" t="s">
        <v>414</v>
      </c>
      <c r="E27" s="108" t="s">
        <v>400</v>
      </c>
      <c r="F27" s="74" t="s">
        <v>367</v>
      </c>
    </row>
    <row r="28" ht="30" outlineLevel="1" spans="1:6">
      <c r="A28" s="74"/>
      <c r="B28" s="107" t="s">
        <v>415</v>
      </c>
      <c r="C28" s="72" t="s">
        <v>416</v>
      </c>
      <c r="D28" s="106" t="s">
        <v>417</v>
      </c>
      <c r="E28" s="108" t="s">
        <v>418</v>
      </c>
      <c r="F28" s="74" t="s">
        <v>367</v>
      </c>
    </row>
    <row r="29" outlineLevel="1" spans="1:6">
      <c r="A29" s="74"/>
      <c r="B29" s="107" t="s">
        <v>419</v>
      </c>
      <c r="C29" s="72" t="s">
        <v>420</v>
      </c>
      <c r="D29" s="106" t="s">
        <v>421</v>
      </c>
      <c r="E29" s="108" t="s">
        <v>422</v>
      </c>
      <c r="F29" s="74" t="s">
        <v>407</v>
      </c>
    </row>
    <row r="30" outlineLevel="1" spans="1:6">
      <c r="A30" s="74"/>
      <c r="B30" s="107" t="s">
        <v>423</v>
      </c>
      <c r="C30" s="72" t="s">
        <v>424</v>
      </c>
      <c r="D30" s="106" t="s">
        <v>425</v>
      </c>
      <c r="E30" s="108" t="s">
        <v>426</v>
      </c>
      <c r="F30" s="74" t="s">
        <v>407</v>
      </c>
    </row>
    <row r="31" outlineLevel="1" spans="1:6">
      <c r="A31" s="74"/>
      <c r="B31" s="107" t="s">
        <v>427</v>
      </c>
      <c r="C31" s="72" t="s">
        <v>428</v>
      </c>
      <c r="D31" s="106" t="s">
        <v>429</v>
      </c>
      <c r="E31" s="108" t="s">
        <v>430</v>
      </c>
      <c r="F31" s="74" t="s">
        <v>396</v>
      </c>
    </row>
    <row r="32" outlineLevel="1" spans="1:6">
      <c r="A32" s="74"/>
      <c r="B32" s="107" t="s">
        <v>431</v>
      </c>
      <c r="C32" s="72" t="s">
        <v>432</v>
      </c>
      <c r="D32" s="106" t="s">
        <v>433</v>
      </c>
      <c r="E32" s="108" t="s">
        <v>434</v>
      </c>
      <c r="F32" s="74" t="s">
        <v>362</v>
      </c>
    </row>
    <row r="33" ht="45.75" outlineLevel="1" spans="1:7">
      <c r="A33" s="74"/>
      <c r="B33" s="107" t="s">
        <v>435</v>
      </c>
      <c r="C33" s="72" t="s">
        <v>436</v>
      </c>
      <c r="D33" s="106" t="s">
        <v>437</v>
      </c>
      <c r="E33" s="108" t="s">
        <v>438</v>
      </c>
      <c r="F33" s="74" t="s">
        <v>396</v>
      </c>
    </row>
    <row r="34" ht="31.5" outlineLevel="1" spans="1:7">
      <c r="A34" s="110"/>
      <c r="B34" s="107" t="s">
        <v>439</v>
      </c>
      <c r="C34" s="110" t="s">
        <v>440</v>
      </c>
      <c r="D34" s="111" t="s">
        <v>441</v>
      </c>
      <c r="E34" s="112" t="s">
        <v>442</v>
      </c>
      <c r="F34" s="113" t="s">
        <v>443</v>
      </c>
    </row>
    <row r="35" outlineLevel="1" spans="1:7">
      <c r="A35" s="74"/>
      <c r="B35" s="107" t="s">
        <v>444</v>
      </c>
      <c r="C35" s="72" t="s">
        <v>445</v>
      </c>
      <c r="D35" s="106" t="s">
        <v>446</v>
      </c>
      <c r="E35" s="108" t="s">
        <v>447</v>
      </c>
      <c r="F35" s="74" t="s">
        <v>448</v>
      </c>
    </row>
    <row r="36" outlineLevel="1" spans="1:7">
      <c r="A36" s="74"/>
      <c r="B36" s="107" t="s">
        <v>449</v>
      </c>
      <c r="C36" s="72" t="s">
        <v>450</v>
      </c>
      <c r="D36" s="106" t="s">
        <v>446</v>
      </c>
      <c r="E36" s="108" t="s">
        <v>451</v>
      </c>
      <c r="F36" s="74" t="s">
        <v>452</v>
      </c>
    </row>
    <row r="37" outlineLevel="1" spans="1:7">
      <c r="A37" s="74"/>
      <c r="B37" s="107" t="s">
        <v>453</v>
      </c>
      <c r="C37" s="72" t="s">
        <v>454</v>
      </c>
      <c r="D37" s="106" t="s">
        <v>455</v>
      </c>
      <c r="E37" s="108" t="s">
        <v>456</v>
      </c>
      <c r="F37" s="74" t="s">
        <v>457</v>
      </c>
    </row>
    <row r="38" s="39" customFormat="1" outlineLevel="1" spans="1:7">
      <c r="A38" s="74"/>
      <c r="B38" s="107" t="s">
        <v>458</v>
      </c>
      <c r="C38" s="72" t="s">
        <v>459</v>
      </c>
      <c r="D38" s="106" t="s">
        <v>460</v>
      </c>
      <c r="E38" s="108" t="s">
        <v>461</v>
      </c>
      <c r="F38" s="73" t="s">
        <v>362</v>
      </c>
      <c r="G38" s="48"/>
    </row>
    <row r="39" s="39" customFormat="1" ht="31.5" outlineLevel="1" spans="1:7">
      <c r="A39" s="73"/>
      <c r="B39" s="107" t="s">
        <v>462</v>
      </c>
      <c r="C39" s="106" t="s">
        <v>463</v>
      </c>
      <c r="D39" s="106" t="s">
        <v>464</v>
      </c>
      <c r="E39" s="108" t="s">
        <v>465</v>
      </c>
      <c r="F39" s="73" t="s">
        <v>367</v>
      </c>
      <c r="G39" s="48"/>
    </row>
    <row r="40" s="39" customFormat="1" ht="30" outlineLevel="1" spans="1:7">
      <c r="A40" s="73"/>
      <c r="B40" s="107" t="s">
        <v>466</v>
      </c>
      <c r="C40" s="106" t="s">
        <v>467</v>
      </c>
      <c r="D40" s="106" t="s">
        <v>468</v>
      </c>
      <c r="E40" s="108" t="s">
        <v>469</v>
      </c>
      <c r="F40" s="73" t="s">
        <v>367</v>
      </c>
      <c r="G40" s="48"/>
    </row>
    <row r="41" s="39" customFormat="1" ht="30" outlineLevel="1" spans="1:7">
      <c r="A41" s="73"/>
      <c r="B41" s="107" t="s">
        <v>470</v>
      </c>
      <c r="C41" s="106" t="s">
        <v>471</v>
      </c>
      <c r="D41" s="106" t="s">
        <v>472</v>
      </c>
      <c r="E41" s="108" t="s">
        <v>473</v>
      </c>
      <c r="F41" s="73"/>
      <c r="G41" s="48"/>
    </row>
    <row r="42" s="39" customFormat="1" outlineLevel="1" spans="1:7">
      <c r="A42" s="73"/>
      <c r="B42" s="107" t="s">
        <v>474</v>
      </c>
      <c r="C42" s="106" t="s">
        <v>475</v>
      </c>
      <c r="D42" s="106" t="s">
        <v>476</v>
      </c>
      <c r="E42" s="108" t="s">
        <v>477</v>
      </c>
      <c r="F42" s="73" t="s">
        <v>478</v>
      </c>
      <c r="G42" s="48"/>
    </row>
    <row r="43" s="39" customFormat="1" ht="61.5" outlineLevel="1" spans="1:7">
      <c r="A43" s="73"/>
      <c r="B43" s="107" t="s">
        <v>479</v>
      </c>
      <c r="C43" s="106" t="s">
        <v>480</v>
      </c>
      <c r="D43" s="106" t="s">
        <v>481</v>
      </c>
      <c r="E43" s="108" t="s">
        <v>482</v>
      </c>
      <c r="F43" s="73" t="s">
        <v>407</v>
      </c>
      <c r="G43" s="48"/>
    </row>
    <row r="44" spans="1:7">
      <c r="A44" s="73"/>
      <c r="B44" s="107" t="s">
        <v>483</v>
      </c>
      <c r="C44" s="72" t="s">
        <v>484</v>
      </c>
      <c r="D44" s="106" t="s">
        <v>485</v>
      </c>
      <c r="E44" s="108" t="s">
        <v>422</v>
      </c>
      <c r="F44" s="72" t="s">
        <v>362</v>
      </c>
    </row>
    <row r="45" outlineLevel="1" spans="1:7">
      <c r="A45" s="72" t="s">
        <v>486</v>
      </c>
      <c r="B45" s="72" t="s">
        <v>51</v>
      </c>
      <c r="C45" s="72"/>
      <c r="D45" s="106"/>
      <c r="E45" s="108"/>
      <c r="F45" s="72"/>
    </row>
    <row r="46" outlineLevel="1" spans="1:7">
      <c r="A46" s="74"/>
      <c r="B46" s="72" t="s">
        <v>487</v>
      </c>
      <c r="C46" s="72" t="s">
        <v>488</v>
      </c>
      <c r="D46" s="106" t="s">
        <v>489</v>
      </c>
      <c r="E46" s="108" t="s">
        <v>490</v>
      </c>
      <c r="F46" s="74" t="s">
        <v>407</v>
      </c>
    </row>
    <row r="47" ht="135.75" outlineLevel="1" spans="1:7">
      <c r="A47" s="74"/>
      <c r="B47" s="72" t="s">
        <v>491</v>
      </c>
      <c r="C47" s="72" t="s">
        <v>492</v>
      </c>
      <c r="D47" s="106" t="s">
        <v>493</v>
      </c>
      <c r="E47" s="108" t="s">
        <v>494</v>
      </c>
      <c r="F47" s="74" t="s">
        <v>407</v>
      </c>
    </row>
    <row r="48" outlineLevel="1" spans="1:7">
      <c r="A48" s="74"/>
      <c r="B48" s="72" t="s">
        <v>495</v>
      </c>
      <c r="C48" s="72" t="s">
        <v>496</v>
      </c>
      <c r="D48" s="106" t="s">
        <v>497</v>
      </c>
      <c r="E48" s="108" t="s">
        <v>498</v>
      </c>
      <c r="F48" s="74" t="s">
        <v>499</v>
      </c>
    </row>
    <row r="49" outlineLevel="1" spans="1:6">
      <c r="A49" s="74"/>
      <c r="B49" s="72" t="s">
        <v>500</v>
      </c>
      <c r="C49" s="72" t="s">
        <v>501</v>
      </c>
      <c r="D49" s="106" t="s">
        <v>502</v>
      </c>
      <c r="E49" s="108" t="s">
        <v>503</v>
      </c>
      <c r="F49" s="74" t="s">
        <v>407</v>
      </c>
    </row>
    <row r="50" outlineLevel="1" spans="1:6">
      <c r="A50" s="74"/>
      <c r="B50" s="72" t="s">
        <v>504</v>
      </c>
      <c r="C50" s="72" t="s">
        <v>505</v>
      </c>
      <c r="D50" s="106" t="s">
        <v>506</v>
      </c>
      <c r="E50" s="108" t="s">
        <v>507</v>
      </c>
      <c r="F50" s="74" t="s">
        <v>367</v>
      </c>
    </row>
    <row r="51" outlineLevel="1" spans="1:6">
      <c r="A51" s="74"/>
      <c r="B51" s="72" t="s">
        <v>508</v>
      </c>
      <c r="C51" s="72" t="s">
        <v>509</v>
      </c>
      <c r="D51" s="106" t="s">
        <v>510</v>
      </c>
      <c r="E51" s="108" t="s">
        <v>511</v>
      </c>
      <c r="F51" s="74" t="s">
        <v>333</v>
      </c>
    </row>
    <row r="52" outlineLevel="1" spans="1:6">
      <c r="A52" s="74"/>
      <c r="B52" s="72" t="s">
        <v>512</v>
      </c>
      <c r="C52" s="72" t="s">
        <v>513</v>
      </c>
      <c r="D52" s="106" t="s">
        <v>514</v>
      </c>
      <c r="E52" s="108" t="s">
        <v>515</v>
      </c>
      <c r="F52" s="74" t="s">
        <v>367</v>
      </c>
    </row>
    <row r="53" outlineLevel="1" spans="1:6">
      <c r="A53" s="74"/>
      <c r="B53" s="72" t="s">
        <v>516</v>
      </c>
      <c r="C53" s="72" t="s">
        <v>517</v>
      </c>
      <c r="D53" s="106" t="s">
        <v>518</v>
      </c>
      <c r="E53" s="108" t="s">
        <v>519</v>
      </c>
      <c r="F53" s="74" t="s">
        <v>520</v>
      </c>
    </row>
    <row r="54" ht="31.5" outlineLevel="1" spans="1:6">
      <c r="A54" s="74"/>
      <c r="B54" s="72" t="s">
        <v>521</v>
      </c>
      <c r="C54" s="72" t="s">
        <v>522</v>
      </c>
      <c r="D54" s="106" t="s">
        <v>523</v>
      </c>
      <c r="E54" s="108" t="s">
        <v>524</v>
      </c>
      <c r="F54" s="74" t="s">
        <v>407</v>
      </c>
    </row>
    <row r="55" ht="31.5" outlineLevel="1" spans="1:6">
      <c r="A55" s="74"/>
      <c r="B55" s="72" t="s">
        <v>525</v>
      </c>
      <c r="C55" s="72" t="s">
        <v>526</v>
      </c>
      <c r="D55" s="106" t="s">
        <v>527</v>
      </c>
      <c r="E55" s="108" t="s">
        <v>528</v>
      </c>
      <c r="F55" s="74" t="s">
        <v>407</v>
      </c>
    </row>
    <row r="56" outlineLevel="1" spans="1:6">
      <c r="A56" s="74"/>
      <c r="B56" s="72" t="s">
        <v>529</v>
      </c>
      <c r="C56" s="72" t="s">
        <v>530</v>
      </c>
      <c r="D56" s="106" t="s">
        <v>531</v>
      </c>
      <c r="E56" s="108" t="s">
        <v>532</v>
      </c>
      <c r="F56" s="74" t="s">
        <v>396</v>
      </c>
    </row>
    <row r="57" ht="30" outlineLevel="1" spans="1:6">
      <c r="A57" s="74"/>
      <c r="B57" s="72" t="s">
        <v>533</v>
      </c>
      <c r="C57" s="72" t="s">
        <v>534</v>
      </c>
      <c r="D57" s="106" t="s">
        <v>535</v>
      </c>
      <c r="E57" s="108" t="s">
        <v>536</v>
      </c>
      <c r="F57" s="74" t="s">
        <v>407</v>
      </c>
    </row>
    <row r="58" outlineLevel="1" spans="1:6">
      <c r="A58" s="74"/>
      <c r="B58" s="72" t="s">
        <v>537</v>
      </c>
      <c r="C58" s="72" t="s">
        <v>538</v>
      </c>
      <c r="D58" s="106" t="s">
        <v>539</v>
      </c>
      <c r="E58" s="108" t="s">
        <v>540</v>
      </c>
      <c r="F58" s="74" t="s">
        <v>541</v>
      </c>
    </row>
    <row r="59" ht="31.5" outlineLevel="1" spans="1:6">
      <c r="A59" s="74"/>
      <c r="B59" s="72" t="s">
        <v>542</v>
      </c>
      <c r="C59" s="72" t="s">
        <v>543</v>
      </c>
      <c r="D59" s="106" t="s">
        <v>544</v>
      </c>
      <c r="E59" s="69" t="s">
        <v>545</v>
      </c>
      <c r="F59" s="74" t="s">
        <v>520</v>
      </c>
    </row>
    <row r="60" outlineLevel="1" spans="1:6">
      <c r="A60" s="74"/>
      <c r="B60" s="72" t="s">
        <v>546</v>
      </c>
      <c r="C60" s="72" t="s">
        <v>547</v>
      </c>
      <c r="D60" s="106" t="s">
        <v>548</v>
      </c>
      <c r="E60" s="108" t="s">
        <v>549</v>
      </c>
      <c r="F60" s="74" t="s">
        <v>550</v>
      </c>
    </row>
    <row r="61" ht="31.5" outlineLevel="1" spans="1:6">
      <c r="A61" s="74"/>
      <c r="B61" s="72" t="s">
        <v>551</v>
      </c>
      <c r="C61" s="72" t="s">
        <v>552</v>
      </c>
      <c r="D61" s="106" t="s">
        <v>553</v>
      </c>
      <c r="E61" s="108" t="s">
        <v>554</v>
      </c>
      <c r="F61" s="74" t="s">
        <v>478</v>
      </c>
    </row>
    <row r="62" ht="31.5" outlineLevel="1" spans="1:6">
      <c r="A62" s="74"/>
      <c r="B62" s="72" t="s">
        <v>555</v>
      </c>
      <c r="C62" s="72" t="s">
        <v>556</v>
      </c>
      <c r="D62" s="106" t="s">
        <v>557</v>
      </c>
      <c r="E62" s="108" t="s">
        <v>558</v>
      </c>
      <c r="F62" s="74" t="s">
        <v>367</v>
      </c>
    </row>
    <row r="63" ht="72.75" outlineLevel="1" spans="1:6">
      <c r="A63" s="74"/>
      <c r="B63" s="72" t="s">
        <v>559</v>
      </c>
      <c r="C63" s="72" t="s">
        <v>560</v>
      </c>
      <c r="D63" s="106" t="s">
        <v>561</v>
      </c>
      <c r="E63" s="108" t="s">
        <v>562</v>
      </c>
      <c r="F63" s="74" t="s">
        <v>563</v>
      </c>
    </row>
    <row r="64" ht="313.5" outlineLevel="1" spans="1:6">
      <c r="A64" s="74"/>
      <c r="B64" s="72" t="s">
        <v>564</v>
      </c>
      <c r="C64" s="72" t="s">
        <v>565</v>
      </c>
      <c r="D64" s="106" t="s">
        <v>561</v>
      </c>
      <c r="E64" s="108" t="s">
        <v>566</v>
      </c>
      <c r="F64" s="74" t="s">
        <v>563</v>
      </c>
    </row>
    <row r="65" ht="141.75" outlineLevel="1" spans="1:7">
      <c r="A65" s="74"/>
      <c r="B65" s="72" t="s">
        <v>567</v>
      </c>
      <c r="C65" s="72" t="s">
        <v>568</v>
      </c>
      <c r="D65" s="106" t="s">
        <v>569</v>
      </c>
      <c r="E65" s="108" t="s">
        <v>570</v>
      </c>
      <c r="F65" s="74" t="s">
        <v>563</v>
      </c>
    </row>
    <row r="66" outlineLevel="1" spans="1:7">
      <c r="A66" s="74"/>
      <c r="B66" s="72" t="s">
        <v>571</v>
      </c>
      <c r="C66" s="72" t="s">
        <v>572</v>
      </c>
      <c r="D66" s="106" t="s">
        <v>573</v>
      </c>
      <c r="E66" s="108" t="s">
        <v>574</v>
      </c>
      <c r="F66" s="74" t="s">
        <v>407</v>
      </c>
    </row>
    <row r="67" ht="60" outlineLevel="1" spans="1:7">
      <c r="A67" s="74"/>
      <c r="B67" s="72" t="s">
        <v>575</v>
      </c>
      <c r="C67" s="72" t="s">
        <v>576</v>
      </c>
      <c r="D67" s="106" t="s">
        <v>577</v>
      </c>
      <c r="E67" s="108" t="s">
        <v>578</v>
      </c>
      <c r="F67" s="74" t="s">
        <v>367</v>
      </c>
    </row>
    <row r="68" ht="31.5" spans="1:7">
      <c r="A68" s="74"/>
      <c r="B68" s="72" t="s">
        <v>579</v>
      </c>
      <c r="C68" s="72" t="s">
        <v>580</v>
      </c>
      <c r="D68" s="106" t="s">
        <v>581</v>
      </c>
      <c r="E68" s="108" t="s">
        <v>582</v>
      </c>
      <c r="F68" s="74" t="s">
        <v>407</v>
      </c>
    </row>
    <row r="69" ht="31.5" outlineLevel="1" spans="1:7">
      <c r="A69" s="74"/>
      <c r="B69" s="72" t="s">
        <v>583</v>
      </c>
      <c r="C69" s="72" t="s">
        <v>584</v>
      </c>
      <c r="D69" s="106" t="s">
        <v>585</v>
      </c>
      <c r="E69" s="108" t="s">
        <v>586</v>
      </c>
      <c r="F69" s="74" t="s">
        <v>407</v>
      </c>
    </row>
    <row r="70" ht="30" spans="1:7">
      <c r="A70" s="74"/>
      <c r="B70" s="72" t="s">
        <v>587</v>
      </c>
      <c r="C70" s="72" t="s">
        <v>588</v>
      </c>
      <c r="D70" s="72" t="s">
        <v>589</v>
      </c>
      <c r="E70" s="108" t="s">
        <v>590</v>
      </c>
      <c r="F70" s="74" t="s">
        <v>367</v>
      </c>
    </row>
    <row r="71" spans="1:7">
      <c r="A71" s="74"/>
      <c r="B71" s="72" t="s">
        <v>591</v>
      </c>
      <c r="C71" s="72" t="s">
        <v>592</v>
      </c>
      <c r="D71" s="72" t="s">
        <v>593</v>
      </c>
      <c r="E71" s="108" t="s">
        <v>594</v>
      </c>
      <c r="F71" s="74" t="s">
        <v>407</v>
      </c>
    </row>
    <row r="72" s="39" customFormat="1" ht="60" spans="1:7">
      <c r="A72" s="73"/>
      <c r="B72" s="72" t="s">
        <v>595</v>
      </c>
      <c r="C72" s="106" t="s">
        <v>596</v>
      </c>
      <c r="D72" s="106" t="s">
        <v>597</v>
      </c>
      <c r="E72" s="108" t="s">
        <v>598</v>
      </c>
      <c r="F72" s="74" t="s">
        <v>407</v>
      </c>
      <c r="G72" s="48"/>
    </row>
    <row r="73" s="39" customFormat="1" spans="1:7">
      <c r="A73" s="73"/>
      <c r="B73" s="72" t="s">
        <v>599</v>
      </c>
      <c r="C73" s="106" t="s">
        <v>600</v>
      </c>
      <c r="D73" s="106" t="s">
        <v>601</v>
      </c>
      <c r="E73" s="108" t="s">
        <v>602</v>
      </c>
      <c r="F73" s="74" t="s">
        <v>367</v>
      </c>
      <c r="G73" s="48"/>
    </row>
    <row r="74" outlineLevel="1" spans="1:7">
      <c r="A74" s="72" t="s">
        <v>603</v>
      </c>
      <c r="B74" s="72" t="s">
        <v>79</v>
      </c>
      <c r="C74" s="72"/>
      <c r="D74" s="106"/>
      <c r="E74" s="108"/>
      <c r="F74" s="72"/>
    </row>
    <row r="75" outlineLevel="1" spans="1:7">
      <c r="A75" s="74"/>
      <c r="B75" s="72" t="s">
        <v>604</v>
      </c>
      <c r="C75" s="72" t="s">
        <v>605</v>
      </c>
      <c r="D75" s="106" t="s">
        <v>606</v>
      </c>
      <c r="E75" s="108" t="s">
        <v>607</v>
      </c>
      <c r="F75" s="72" t="s">
        <v>407</v>
      </c>
    </row>
    <row r="76" ht="31.5" outlineLevel="1" spans="1:7">
      <c r="A76" s="74"/>
      <c r="B76" s="72" t="s">
        <v>608</v>
      </c>
      <c r="C76" s="72" t="s">
        <v>609</v>
      </c>
      <c r="D76" s="106" t="s">
        <v>610</v>
      </c>
      <c r="E76" s="108" t="s">
        <v>611</v>
      </c>
      <c r="F76" s="72" t="s">
        <v>407</v>
      </c>
    </row>
    <row r="77" ht="31.5" outlineLevel="1" spans="1:7">
      <c r="A77" s="74"/>
      <c r="B77" s="72" t="s">
        <v>612</v>
      </c>
      <c r="C77" s="72" t="s">
        <v>613</v>
      </c>
      <c r="D77" s="106" t="s">
        <v>614</v>
      </c>
      <c r="E77" s="108" t="s">
        <v>615</v>
      </c>
      <c r="F77" s="74" t="s">
        <v>563</v>
      </c>
    </row>
    <row r="78" ht="31.5" outlineLevel="1" spans="1:7">
      <c r="A78" s="74"/>
      <c r="B78" s="72" t="s">
        <v>616</v>
      </c>
      <c r="C78" s="72" t="s">
        <v>617</v>
      </c>
      <c r="D78" s="106" t="s">
        <v>618</v>
      </c>
      <c r="E78" s="108" t="s">
        <v>619</v>
      </c>
      <c r="F78" s="74" t="s">
        <v>550</v>
      </c>
    </row>
    <row r="79" outlineLevel="1" spans="1:7">
      <c r="A79" s="74"/>
      <c r="B79" s="72" t="s">
        <v>620</v>
      </c>
      <c r="C79" s="72" t="s">
        <v>621</v>
      </c>
      <c r="D79" s="106" t="s">
        <v>622</v>
      </c>
      <c r="E79" s="108" t="s">
        <v>623</v>
      </c>
      <c r="F79" s="74" t="s">
        <v>367</v>
      </c>
    </row>
    <row r="80" ht="267.75" outlineLevel="1" spans="1:7">
      <c r="A80" s="74"/>
      <c r="B80" s="72" t="s">
        <v>624</v>
      </c>
      <c r="C80" s="72" t="s">
        <v>625</v>
      </c>
      <c r="D80" s="106" t="s">
        <v>626</v>
      </c>
      <c r="E80" s="108" t="s">
        <v>627</v>
      </c>
      <c r="F80" s="74" t="s">
        <v>563</v>
      </c>
    </row>
    <row r="81" outlineLevel="1" spans="1:6">
      <c r="A81" s="74"/>
      <c r="B81" s="72" t="s">
        <v>628</v>
      </c>
      <c r="C81" s="72" t="s">
        <v>629</v>
      </c>
      <c r="D81" s="106" t="s">
        <v>630</v>
      </c>
      <c r="E81" s="108" t="s">
        <v>631</v>
      </c>
      <c r="F81" s="74" t="s">
        <v>632</v>
      </c>
    </row>
    <row r="82" outlineLevel="1" spans="1:6">
      <c r="A82" s="74"/>
      <c r="B82" s="72" t="s">
        <v>633</v>
      </c>
      <c r="C82" s="72" t="s">
        <v>634</v>
      </c>
      <c r="D82" s="106" t="s">
        <v>635</v>
      </c>
      <c r="E82" s="108" t="s">
        <v>636</v>
      </c>
      <c r="F82" s="74" t="s">
        <v>338</v>
      </c>
    </row>
    <row r="83" ht="31.5" outlineLevel="1" spans="1:6">
      <c r="A83" s="74"/>
      <c r="B83" s="72" t="s">
        <v>637</v>
      </c>
      <c r="C83" s="72" t="s">
        <v>638</v>
      </c>
      <c r="D83" s="106" t="s">
        <v>639</v>
      </c>
      <c r="E83" s="108" t="s">
        <v>640</v>
      </c>
      <c r="F83" s="74" t="s">
        <v>338</v>
      </c>
    </row>
    <row r="84" ht="31.5" outlineLevel="1" spans="1:6">
      <c r="A84" s="74"/>
      <c r="B84" s="72" t="s">
        <v>641</v>
      </c>
      <c r="C84" s="72" t="s">
        <v>642</v>
      </c>
      <c r="D84" s="106" t="s">
        <v>643</v>
      </c>
      <c r="E84" s="108" t="s">
        <v>644</v>
      </c>
      <c r="F84" s="72" t="s">
        <v>333</v>
      </c>
    </row>
    <row r="85" ht="58.5" outlineLevel="1" spans="1:6">
      <c r="A85" s="74"/>
      <c r="B85" s="72" t="s">
        <v>645</v>
      </c>
      <c r="C85" s="72" t="s">
        <v>646</v>
      </c>
      <c r="D85" s="106" t="s">
        <v>647</v>
      </c>
      <c r="E85" s="114" t="s">
        <v>648</v>
      </c>
      <c r="F85" s="74" t="s">
        <v>328</v>
      </c>
    </row>
    <row r="86" ht="28.5" outlineLevel="1" spans="1:6">
      <c r="A86" s="74"/>
      <c r="B86" s="72" t="s">
        <v>649</v>
      </c>
      <c r="C86" s="72" t="s">
        <v>650</v>
      </c>
      <c r="D86" s="106" t="s">
        <v>651</v>
      </c>
      <c r="E86" s="108" t="s">
        <v>652</v>
      </c>
      <c r="F86" s="74" t="s">
        <v>407</v>
      </c>
    </row>
    <row r="87" ht="31.5" outlineLevel="1" spans="1:6">
      <c r="A87" s="74"/>
      <c r="B87" s="72" t="s">
        <v>653</v>
      </c>
      <c r="C87" s="72" t="s">
        <v>654</v>
      </c>
      <c r="D87" s="106" t="s">
        <v>655</v>
      </c>
      <c r="E87" s="108" t="s">
        <v>656</v>
      </c>
      <c r="F87" s="74" t="s">
        <v>367</v>
      </c>
    </row>
    <row r="88" ht="47.25" outlineLevel="1" spans="1:6">
      <c r="A88" s="74"/>
      <c r="B88" s="72" t="s">
        <v>657</v>
      </c>
      <c r="C88" s="72" t="s">
        <v>658</v>
      </c>
      <c r="D88" s="106" t="s">
        <v>659</v>
      </c>
      <c r="E88" s="108" t="s">
        <v>660</v>
      </c>
      <c r="F88" s="74" t="s">
        <v>632</v>
      </c>
    </row>
    <row r="89" ht="45.75" outlineLevel="1" spans="1:6">
      <c r="A89" s="74"/>
      <c r="B89" s="72" t="s">
        <v>661</v>
      </c>
      <c r="C89" s="72" t="s">
        <v>662</v>
      </c>
      <c r="D89" s="106" t="s">
        <v>663</v>
      </c>
      <c r="E89" s="108" t="s">
        <v>664</v>
      </c>
      <c r="F89" s="74" t="s">
        <v>407</v>
      </c>
    </row>
    <row r="90" outlineLevel="1" spans="1:6">
      <c r="A90" s="74"/>
      <c r="B90" s="72" t="s">
        <v>665</v>
      </c>
      <c r="C90" s="72" t="s">
        <v>666</v>
      </c>
      <c r="D90" s="106" t="s">
        <v>667</v>
      </c>
      <c r="E90" s="108" t="s">
        <v>668</v>
      </c>
      <c r="F90" s="74" t="s">
        <v>338</v>
      </c>
    </row>
    <row r="91" outlineLevel="1" spans="1:6">
      <c r="A91" s="74"/>
      <c r="B91" s="72" t="s">
        <v>669</v>
      </c>
      <c r="C91" s="72" t="s">
        <v>670</v>
      </c>
      <c r="D91" s="106" t="s">
        <v>671</v>
      </c>
      <c r="E91" s="108" t="s">
        <v>672</v>
      </c>
      <c r="F91" s="74" t="s">
        <v>452</v>
      </c>
    </row>
    <row r="92" ht="30" outlineLevel="1" spans="1:6">
      <c r="A92" s="74"/>
      <c r="B92" s="72" t="s">
        <v>673</v>
      </c>
      <c r="C92" s="72" t="s">
        <v>674</v>
      </c>
      <c r="D92" s="106" t="s">
        <v>675</v>
      </c>
      <c r="E92" s="108" t="s">
        <v>676</v>
      </c>
      <c r="F92" s="74" t="s">
        <v>407</v>
      </c>
    </row>
    <row r="93" outlineLevel="1" spans="1:6">
      <c r="A93" s="74"/>
      <c r="B93" s="72" t="s">
        <v>677</v>
      </c>
      <c r="C93" s="72" t="s">
        <v>678</v>
      </c>
      <c r="D93" s="106" t="s">
        <v>679</v>
      </c>
      <c r="E93" s="108" t="s">
        <v>680</v>
      </c>
      <c r="F93" s="74" t="s">
        <v>681</v>
      </c>
    </row>
    <row r="94" outlineLevel="1" spans="1:6">
      <c r="A94" s="74"/>
      <c r="B94" s="72" t="s">
        <v>682</v>
      </c>
      <c r="C94" s="72" t="s">
        <v>683</v>
      </c>
      <c r="D94" s="106" t="s">
        <v>684</v>
      </c>
      <c r="E94" s="108" t="s">
        <v>685</v>
      </c>
      <c r="F94" s="74" t="s">
        <v>681</v>
      </c>
    </row>
    <row r="95" outlineLevel="1" spans="1:6">
      <c r="A95" s="74"/>
      <c r="B95" s="72" t="s">
        <v>686</v>
      </c>
      <c r="C95" s="72" t="s">
        <v>687</v>
      </c>
      <c r="D95" s="106" t="s">
        <v>688</v>
      </c>
      <c r="E95" s="108" t="s">
        <v>689</v>
      </c>
      <c r="F95" s="74" t="s">
        <v>681</v>
      </c>
    </row>
    <row r="96" ht="31.5" outlineLevel="1" spans="1:6">
      <c r="A96" s="74"/>
      <c r="B96" s="72" t="s">
        <v>690</v>
      </c>
      <c r="C96" s="72" t="s">
        <v>691</v>
      </c>
      <c r="D96" s="106" t="s">
        <v>692</v>
      </c>
      <c r="E96" s="108" t="s">
        <v>693</v>
      </c>
      <c r="F96" s="74" t="s">
        <v>353</v>
      </c>
    </row>
    <row r="97" ht="31.5" outlineLevel="1" spans="1:7">
      <c r="A97" s="74"/>
      <c r="B97" s="72" t="s">
        <v>694</v>
      </c>
      <c r="C97" s="72" t="s">
        <v>695</v>
      </c>
      <c r="D97" s="106" t="s">
        <v>696</v>
      </c>
      <c r="E97" s="108" t="s">
        <v>697</v>
      </c>
      <c r="F97" s="74" t="s">
        <v>698</v>
      </c>
    </row>
    <row r="98" outlineLevel="1" spans="1:7">
      <c r="A98" s="74"/>
      <c r="B98" s="72" t="s">
        <v>699</v>
      </c>
      <c r="C98" s="72" t="s">
        <v>700</v>
      </c>
      <c r="D98" s="106" t="s">
        <v>701</v>
      </c>
      <c r="E98" s="108" t="s">
        <v>702</v>
      </c>
      <c r="F98" s="74" t="s">
        <v>333</v>
      </c>
    </row>
    <row r="99" ht="42.75" outlineLevel="1" spans="1:7">
      <c r="A99" s="74"/>
      <c r="B99" s="72" t="s">
        <v>703</v>
      </c>
      <c r="C99" s="115" t="s">
        <v>704</v>
      </c>
      <c r="D99" s="106" t="s">
        <v>705</v>
      </c>
      <c r="E99" s="108" t="s">
        <v>706</v>
      </c>
      <c r="F99" s="74" t="s">
        <v>407</v>
      </c>
    </row>
    <row r="100" outlineLevel="1" spans="1:7">
      <c r="A100" s="72" t="s">
        <v>707</v>
      </c>
      <c r="B100" s="72" t="s">
        <v>93</v>
      </c>
      <c r="C100" s="72"/>
      <c r="D100" s="106"/>
      <c r="E100" s="108"/>
      <c r="F100" s="72"/>
    </row>
    <row r="101" ht="30" outlineLevel="1" spans="1:7">
      <c r="A101" s="74"/>
      <c r="B101" s="72" t="s">
        <v>708</v>
      </c>
      <c r="C101" s="72" t="s">
        <v>709</v>
      </c>
      <c r="D101" s="106" t="s">
        <v>710</v>
      </c>
      <c r="E101" s="108" t="s">
        <v>711</v>
      </c>
      <c r="F101" s="74" t="s">
        <v>681</v>
      </c>
    </row>
    <row r="102" ht="44.25" outlineLevel="1" spans="1:7">
      <c r="A102" s="74"/>
      <c r="B102" s="72" t="s">
        <v>712</v>
      </c>
      <c r="C102" s="72" t="s">
        <v>713</v>
      </c>
      <c r="D102" s="106" t="s">
        <v>714</v>
      </c>
      <c r="E102" s="108" t="s">
        <v>715</v>
      </c>
      <c r="F102" s="74" t="s">
        <v>407</v>
      </c>
    </row>
    <row r="103" ht="47.25" outlineLevel="1" spans="1:7">
      <c r="A103" s="74"/>
      <c r="B103" s="72" t="s">
        <v>716</v>
      </c>
      <c r="C103" s="72" t="s">
        <v>717</v>
      </c>
      <c r="D103" s="106" t="s">
        <v>718</v>
      </c>
      <c r="E103" s="108" t="s">
        <v>719</v>
      </c>
      <c r="F103" s="74" t="s">
        <v>407</v>
      </c>
    </row>
    <row r="104" outlineLevel="1" spans="1:7">
      <c r="A104" s="74"/>
      <c r="B104" s="72" t="s">
        <v>720</v>
      </c>
      <c r="C104" s="72" t="s">
        <v>721</v>
      </c>
      <c r="D104" s="106" t="s">
        <v>722</v>
      </c>
      <c r="E104" s="108" t="s">
        <v>723</v>
      </c>
      <c r="F104" s="74" t="s">
        <v>333</v>
      </c>
    </row>
    <row r="105" outlineLevel="1" spans="1:7">
      <c r="A105" s="74"/>
      <c r="B105" s="72" t="s">
        <v>724</v>
      </c>
      <c r="C105" s="72" t="s">
        <v>725</v>
      </c>
      <c r="D105" s="106" t="s">
        <v>726</v>
      </c>
      <c r="E105" s="108" t="s">
        <v>727</v>
      </c>
      <c r="F105" s="74" t="s">
        <v>362</v>
      </c>
    </row>
    <row r="106" outlineLevel="1" spans="1:7">
      <c r="A106" s="74"/>
      <c r="B106" s="72" t="s">
        <v>728</v>
      </c>
      <c r="C106" s="72" t="s">
        <v>729</v>
      </c>
      <c r="D106" s="106" t="s">
        <v>730</v>
      </c>
      <c r="E106" s="108" t="s">
        <v>731</v>
      </c>
      <c r="F106" s="74" t="s">
        <v>362</v>
      </c>
    </row>
    <row r="107" outlineLevel="1" spans="1:7">
      <c r="A107" s="74"/>
      <c r="B107" s="72" t="s">
        <v>732</v>
      </c>
      <c r="C107" s="72" t="s">
        <v>733</v>
      </c>
      <c r="D107" s="106" t="s">
        <v>734</v>
      </c>
      <c r="E107" s="108" t="s">
        <v>735</v>
      </c>
      <c r="F107" s="74" t="s">
        <v>736</v>
      </c>
    </row>
    <row r="108" ht="31.5" spans="1:7">
      <c r="A108" s="74"/>
      <c r="B108" s="72" t="s">
        <v>737</v>
      </c>
      <c r="C108" s="72" t="s">
        <v>738</v>
      </c>
      <c r="D108" s="106" t="s">
        <v>739</v>
      </c>
      <c r="E108" s="108" t="s">
        <v>740</v>
      </c>
      <c r="F108" s="74" t="s">
        <v>407</v>
      </c>
    </row>
    <row r="109" spans="1:7">
      <c r="A109" s="74"/>
      <c r="B109" s="72" t="s">
        <v>741</v>
      </c>
      <c r="C109" s="72" t="s">
        <v>742</v>
      </c>
      <c r="D109" s="106" t="s">
        <v>743</v>
      </c>
      <c r="E109" s="73" t="s">
        <v>400</v>
      </c>
      <c r="F109" s="74" t="s">
        <v>362</v>
      </c>
    </row>
    <row r="110" outlineLevel="1" spans="1:7">
      <c r="A110" s="72" t="s">
        <v>744</v>
      </c>
      <c r="B110" s="72" t="s">
        <v>143</v>
      </c>
      <c r="C110" s="72"/>
      <c r="D110" s="106"/>
      <c r="E110" s="108"/>
      <c r="F110" s="72"/>
    </row>
    <row r="111" outlineLevel="1" spans="1:7">
      <c r="A111" s="74"/>
      <c r="B111" s="72" t="s">
        <v>745</v>
      </c>
      <c r="C111" s="72" t="s">
        <v>746</v>
      </c>
      <c r="D111" s="106" t="s">
        <v>747</v>
      </c>
      <c r="E111" s="108" t="s">
        <v>748</v>
      </c>
      <c r="F111" s="74" t="s">
        <v>563</v>
      </c>
    </row>
    <row r="112" customFormat="1" outlineLevel="1" spans="1:7">
      <c r="A112" s="74"/>
      <c r="B112" s="72" t="s">
        <v>749</v>
      </c>
      <c r="C112" s="72" t="s">
        <v>750</v>
      </c>
      <c r="D112" s="106" t="s">
        <v>751</v>
      </c>
      <c r="E112" s="108" t="s">
        <v>752</v>
      </c>
      <c r="F112" s="74" t="s">
        <v>563</v>
      </c>
      <c r="G112" s="48"/>
    </row>
    <row r="113" ht="60" outlineLevel="1" spans="1:6">
      <c r="A113" s="74"/>
      <c r="B113" s="72" t="s">
        <v>753</v>
      </c>
      <c r="C113" s="72" t="s">
        <v>754</v>
      </c>
      <c r="D113" s="106" t="s">
        <v>755</v>
      </c>
      <c r="E113" s="108" t="s">
        <v>756</v>
      </c>
      <c r="F113" s="74" t="s">
        <v>396</v>
      </c>
    </row>
    <row r="114" ht="45.75" outlineLevel="1" spans="1:6">
      <c r="A114" s="74"/>
      <c r="B114" s="72" t="s">
        <v>757</v>
      </c>
      <c r="C114" s="72" t="s">
        <v>758</v>
      </c>
      <c r="D114" s="106" t="s">
        <v>759</v>
      </c>
      <c r="E114" s="108" t="s">
        <v>760</v>
      </c>
      <c r="F114" s="74" t="s">
        <v>343</v>
      </c>
    </row>
    <row r="115" ht="31.5" outlineLevel="1" spans="1:6">
      <c r="A115" s="74"/>
      <c r="B115" s="72" t="s">
        <v>761</v>
      </c>
      <c r="C115" s="72" t="s">
        <v>762</v>
      </c>
      <c r="D115" s="106" t="s">
        <v>763</v>
      </c>
      <c r="E115" s="108" t="s">
        <v>764</v>
      </c>
      <c r="F115" s="74" t="s">
        <v>367</v>
      </c>
    </row>
    <row r="116" outlineLevel="1" spans="1:6">
      <c r="A116" s="74"/>
      <c r="B116" s="72" t="s">
        <v>765</v>
      </c>
      <c r="C116" s="72" t="s">
        <v>766</v>
      </c>
      <c r="D116" s="106" t="s">
        <v>767</v>
      </c>
      <c r="E116" s="108" t="s">
        <v>768</v>
      </c>
      <c r="F116" s="74" t="s">
        <v>541</v>
      </c>
    </row>
    <row r="117" ht="124.5" outlineLevel="1" spans="1:6">
      <c r="A117" s="74"/>
      <c r="B117" s="72" t="s">
        <v>769</v>
      </c>
      <c r="C117" s="72" t="s">
        <v>770</v>
      </c>
      <c r="D117" s="106" t="s">
        <v>771</v>
      </c>
      <c r="E117" s="108" t="s">
        <v>772</v>
      </c>
      <c r="F117" s="74" t="s">
        <v>681</v>
      </c>
    </row>
    <row r="118" outlineLevel="1" spans="1:6">
      <c r="A118" s="74"/>
      <c r="B118" s="72" t="s">
        <v>773</v>
      </c>
      <c r="C118" s="72" t="s">
        <v>774</v>
      </c>
      <c r="D118" s="106" t="s">
        <v>775</v>
      </c>
      <c r="E118" s="108" t="s">
        <v>776</v>
      </c>
      <c r="F118" s="74" t="s">
        <v>563</v>
      </c>
    </row>
    <row r="119" ht="31.5" outlineLevel="1" spans="1:6">
      <c r="A119" s="74"/>
      <c r="B119" s="72" t="s">
        <v>777</v>
      </c>
      <c r="C119" s="72" t="s">
        <v>778</v>
      </c>
      <c r="D119" s="106" t="s">
        <v>779</v>
      </c>
      <c r="E119" s="108" t="s">
        <v>780</v>
      </c>
      <c r="F119" s="74" t="s">
        <v>407</v>
      </c>
    </row>
    <row r="120" outlineLevel="1" spans="1:6">
      <c r="A120" s="74"/>
      <c r="B120" s="72" t="s">
        <v>781</v>
      </c>
      <c r="C120" s="72" t="s">
        <v>782</v>
      </c>
      <c r="D120" s="106" t="s">
        <v>783</v>
      </c>
      <c r="E120" s="108" t="s">
        <v>422</v>
      </c>
      <c r="F120" s="74" t="s">
        <v>784</v>
      </c>
    </row>
    <row r="121" outlineLevel="1" spans="1:6">
      <c r="A121" s="74"/>
      <c r="B121" s="72" t="s">
        <v>785</v>
      </c>
      <c r="C121" s="72" t="s">
        <v>786</v>
      </c>
      <c r="D121" s="106" t="s">
        <v>787</v>
      </c>
      <c r="E121" s="108" t="s">
        <v>788</v>
      </c>
      <c r="F121" s="74" t="s">
        <v>784</v>
      </c>
    </row>
    <row r="122" outlineLevel="1" spans="1:6">
      <c r="A122" s="74"/>
      <c r="B122" s="72" t="s">
        <v>789</v>
      </c>
      <c r="C122" s="72" t="s">
        <v>790</v>
      </c>
      <c r="D122" s="106" t="s">
        <v>791</v>
      </c>
      <c r="E122" s="108" t="s">
        <v>422</v>
      </c>
      <c r="F122" s="74" t="s">
        <v>784</v>
      </c>
    </row>
    <row r="123" outlineLevel="1" spans="1:6">
      <c r="A123" s="74"/>
      <c r="B123" s="72" t="s">
        <v>792</v>
      </c>
      <c r="C123" s="72" t="s">
        <v>793</v>
      </c>
      <c r="D123" s="106" t="s">
        <v>794</v>
      </c>
      <c r="E123" s="108" t="s">
        <v>422</v>
      </c>
      <c r="F123" s="74" t="s">
        <v>396</v>
      </c>
    </row>
    <row r="124" outlineLevel="1" spans="1:6">
      <c r="A124" s="74"/>
      <c r="B124" s="72" t="s">
        <v>795</v>
      </c>
      <c r="C124" s="72" t="s">
        <v>796</v>
      </c>
      <c r="D124" s="106" t="s">
        <v>797</v>
      </c>
      <c r="E124" s="108" t="s">
        <v>798</v>
      </c>
      <c r="F124" s="74" t="s">
        <v>407</v>
      </c>
    </row>
    <row r="125" outlineLevel="1" spans="1:6">
      <c r="A125" s="74"/>
      <c r="B125" s="72" t="s">
        <v>799</v>
      </c>
      <c r="C125" s="72" t="s">
        <v>800</v>
      </c>
      <c r="D125" s="106" t="s">
        <v>801</v>
      </c>
      <c r="E125" s="108" t="s">
        <v>802</v>
      </c>
      <c r="F125" s="74" t="s">
        <v>784</v>
      </c>
    </row>
    <row r="126" outlineLevel="1" spans="1:6">
      <c r="A126" s="74"/>
      <c r="B126" s="72" t="s">
        <v>803</v>
      </c>
      <c r="C126" s="72" t="s">
        <v>804</v>
      </c>
      <c r="D126" s="106" t="s">
        <v>805</v>
      </c>
      <c r="E126" s="108" t="s">
        <v>806</v>
      </c>
      <c r="F126" s="74" t="s">
        <v>367</v>
      </c>
    </row>
    <row r="127" ht="72.75" outlineLevel="1" spans="1:6">
      <c r="A127" s="74"/>
      <c r="B127" s="72" t="s">
        <v>807</v>
      </c>
      <c r="C127" s="72" t="s">
        <v>808</v>
      </c>
      <c r="D127" s="106" t="s">
        <v>809</v>
      </c>
      <c r="E127" s="108" t="s">
        <v>810</v>
      </c>
      <c r="F127" s="74" t="s">
        <v>784</v>
      </c>
    </row>
    <row r="128" outlineLevel="1" spans="1:6">
      <c r="A128" s="74"/>
      <c r="B128" s="72" t="s">
        <v>811</v>
      </c>
      <c r="C128" s="72" t="s">
        <v>812</v>
      </c>
      <c r="D128" s="106" t="s">
        <v>813</v>
      </c>
      <c r="E128" s="108" t="s">
        <v>814</v>
      </c>
      <c r="F128" s="74" t="s">
        <v>367</v>
      </c>
    </row>
    <row r="129" outlineLevel="1" spans="1:6">
      <c r="A129" s="74"/>
      <c r="B129" s="72" t="s">
        <v>815</v>
      </c>
      <c r="C129" s="72" t="s">
        <v>816</v>
      </c>
      <c r="D129" s="106" t="s">
        <v>817</v>
      </c>
      <c r="E129" s="108" t="s">
        <v>818</v>
      </c>
      <c r="F129" s="74" t="s">
        <v>367</v>
      </c>
    </row>
    <row r="130" ht="30" outlineLevel="1" spans="1:6">
      <c r="A130" s="74"/>
      <c r="B130" s="72" t="s">
        <v>819</v>
      </c>
      <c r="C130" s="72" t="s">
        <v>820</v>
      </c>
      <c r="D130" s="106" t="s">
        <v>821</v>
      </c>
      <c r="E130" s="108" t="s">
        <v>822</v>
      </c>
      <c r="F130" s="74" t="s">
        <v>407</v>
      </c>
    </row>
    <row r="131" outlineLevel="1" spans="1:6">
      <c r="A131" s="74"/>
      <c r="B131" s="72" t="s">
        <v>823</v>
      </c>
      <c r="C131" s="72" t="s">
        <v>824</v>
      </c>
      <c r="D131" s="106" t="s">
        <v>825</v>
      </c>
      <c r="E131" s="108" t="s">
        <v>826</v>
      </c>
      <c r="F131" s="74" t="s">
        <v>550</v>
      </c>
    </row>
    <row r="132" outlineLevel="1" spans="1:6">
      <c r="A132" s="74"/>
      <c r="B132" s="72" t="s">
        <v>827</v>
      </c>
      <c r="C132" s="72" t="s">
        <v>828</v>
      </c>
      <c r="D132" s="106" t="s">
        <v>829</v>
      </c>
      <c r="E132" s="108" t="s">
        <v>830</v>
      </c>
      <c r="F132" s="74" t="s">
        <v>550</v>
      </c>
    </row>
    <row r="133" ht="31.5" outlineLevel="1" spans="1:6">
      <c r="A133" s="74"/>
      <c r="B133" s="72" t="s">
        <v>831</v>
      </c>
      <c r="C133" s="72" t="s">
        <v>832</v>
      </c>
      <c r="D133" s="106" t="s">
        <v>833</v>
      </c>
      <c r="E133" s="108" t="s">
        <v>834</v>
      </c>
      <c r="F133" s="74" t="s">
        <v>367</v>
      </c>
    </row>
    <row r="134" ht="31.5" outlineLevel="1" spans="1:6">
      <c r="A134" s="74"/>
      <c r="B134" s="72" t="s">
        <v>835</v>
      </c>
      <c r="C134" s="72" t="s">
        <v>836</v>
      </c>
      <c r="D134" s="106" t="s">
        <v>837</v>
      </c>
      <c r="E134" s="108" t="s">
        <v>838</v>
      </c>
      <c r="F134" s="74" t="s">
        <v>407</v>
      </c>
    </row>
    <row r="135" ht="31.5" outlineLevel="1" spans="1:6">
      <c r="A135" s="74"/>
      <c r="B135" s="72" t="s">
        <v>839</v>
      </c>
      <c r="C135" s="72" t="s">
        <v>840</v>
      </c>
      <c r="D135" s="106" t="s">
        <v>841</v>
      </c>
      <c r="E135" s="108" t="s">
        <v>842</v>
      </c>
      <c r="F135" s="74" t="s">
        <v>367</v>
      </c>
    </row>
    <row r="136" ht="31.5" outlineLevel="1" spans="1:6">
      <c r="A136" s="74"/>
      <c r="B136" s="72" t="s">
        <v>843</v>
      </c>
      <c r="C136" s="72" t="s">
        <v>844</v>
      </c>
      <c r="D136" s="106" t="s">
        <v>845</v>
      </c>
      <c r="E136" s="108" t="s">
        <v>846</v>
      </c>
      <c r="F136" s="74" t="s">
        <v>407</v>
      </c>
    </row>
    <row r="137" outlineLevel="1" spans="1:6">
      <c r="A137" s="74"/>
      <c r="B137" s="72" t="s">
        <v>847</v>
      </c>
      <c r="C137" s="72" t="s">
        <v>848</v>
      </c>
      <c r="D137" s="106" t="s">
        <v>849</v>
      </c>
      <c r="E137" s="108" t="s">
        <v>850</v>
      </c>
      <c r="F137" s="74" t="s">
        <v>367</v>
      </c>
    </row>
    <row r="138" outlineLevel="1" spans="1:6">
      <c r="A138" s="74"/>
      <c r="B138" s="72" t="s">
        <v>851</v>
      </c>
      <c r="C138" s="72" t="s">
        <v>852</v>
      </c>
      <c r="D138" s="106" t="s">
        <v>853</v>
      </c>
      <c r="E138" s="108" t="s">
        <v>854</v>
      </c>
      <c r="F138" s="74" t="s">
        <v>353</v>
      </c>
    </row>
    <row r="139" outlineLevel="1" spans="1:6">
      <c r="A139" s="74"/>
      <c r="B139" s="72" t="s">
        <v>855</v>
      </c>
      <c r="C139" s="72" t="s">
        <v>856</v>
      </c>
      <c r="D139" s="106" t="s">
        <v>857</v>
      </c>
      <c r="E139" s="108" t="s">
        <v>858</v>
      </c>
      <c r="F139" s="74" t="s">
        <v>353</v>
      </c>
    </row>
    <row r="140" outlineLevel="1" spans="1:6">
      <c r="A140" s="74"/>
      <c r="B140" s="72" t="s">
        <v>859</v>
      </c>
      <c r="C140" s="72" t="s">
        <v>860</v>
      </c>
      <c r="D140" s="106" t="s">
        <v>861</v>
      </c>
      <c r="E140" s="108" t="s">
        <v>862</v>
      </c>
      <c r="F140" s="74" t="s">
        <v>407</v>
      </c>
    </row>
    <row r="141" outlineLevel="1" spans="1:6">
      <c r="A141" s="74"/>
      <c r="B141" s="72" t="s">
        <v>863</v>
      </c>
      <c r="C141" s="72" t="s">
        <v>864</v>
      </c>
      <c r="D141" s="106" t="s">
        <v>865</v>
      </c>
      <c r="E141" s="108" t="s">
        <v>866</v>
      </c>
      <c r="F141" s="74" t="s">
        <v>541</v>
      </c>
    </row>
    <row r="142" ht="108.75" outlineLevel="1" spans="1:6">
      <c r="A142" s="74"/>
      <c r="B142" s="72" t="s">
        <v>867</v>
      </c>
      <c r="C142" s="72" t="s">
        <v>868</v>
      </c>
      <c r="D142" s="106" t="s">
        <v>869</v>
      </c>
      <c r="E142" s="108" t="s">
        <v>870</v>
      </c>
      <c r="F142" s="74" t="s">
        <v>407</v>
      </c>
    </row>
    <row r="143" outlineLevel="1" spans="1:6">
      <c r="A143" s="74"/>
      <c r="B143" s="72" t="s">
        <v>871</v>
      </c>
      <c r="C143" s="72" t="s">
        <v>872</v>
      </c>
      <c r="D143" s="106" t="s">
        <v>873</v>
      </c>
      <c r="E143" s="108" t="s">
        <v>874</v>
      </c>
      <c r="F143" s="74" t="s">
        <v>563</v>
      </c>
    </row>
    <row r="144" ht="42.75" outlineLevel="1" spans="1:6">
      <c r="A144" s="74"/>
      <c r="B144" s="72" t="s">
        <v>875</v>
      </c>
      <c r="C144" s="72" t="s">
        <v>876</v>
      </c>
      <c r="D144" s="106" t="s">
        <v>877</v>
      </c>
      <c r="E144" s="108" t="s">
        <v>878</v>
      </c>
      <c r="F144" s="72" t="s">
        <v>563</v>
      </c>
    </row>
    <row r="145" ht="31.5" outlineLevel="1" spans="1:6">
      <c r="A145" s="74"/>
      <c r="B145" s="72" t="s">
        <v>879</v>
      </c>
      <c r="C145" s="72" t="s">
        <v>880</v>
      </c>
      <c r="D145" s="106" t="s">
        <v>881</v>
      </c>
      <c r="E145" s="108" t="s">
        <v>882</v>
      </c>
      <c r="F145" s="72" t="s">
        <v>338</v>
      </c>
    </row>
    <row r="146" outlineLevel="1" spans="1:6">
      <c r="A146" s="74"/>
      <c r="B146" s="72" t="s">
        <v>883</v>
      </c>
      <c r="C146" s="72" t="s">
        <v>884</v>
      </c>
      <c r="D146" s="106" t="s">
        <v>885</v>
      </c>
      <c r="E146" s="108" t="s">
        <v>886</v>
      </c>
      <c r="F146" s="72" t="s">
        <v>407</v>
      </c>
    </row>
    <row r="147" ht="44.25" outlineLevel="1" spans="1:6">
      <c r="A147" s="110"/>
      <c r="B147" s="72" t="s">
        <v>887</v>
      </c>
      <c r="C147" s="72" t="s">
        <v>888</v>
      </c>
      <c r="D147" s="106" t="s">
        <v>889</v>
      </c>
      <c r="E147" s="108" t="s">
        <v>890</v>
      </c>
      <c r="F147" s="74" t="s">
        <v>367</v>
      </c>
    </row>
    <row r="148" ht="30" outlineLevel="1" spans="1:6">
      <c r="A148" s="74"/>
      <c r="B148" s="72" t="s">
        <v>891</v>
      </c>
      <c r="C148" s="110" t="s">
        <v>892</v>
      </c>
      <c r="D148" s="111" t="s">
        <v>893</v>
      </c>
      <c r="E148" s="112" t="s">
        <v>894</v>
      </c>
      <c r="F148" s="74" t="s">
        <v>367</v>
      </c>
    </row>
    <row r="149" outlineLevel="1" spans="1:6">
      <c r="A149" s="113"/>
      <c r="B149" s="72" t="s">
        <v>895</v>
      </c>
      <c r="C149" s="110" t="s">
        <v>896</v>
      </c>
      <c r="D149" s="111" t="s">
        <v>897</v>
      </c>
      <c r="E149" s="112" t="s">
        <v>898</v>
      </c>
      <c r="F149" s="74" t="s">
        <v>367</v>
      </c>
    </row>
    <row r="150" ht="31.5" outlineLevel="1" spans="1:6">
      <c r="A150" s="110"/>
      <c r="B150" s="72" t="s">
        <v>899</v>
      </c>
      <c r="C150" s="110" t="s">
        <v>900</v>
      </c>
      <c r="D150" s="111" t="s">
        <v>901</v>
      </c>
      <c r="E150" s="112" t="s">
        <v>902</v>
      </c>
      <c r="F150" s="72" t="s">
        <v>367</v>
      </c>
    </row>
    <row r="151" outlineLevel="1" spans="1:6">
      <c r="A151" s="110"/>
      <c r="B151" s="72" t="s">
        <v>903</v>
      </c>
      <c r="C151" s="110" t="s">
        <v>904</v>
      </c>
      <c r="D151" s="111" t="s">
        <v>905</v>
      </c>
      <c r="E151" s="112" t="s">
        <v>906</v>
      </c>
      <c r="F151" s="74" t="s">
        <v>632</v>
      </c>
    </row>
    <row r="152" ht="30" spans="1:6">
      <c r="A152" s="113"/>
      <c r="B152" s="72" t="s">
        <v>907</v>
      </c>
      <c r="C152" s="110" t="s">
        <v>908</v>
      </c>
      <c r="D152" s="111" t="s">
        <v>909</v>
      </c>
      <c r="E152" s="112" t="s">
        <v>910</v>
      </c>
      <c r="F152" s="72" t="s">
        <v>367</v>
      </c>
    </row>
    <row r="153" ht="31.5" spans="1:6">
      <c r="A153" s="113"/>
      <c r="B153" s="72" t="s">
        <v>911</v>
      </c>
      <c r="C153" s="110" t="s">
        <v>912</v>
      </c>
      <c r="D153" s="111" t="s">
        <v>913</v>
      </c>
      <c r="E153" s="112" t="s">
        <v>914</v>
      </c>
      <c r="F153" s="72" t="s">
        <v>367</v>
      </c>
    </row>
    <row r="154" ht="28.5" spans="1:6">
      <c r="A154" s="113"/>
      <c r="B154" s="72" t="s">
        <v>915</v>
      </c>
      <c r="C154" s="110" t="s">
        <v>916</v>
      </c>
      <c r="D154" s="110" t="s">
        <v>917</v>
      </c>
      <c r="E154" s="112" t="s">
        <v>918</v>
      </c>
      <c r="F154" s="106" t="s">
        <v>407</v>
      </c>
    </row>
    <row r="155" ht="31.5" spans="1:6">
      <c r="A155" s="113"/>
      <c r="B155" s="72" t="s">
        <v>919</v>
      </c>
      <c r="C155" s="110" t="s">
        <v>920</v>
      </c>
      <c r="D155" s="110" t="s">
        <v>921</v>
      </c>
      <c r="E155" s="112" t="s">
        <v>922</v>
      </c>
      <c r="F155" s="72" t="s">
        <v>407</v>
      </c>
    </row>
    <row r="156" spans="1:6">
      <c r="A156" s="113"/>
      <c r="B156" s="72" t="s">
        <v>923</v>
      </c>
      <c r="C156" s="110" t="s">
        <v>924</v>
      </c>
      <c r="D156" s="72" t="s">
        <v>925</v>
      </c>
      <c r="E156" s="112" t="s">
        <v>926</v>
      </c>
      <c r="F156" s="72" t="s">
        <v>367</v>
      </c>
    </row>
    <row r="157" ht="30" spans="1:6">
      <c r="A157" s="113"/>
      <c r="B157" s="72" t="s">
        <v>927</v>
      </c>
      <c r="C157" s="110" t="s">
        <v>928</v>
      </c>
      <c r="D157" s="110" t="s">
        <v>929</v>
      </c>
      <c r="E157" s="112" t="s">
        <v>930</v>
      </c>
      <c r="F157" s="72" t="s">
        <v>367</v>
      </c>
    </row>
    <row r="158" spans="1:6">
      <c r="A158" s="113"/>
      <c r="B158" s="72" t="s">
        <v>931</v>
      </c>
      <c r="C158" s="110" t="s">
        <v>932</v>
      </c>
      <c r="D158" s="110" t="s">
        <v>933</v>
      </c>
      <c r="E158" s="112" t="s">
        <v>934</v>
      </c>
      <c r="F158" s="72" t="s">
        <v>935</v>
      </c>
    </row>
    <row r="159" spans="1:6">
      <c r="A159" s="113"/>
      <c r="B159" s="72" t="s">
        <v>936</v>
      </c>
      <c r="C159" s="110" t="s">
        <v>937</v>
      </c>
      <c r="D159" s="110" t="s">
        <v>938</v>
      </c>
      <c r="E159" s="112" t="s">
        <v>939</v>
      </c>
      <c r="F159" s="72" t="s">
        <v>541</v>
      </c>
    </row>
    <row r="160" outlineLevel="1" spans="1:6">
      <c r="A160" s="110" t="s">
        <v>940</v>
      </c>
      <c r="B160" s="110" t="s">
        <v>198</v>
      </c>
      <c r="C160" s="110"/>
      <c r="D160" s="111"/>
      <c r="E160" s="112"/>
      <c r="F160" s="72"/>
    </row>
    <row r="161" outlineLevel="1" spans="1:7">
      <c r="A161" s="74"/>
      <c r="B161" s="72" t="s">
        <v>941</v>
      </c>
      <c r="C161" s="72" t="s">
        <v>942</v>
      </c>
      <c r="D161" s="106" t="s">
        <v>943</v>
      </c>
      <c r="E161" s="108" t="s">
        <v>944</v>
      </c>
      <c r="F161" s="74" t="s">
        <v>407</v>
      </c>
    </row>
    <row r="162" outlineLevel="1" spans="1:7">
      <c r="A162" s="74"/>
      <c r="B162" s="72" t="s">
        <v>945</v>
      </c>
      <c r="C162" s="72" t="s">
        <v>946</v>
      </c>
      <c r="D162" s="106" t="s">
        <v>947</v>
      </c>
      <c r="E162" s="108" t="s">
        <v>948</v>
      </c>
      <c r="F162" s="74" t="s">
        <v>396</v>
      </c>
    </row>
    <row r="163" ht="31.5" outlineLevel="1" spans="1:7">
      <c r="A163" s="74"/>
      <c r="B163" s="72" t="s">
        <v>949</v>
      </c>
      <c r="C163" s="72" t="s">
        <v>950</v>
      </c>
      <c r="D163" s="106" t="s">
        <v>951</v>
      </c>
      <c r="E163" s="108" t="s">
        <v>952</v>
      </c>
      <c r="F163" s="74" t="s">
        <v>367</v>
      </c>
    </row>
    <row r="164" ht="31.5" outlineLevel="1" spans="1:7">
      <c r="A164" s="74"/>
      <c r="B164" s="72" t="s">
        <v>953</v>
      </c>
      <c r="C164" s="72" t="s">
        <v>954</v>
      </c>
      <c r="D164" s="106" t="s">
        <v>955</v>
      </c>
      <c r="E164" s="108" t="s">
        <v>956</v>
      </c>
      <c r="F164" s="74" t="s">
        <v>367</v>
      </c>
    </row>
    <row r="165" ht="31.5" outlineLevel="1" spans="1:7">
      <c r="A165" s="74"/>
      <c r="B165" s="72" t="s">
        <v>957</v>
      </c>
      <c r="C165" s="72" t="s">
        <v>958</v>
      </c>
      <c r="D165" s="106" t="s">
        <v>959</v>
      </c>
      <c r="E165" s="108" t="s">
        <v>960</v>
      </c>
      <c r="F165" s="74" t="s">
        <v>367</v>
      </c>
    </row>
    <row r="166" outlineLevel="1" spans="1:7">
      <c r="A166" s="74"/>
      <c r="B166" s="72" t="s">
        <v>961</v>
      </c>
      <c r="C166" s="72" t="s">
        <v>962</v>
      </c>
      <c r="D166" s="106" t="s">
        <v>963</v>
      </c>
      <c r="E166" s="108" t="s">
        <v>964</v>
      </c>
      <c r="F166" s="74" t="s">
        <v>407</v>
      </c>
    </row>
    <row r="167" outlineLevel="1" spans="1:7">
      <c r="A167" s="74"/>
      <c r="B167" s="72" t="s">
        <v>965</v>
      </c>
      <c r="C167" s="72" t="s">
        <v>966</v>
      </c>
      <c r="D167" s="106" t="s">
        <v>967</v>
      </c>
      <c r="E167" s="108" t="s">
        <v>968</v>
      </c>
      <c r="F167" s="74" t="s">
        <v>969</v>
      </c>
    </row>
    <row r="168" outlineLevel="1" spans="1:7">
      <c r="A168" s="74"/>
      <c r="B168" s="72" t="s">
        <v>970</v>
      </c>
      <c r="C168" s="72" t="s">
        <v>971</v>
      </c>
      <c r="D168" s="106" t="s">
        <v>972</v>
      </c>
      <c r="E168" s="108" t="s">
        <v>400</v>
      </c>
      <c r="F168" s="74" t="s">
        <v>407</v>
      </c>
    </row>
    <row r="169" customFormat="1" ht="31.5" outlineLevel="1" spans="1:7">
      <c r="A169" s="74"/>
      <c r="B169" s="72" t="s">
        <v>973</v>
      </c>
      <c r="C169" s="72" t="s">
        <v>974</v>
      </c>
      <c r="D169" s="106" t="s">
        <v>975</v>
      </c>
      <c r="E169" s="108" t="s">
        <v>976</v>
      </c>
      <c r="F169" s="74" t="s">
        <v>407</v>
      </c>
      <c r="G169" s="48"/>
    </row>
    <row r="170" ht="28.5" outlineLevel="1" spans="1:7">
      <c r="A170" s="74"/>
      <c r="B170" s="72" t="s">
        <v>977</v>
      </c>
      <c r="C170" s="72" t="s">
        <v>978</v>
      </c>
      <c r="D170" s="106" t="s">
        <v>979</v>
      </c>
      <c r="E170" s="108" t="s">
        <v>980</v>
      </c>
      <c r="F170" s="74" t="s">
        <v>981</v>
      </c>
    </row>
    <row r="171" outlineLevel="1" spans="1:7">
      <c r="A171" s="74"/>
      <c r="B171" s="72" t="s">
        <v>982</v>
      </c>
      <c r="C171" s="72" t="s">
        <v>983</v>
      </c>
      <c r="D171" s="106" t="s">
        <v>984</v>
      </c>
      <c r="E171" s="108" t="s">
        <v>985</v>
      </c>
      <c r="F171" s="74" t="s">
        <v>328</v>
      </c>
    </row>
    <row r="172" outlineLevel="1" spans="1:7">
      <c r="A172" s="74"/>
      <c r="B172" s="72" t="s">
        <v>986</v>
      </c>
      <c r="C172" s="72" t="s">
        <v>987</v>
      </c>
      <c r="D172" s="106" t="s">
        <v>988</v>
      </c>
      <c r="E172" s="108" t="s">
        <v>989</v>
      </c>
      <c r="F172" s="74" t="s">
        <v>990</v>
      </c>
    </row>
    <row r="173" outlineLevel="1" spans="1:7">
      <c r="A173" s="74"/>
      <c r="B173" s="72" t="s">
        <v>991</v>
      </c>
      <c r="C173" s="72" t="s">
        <v>992</v>
      </c>
      <c r="D173" s="106" t="s">
        <v>993</v>
      </c>
      <c r="E173" s="108" t="s">
        <v>994</v>
      </c>
      <c r="F173" s="74" t="s">
        <v>328</v>
      </c>
    </row>
    <row r="174" ht="31.5" outlineLevel="1" spans="1:7">
      <c r="A174" s="74"/>
      <c r="B174" s="72" t="s">
        <v>995</v>
      </c>
      <c r="C174" s="72" t="s">
        <v>996</v>
      </c>
      <c r="D174" s="106" t="s">
        <v>997</v>
      </c>
      <c r="E174" s="108" t="s">
        <v>998</v>
      </c>
      <c r="F174" s="74" t="s">
        <v>407</v>
      </c>
    </row>
    <row r="175" ht="45.75" spans="1:7">
      <c r="A175" s="74"/>
      <c r="B175" s="72" t="s">
        <v>999</v>
      </c>
      <c r="C175" s="72" t="s">
        <v>1000</v>
      </c>
      <c r="D175" s="106" t="s">
        <v>1001</v>
      </c>
      <c r="E175" s="108" t="s">
        <v>1002</v>
      </c>
      <c r="F175" s="74" t="s">
        <v>407</v>
      </c>
    </row>
    <row r="176" outlineLevel="1" spans="1:7">
      <c r="A176" s="74"/>
      <c r="B176" s="72" t="s">
        <v>1003</v>
      </c>
      <c r="C176" s="72" t="s">
        <v>1004</v>
      </c>
      <c r="D176" s="106" t="s">
        <v>1005</v>
      </c>
      <c r="E176" s="108" t="s">
        <v>1006</v>
      </c>
      <c r="F176" s="74" t="s">
        <v>353</v>
      </c>
    </row>
    <row r="177" spans="1:6">
      <c r="A177" s="74"/>
      <c r="B177" s="72" t="s">
        <v>1007</v>
      </c>
      <c r="C177" s="72" t="s">
        <v>1008</v>
      </c>
      <c r="D177" s="106" t="s">
        <v>1009</v>
      </c>
      <c r="E177" s="108" t="s">
        <v>1010</v>
      </c>
      <c r="F177" s="72" t="s">
        <v>407</v>
      </c>
    </row>
    <row r="178" ht="45.75" spans="1:6">
      <c r="A178" s="74"/>
      <c r="B178" s="72" t="s">
        <v>1011</v>
      </c>
      <c r="C178" s="72" t="s">
        <v>1012</v>
      </c>
      <c r="D178" s="106" t="s">
        <v>1013</v>
      </c>
      <c r="E178" s="108" t="s">
        <v>1014</v>
      </c>
      <c r="F178" s="72" t="s">
        <v>407</v>
      </c>
    </row>
    <row r="179" outlineLevel="1" spans="1:6">
      <c r="A179" s="72" t="s">
        <v>1015</v>
      </c>
      <c r="B179" s="72" t="s">
        <v>212</v>
      </c>
      <c r="C179" s="72"/>
      <c r="D179" s="106"/>
      <c r="E179" s="108"/>
      <c r="F179" s="72"/>
    </row>
    <row r="180" ht="28.5" outlineLevel="1" spans="1:6">
      <c r="A180" s="74"/>
      <c r="B180" s="72" t="s">
        <v>1016</v>
      </c>
      <c r="C180" s="72" t="s">
        <v>1017</v>
      </c>
      <c r="D180" s="106" t="s">
        <v>1018</v>
      </c>
      <c r="E180" s="108" t="s">
        <v>1019</v>
      </c>
      <c r="F180" s="74" t="s">
        <v>407</v>
      </c>
    </row>
    <row r="181" ht="31.5" outlineLevel="1" spans="1:6">
      <c r="A181" s="74"/>
      <c r="B181" s="72" t="s">
        <v>1020</v>
      </c>
      <c r="C181" s="72" t="s">
        <v>1021</v>
      </c>
      <c r="D181" s="72" t="s">
        <v>1022</v>
      </c>
      <c r="E181" s="108" t="s">
        <v>1023</v>
      </c>
      <c r="F181" s="74" t="s">
        <v>407</v>
      </c>
    </row>
    <row r="182" ht="31.5" outlineLevel="1" spans="1:6">
      <c r="A182" s="74"/>
      <c r="B182" s="72" t="s">
        <v>1024</v>
      </c>
      <c r="C182" s="72" t="s">
        <v>1025</v>
      </c>
      <c r="D182" s="72" t="s">
        <v>1026</v>
      </c>
      <c r="E182" s="108" t="s">
        <v>1027</v>
      </c>
      <c r="F182" s="74" t="s">
        <v>407</v>
      </c>
    </row>
    <row r="183" ht="31.5" outlineLevel="1" spans="1:6">
      <c r="A183" s="74"/>
      <c r="B183" s="72" t="s">
        <v>1028</v>
      </c>
      <c r="C183" s="72" t="s">
        <v>1029</v>
      </c>
      <c r="D183" s="72" t="s">
        <v>1030</v>
      </c>
      <c r="E183" s="108" t="s">
        <v>1031</v>
      </c>
      <c r="F183" s="74" t="s">
        <v>407</v>
      </c>
    </row>
    <row r="184" ht="31.5" outlineLevel="1" spans="1:6">
      <c r="A184" s="74"/>
      <c r="B184" s="72" t="s">
        <v>1032</v>
      </c>
      <c r="C184" s="72" t="s">
        <v>1033</v>
      </c>
      <c r="D184" s="72" t="s">
        <v>1034</v>
      </c>
      <c r="E184" s="108" t="s">
        <v>1035</v>
      </c>
      <c r="F184" s="74" t="s">
        <v>407</v>
      </c>
    </row>
    <row r="185" ht="31.5" outlineLevel="1" spans="1:6">
      <c r="A185" s="74"/>
      <c r="B185" s="72" t="s">
        <v>1036</v>
      </c>
      <c r="C185" s="72" t="s">
        <v>1037</v>
      </c>
      <c r="D185" s="72" t="s">
        <v>1038</v>
      </c>
      <c r="E185" s="108" t="s">
        <v>1039</v>
      </c>
      <c r="F185" s="74" t="s">
        <v>407</v>
      </c>
    </row>
    <row r="186" ht="30" outlineLevel="1" spans="1:6">
      <c r="A186" s="74"/>
      <c r="B186" s="72" t="s">
        <v>1040</v>
      </c>
      <c r="C186" s="72" t="s">
        <v>1041</v>
      </c>
      <c r="D186" s="72" t="s">
        <v>1042</v>
      </c>
      <c r="E186" s="108" t="s">
        <v>1043</v>
      </c>
      <c r="F186" s="74" t="s">
        <v>407</v>
      </c>
    </row>
    <row r="187" outlineLevel="1" spans="1:6">
      <c r="A187" s="74"/>
      <c r="B187" s="72" t="s">
        <v>1044</v>
      </c>
      <c r="C187" s="72" t="s">
        <v>1045</v>
      </c>
      <c r="D187" s="106" t="s">
        <v>1046</v>
      </c>
      <c r="E187" s="108" t="s">
        <v>1047</v>
      </c>
      <c r="F187" s="74" t="s">
        <v>353</v>
      </c>
    </row>
    <row r="188" outlineLevel="1" spans="1:6">
      <c r="A188" s="74"/>
      <c r="B188" s="72" t="s">
        <v>1048</v>
      </c>
      <c r="C188" s="72" t="s">
        <v>1049</v>
      </c>
      <c r="D188" s="106" t="s">
        <v>1050</v>
      </c>
      <c r="E188" s="108" t="s">
        <v>1051</v>
      </c>
      <c r="F188" s="74" t="s">
        <v>457</v>
      </c>
    </row>
    <row r="189" outlineLevel="1" spans="1:6">
      <c r="A189" s="74"/>
      <c r="B189" s="72" t="s">
        <v>1052</v>
      </c>
      <c r="C189" s="72" t="s">
        <v>1053</v>
      </c>
      <c r="D189" s="106" t="s">
        <v>1054</v>
      </c>
      <c r="E189" s="108" t="s">
        <v>1055</v>
      </c>
      <c r="F189" s="74" t="s">
        <v>367</v>
      </c>
    </row>
    <row r="190" outlineLevel="1" spans="1:6">
      <c r="A190" s="74"/>
      <c r="B190" s="72" t="s">
        <v>1056</v>
      </c>
      <c r="C190" s="72" t="s">
        <v>1057</v>
      </c>
      <c r="D190" s="106" t="s">
        <v>1058</v>
      </c>
      <c r="E190" s="108" t="s">
        <v>1059</v>
      </c>
      <c r="F190" s="74" t="s">
        <v>367</v>
      </c>
    </row>
    <row r="191" outlineLevel="1" spans="1:6">
      <c r="A191" s="74"/>
      <c r="B191" s="72" t="s">
        <v>1060</v>
      </c>
      <c r="C191" s="72" t="s">
        <v>1061</v>
      </c>
      <c r="D191" s="106" t="s">
        <v>1062</v>
      </c>
      <c r="E191" s="108" t="s">
        <v>1063</v>
      </c>
      <c r="F191" s="74" t="s">
        <v>367</v>
      </c>
    </row>
    <row r="192" outlineLevel="1" spans="1:6">
      <c r="A192" s="74"/>
      <c r="B192" s="72" t="s">
        <v>1064</v>
      </c>
      <c r="C192" s="72" t="s">
        <v>1065</v>
      </c>
      <c r="D192" s="106" t="s">
        <v>1066</v>
      </c>
      <c r="E192" s="108" t="s">
        <v>422</v>
      </c>
      <c r="F192" s="74" t="s">
        <v>328</v>
      </c>
    </row>
    <row r="193" outlineLevel="1" spans="1:6">
      <c r="A193" s="74"/>
      <c r="B193" s="72" t="s">
        <v>1067</v>
      </c>
      <c r="C193" s="72" t="s">
        <v>1068</v>
      </c>
      <c r="D193" s="106" t="s">
        <v>1069</v>
      </c>
      <c r="E193" s="108" t="s">
        <v>400</v>
      </c>
      <c r="F193" s="74" t="s">
        <v>367</v>
      </c>
    </row>
    <row r="194" ht="30" spans="1:6">
      <c r="A194" s="74"/>
      <c r="B194" s="72" t="s">
        <v>1070</v>
      </c>
      <c r="C194" s="72" t="s">
        <v>1071</v>
      </c>
      <c r="D194" s="106" t="s">
        <v>1072</v>
      </c>
      <c r="E194" s="108" t="s">
        <v>1073</v>
      </c>
      <c r="F194" s="74" t="s">
        <v>407</v>
      </c>
    </row>
    <row r="195" spans="1:6">
      <c r="A195" s="74"/>
      <c r="B195" s="72" t="s">
        <v>1074</v>
      </c>
      <c r="C195" s="72" t="s">
        <v>1075</v>
      </c>
      <c r="D195" s="106" t="s">
        <v>1076</v>
      </c>
      <c r="E195" s="108" t="s">
        <v>1077</v>
      </c>
      <c r="F195" s="74" t="s">
        <v>367</v>
      </c>
    </row>
    <row r="196" ht="47.25" spans="1:6">
      <c r="A196" s="74"/>
      <c r="B196" s="72" t="s">
        <v>1078</v>
      </c>
      <c r="C196" s="72" t="s">
        <v>1079</v>
      </c>
      <c r="D196" s="106" t="s">
        <v>1080</v>
      </c>
      <c r="E196" s="108" t="s">
        <v>1081</v>
      </c>
      <c r="F196" s="72" t="s">
        <v>407</v>
      </c>
    </row>
    <row r="197" ht="30" spans="1:6">
      <c r="A197" s="74"/>
      <c r="B197" s="72" t="s">
        <v>1082</v>
      </c>
      <c r="C197" s="72" t="s">
        <v>1083</v>
      </c>
      <c r="D197" s="106" t="s">
        <v>1084</v>
      </c>
      <c r="E197" s="108" t="s">
        <v>1085</v>
      </c>
      <c r="F197" s="72" t="s">
        <v>367</v>
      </c>
    </row>
    <row r="198" ht="31.5" spans="1:6">
      <c r="A198" s="74"/>
      <c r="B198" s="72" t="s">
        <v>1086</v>
      </c>
      <c r="C198" s="72" t="s">
        <v>1087</v>
      </c>
      <c r="D198" s="106" t="s">
        <v>1088</v>
      </c>
      <c r="E198" s="108" t="s">
        <v>1089</v>
      </c>
      <c r="F198" s="72" t="s">
        <v>367</v>
      </c>
    </row>
    <row r="199" spans="1:6">
      <c r="A199" s="74"/>
      <c r="B199" s="72" t="s">
        <v>1090</v>
      </c>
      <c r="C199" s="72" t="s">
        <v>1091</v>
      </c>
      <c r="D199" s="106" t="s">
        <v>1092</v>
      </c>
      <c r="E199" s="108" t="s">
        <v>1093</v>
      </c>
      <c r="F199" s="72" t="s">
        <v>353</v>
      </c>
    </row>
    <row r="200" ht="31.5" spans="1:6">
      <c r="A200" s="74"/>
      <c r="B200" s="72" t="s">
        <v>1094</v>
      </c>
      <c r="C200" s="72" t="s">
        <v>1095</v>
      </c>
      <c r="D200" s="106" t="s">
        <v>1096</v>
      </c>
      <c r="E200" s="108" t="s">
        <v>1097</v>
      </c>
      <c r="F200" s="72" t="s">
        <v>981</v>
      </c>
    </row>
    <row r="201" ht="31.5" spans="1:6">
      <c r="A201" s="74"/>
      <c r="B201" s="72" t="s">
        <v>1098</v>
      </c>
      <c r="C201" s="72" t="s">
        <v>1099</v>
      </c>
      <c r="D201" s="106" t="s">
        <v>1100</v>
      </c>
      <c r="E201" s="108" t="s">
        <v>1101</v>
      </c>
      <c r="F201" s="72" t="s">
        <v>563</v>
      </c>
    </row>
    <row r="202" ht="31.5" spans="1:6">
      <c r="A202" s="74"/>
      <c r="B202" s="72" t="s">
        <v>1102</v>
      </c>
      <c r="C202" s="72" t="s">
        <v>1103</v>
      </c>
      <c r="D202" s="106" t="s">
        <v>1104</v>
      </c>
      <c r="E202" s="108" t="s">
        <v>1105</v>
      </c>
      <c r="F202" s="72" t="s">
        <v>396</v>
      </c>
    </row>
    <row r="203" spans="1:6">
      <c r="A203" s="74"/>
      <c r="B203" s="72" t="s">
        <v>1106</v>
      </c>
      <c r="C203" s="72" t="s">
        <v>1107</v>
      </c>
      <c r="D203" s="106" t="s">
        <v>1108</v>
      </c>
      <c r="E203" s="108" t="s">
        <v>1109</v>
      </c>
      <c r="F203" s="72" t="s">
        <v>396</v>
      </c>
    </row>
    <row r="204" ht="30" spans="1:6">
      <c r="A204" s="74"/>
      <c r="B204" s="72" t="s">
        <v>1110</v>
      </c>
      <c r="C204" s="72" t="s">
        <v>1111</v>
      </c>
      <c r="D204" s="106" t="s">
        <v>1112</v>
      </c>
      <c r="E204" s="108" t="s">
        <v>1113</v>
      </c>
      <c r="F204" s="72" t="s">
        <v>367</v>
      </c>
    </row>
    <row r="205" outlineLevel="1" spans="1:6">
      <c r="A205" s="72" t="s">
        <v>1114</v>
      </c>
      <c r="B205" s="72" t="s">
        <v>234</v>
      </c>
      <c r="C205" s="72"/>
      <c r="D205" s="106"/>
      <c r="E205" s="108"/>
      <c r="F205" s="72"/>
    </row>
    <row r="206" outlineLevel="1" spans="1:6">
      <c r="A206" s="72" t="s">
        <v>1115</v>
      </c>
      <c r="B206" s="107" t="s">
        <v>252</v>
      </c>
      <c r="C206" s="72"/>
      <c r="D206" s="106"/>
      <c r="E206" s="108"/>
      <c r="F206" s="72"/>
    </row>
    <row r="207" outlineLevel="1" spans="1:6">
      <c r="A207" s="74"/>
      <c r="B207" s="107" t="s">
        <v>1116</v>
      </c>
      <c r="C207" s="72" t="s">
        <v>1117</v>
      </c>
      <c r="D207" s="106" t="s">
        <v>1118</v>
      </c>
      <c r="E207" s="108" t="s">
        <v>1119</v>
      </c>
      <c r="F207" s="74" t="s">
        <v>935</v>
      </c>
    </row>
    <row r="208" ht="44.25" outlineLevel="1" spans="1:6">
      <c r="A208" s="74"/>
      <c r="B208" s="107" t="s">
        <v>1120</v>
      </c>
      <c r="C208" s="72" t="s">
        <v>1121</v>
      </c>
      <c r="D208" s="106" t="s">
        <v>1122</v>
      </c>
      <c r="E208" s="108" t="s">
        <v>1123</v>
      </c>
      <c r="F208" s="74" t="s">
        <v>1124</v>
      </c>
    </row>
    <row r="209" ht="44.25" outlineLevel="1" spans="1:6">
      <c r="A209" s="74"/>
      <c r="B209" s="107" t="s">
        <v>1125</v>
      </c>
      <c r="C209" s="72" t="s">
        <v>1126</v>
      </c>
      <c r="D209" s="106" t="s">
        <v>1127</v>
      </c>
      <c r="E209" s="108" t="s">
        <v>1128</v>
      </c>
      <c r="F209" s="74" t="s">
        <v>1124</v>
      </c>
    </row>
    <row r="210" outlineLevel="1" spans="1:6">
      <c r="A210" s="107" t="s">
        <v>1129</v>
      </c>
      <c r="B210" s="107" t="s">
        <v>1130</v>
      </c>
      <c r="C210" s="72"/>
      <c r="D210" s="106"/>
      <c r="E210" s="108"/>
      <c r="F210" s="74"/>
    </row>
    <row r="211" ht="28.5" outlineLevel="1" spans="1:6">
      <c r="A211" s="107"/>
      <c r="B211" s="143" t="s">
        <v>1131</v>
      </c>
      <c r="C211" s="106" t="s">
        <v>1132</v>
      </c>
      <c r="D211" s="116" t="s">
        <v>1133</v>
      </c>
      <c r="E211" s="108" t="s">
        <v>1134</v>
      </c>
      <c r="F211" s="74" t="s">
        <v>407</v>
      </c>
    </row>
    <row r="212" outlineLevel="1" spans="1:6">
      <c r="A212" s="107"/>
      <c r="B212" s="143" t="s">
        <v>1135</v>
      </c>
      <c r="C212" s="106" t="s">
        <v>1136</v>
      </c>
      <c r="D212" s="116" t="s">
        <v>1137</v>
      </c>
      <c r="E212" s="108" t="s">
        <v>1138</v>
      </c>
      <c r="F212" s="74" t="s">
        <v>328</v>
      </c>
    </row>
    <row r="213" ht="61.5" outlineLevel="1" spans="1:6">
      <c r="A213" s="107"/>
      <c r="B213" s="143" t="s">
        <v>1139</v>
      </c>
      <c r="C213" s="106" t="s">
        <v>1140</v>
      </c>
      <c r="D213" s="116" t="s">
        <v>1141</v>
      </c>
      <c r="E213" s="108" t="s">
        <v>1142</v>
      </c>
      <c r="F213" s="74" t="s">
        <v>1143</v>
      </c>
    </row>
    <row r="214" outlineLevel="1" spans="1:6">
      <c r="A214" s="107"/>
      <c r="B214" s="143" t="s">
        <v>1144</v>
      </c>
      <c r="C214" s="106" t="s">
        <v>1145</v>
      </c>
      <c r="D214" s="116" t="s">
        <v>1146</v>
      </c>
      <c r="E214" s="108" t="s">
        <v>422</v>
      </c>
      <c r="F214" s="74" t="s">
        <v>1143</v>
      </c>
    </row>
    <row r="215" outlineLevel="1" spans="1:6">
      <c r="A215" s="107"/>
      <c r="B215" s="143" t="s">
        <v>1147</v>
      </c>
      <c r="C215" s="106" t="s">
        <v>1148</v>
      </c>
      <c r="D215" s="116" t="s">
        <v>1149</v>
      </c>
      <c r="E215" s="108" t="s">
        <v>1150</v>
      </c>
      <c r="F215" s="74" t="s">
        <v>333</v>
      </c>
    </row>
    <row r="216" outlineLevel="1" spans="1:6">
      <c r="A216" s="107"/>
      <c r="B216" s="143" t="s">
        <v>1151</v>
      </c>
      <c r="C216" s="106" t="s">
        <v>1152</v>
      </c>
      <c r="D216" s="116" t="s">
        <v>1153</v>
      </c>
      <c r="E216" s="108" t="s">
        <v>1154</v>
      </c>
      <c r="F216" s="74" t="s">
        <v>407</v>
      </c>
    </row>
    <row r="217" outlineLevel="1" spans="1:6">
      <c r="A217" s="107"/>
      <c r="B217" s="143" t="s">
        <v>1155</v>
      </c>
      <c r="C217" s="106" t="s">
        <v>1156</v>
      </c>
      <c r="D217" s="116" t="s">
        <v>1157</v>
      </c>
      <c r="E217" s="108" t="s">
        <v>1158</v>
      </c>
      <c r="F217" s="74" t="s">
        <v>443</v>
      </c>
    </row>
    <row r="218" outlineLevel="1" spans="1:6">
      <c r="A218" s="107"/>
      <c r="B218" s="143" t="s">
        <v>1159</v>
      </c>
      <c r="C218" s="106" t="s">
        <v>1160</v>
      </c>
      <c r="D218" s="116" t="s">
        <v>1161</v>
      </c>
      <c r="E218" s="108" t="s">
        <v>1162</v>
      </c>
      <c r="F218" s="74" t="s">
        <v>981</v>
      </c>
    </row>
    <row r="219" outlineLevel="1" spans="1:6">
      <c r="A219" s="107"/>
      <c r="B219" s="143" t="s">
        <v>1163</v>
      </c>
      <c r="C219" s="106" t="s">
        <v>1164</v>
      </c>
      <c r="D219" s="116" t="s">
        <v>1165</v>
      </c>
      <c r="E219" s="108" t="s">
        <v>1166</v>
      </c>
      <c r="F219" s="74" t="s">
        <v>353</v>
      </c>
    </row>
    <row r="220" ht="28.5" outlineLevel="1" spans="1:6">
      <c r="A220" s="107"/>
      <c r="B220" s="143" t="s">
        <v>1167</v>
      </c>
      <c r="C220" s="106" t="s">
        <v>1168</v>
      </c>
      <c r="D220" s="116" t="s">
        <v>1169</v>
      </c>
      <c r="E220" s="108" t="s">
        <v>1170</v>
      </c>
      <c r="F220" s="74" t="s">
        <v>367</v>
      </c>
    </row>
    <row r="221" outlineLevel="1" spans="1:6">
      <c r="A221" s="107"/>
      <c r="B221" s="143" t="s">
        <v>1171</v>
      </c>
      <c r="C221" s="106" t="s">
        <v>1172</v>
      </c>
      <c r="D221" s="116" t="s">
        <v>1173</v>
      </c>
      <c r="E221" s="108" t="s">
        <v>1174</v>
      </c>
      <c r="F221" s="74" t="s">
        <v>367</v>
      </c>
    </row>
    <row r="222" outlineLevel="1" spans="1:6">
      <c r="A222" s="107"/>
      <c r="B222" s="143" t="s">
        <v>1175</v>
      </c>
      <c r="C222" s="59" t="s">
        <v>1176</v>
      </c>
      <c r="D222" s="116" t="s">
        <v>1177</v>
      </c>
      <c r="E222" s="108" t="s">
        <v>1178</v>
      </c>
      <c r="F222" s="74" t="s">
        <v>367</v>
      </c>
    </row>
    <row r="223" outlineLevel="1" spans="1:6">
      <c r="A223" s="107"/>
      <c r="B223" s="143" t="s">
        <v>1179</v>
      </c>
      <c r="C223" s="59" t="s">
        <v>1180</v>
      </c>
      <c r="D223" s="116" t="s">
        <v>1181</v>
      </c>
      <c r="E223" s="108" t="s">
        <v>1182</v>
      </c>
      <c r="F223" s="74" t="s">
        <v>681</v>
      </c>
    </row>
    <row r="224" outlineLevel="1" spans="1:6">
      <c r="A224" s="107"/>
      <c r="B224" s="143" t="s">
        <v>1183</v>
      </c>
      <c r="C224" s="59" t="s">
        <v>1184</v>
      </c>
      <c r="D224" s="116" t="s">
        <v>1185</v>
      </c>
      <c r="E224" s="108" t="s">
        <v>1186</v>
      </c>
      <c r="F224" s="74" t="s">
        <v>1187</v>
      </c>
    </row>
    <row r="225" outlineLevel="1" spans="1:7">
      <c r="A225" s="107"/>
      <c r="B225" s="143" t="s">
        <v>1188</v>
      </c>
      <c r="C225" s="106" t="s">
        <v>1189</v>
      </c>
      <c r="D225" s="116" t="s">
        <v>1190</v>
      </c>
      <c r="E225" s="108" t="s">
        <v>1191</v>
      </c>
      <c r="F225" s="74" t="s">
        <v>367</v>
      </c>
    </row>
    <row r="226" outlineLevel="1" spans="1:7">
      <c r="A226" s="107"/>
      <c r="B226" s="143" t="s">
        <v>1192</v>
      </c>
      <c r="C226" s="106" t="s">
        <v>1193</v>
      </c>
      <c r="D226" s="116" t="s">
        <v>1194</v>
      </c>
      <c r="E226" s="108" t="s">
        <v>1195</v>
      </c>
      <c r="F226" s="74" t="s">
        <v>367</v>
      </c>
    </row>
    <row r="227" outlineLevel="1" spans="1:7">
      <c r="A227" s="107"/>
      <c r="B227" s="143" t="s">
        <v>1196</v>
      </c>
      <c r="C227" s="106" t="s">
        <v>1197</v>
      </c>
      <c r="D227" s="116" t="s">
        <v>1198</v>
      </c>
      <c r="E227" s="108" t="s">
        <v>1199</v>
      </c>
      <c r="F227" s="74" t="s">
        <v>367</v>
      </c>
    </row>
    <row r="228" outlineLevel="1" spans="1:7">
      <c r="A228" s="107"/>
      <c r="B228" s="143" t="s">
        <v>1200</v>
      </c>
      <c r="C228" s="106" t="s">
        <v>1201</v>
      </c>
      <c r="D228" s="116" t="s">
        <v>1202</v>
      </c>
      <c r="E228" s="108" t="s">
        <v>1203</v>
      </c>
      <c r="F228" s="74" t="s">
        <v>407</v>
      </c>
    </row>
    <row r="229" outlineLevel="1" spans="1:7">
      <c r="A229" s="107"/>
      <c r="B229" s="143" t="s">
        <v>1204</v>
      </c>
      <c r="C229" s="106" t="s">
        <v>1205</v>
      </c>
      <c r="D229" s="116" t="s">
        <v>1206</v>
      </c>
      <c r="E229" s="108" t="s">
        <v>1207</v>
      </c>
      <c r="F229" s="74" t="s">
        <v>407</v>
      </c>
    </row>
    <row r="230" outlineLevel="1" spans="1:7">
      <c r="A230" s="107"/>
      <c r="B230" s="143" t="s">
        <v>1208</v>
      </c>
      <c r="C230" s="106" t="s">
        <v>1209</v>
      </c>
      <c r="D230" s="116" t="s">
        <v>1210</v>
      </c>
      <c r="E230" s="108" t="s">
        <v>1211</v>
      </c>
      <c r="F230" s="74" t="s">
        <v>367</v>
      </c>
    </row>
    <row r="231" outlineLevel="1" spans="1:7">
      <c r="A231" s="107"/>
      <c r="B231" s="143" t="s">
        <v>1212</v>
      </c>
      <c r="C231" s="106" t="s">
        <v>1213</v>
      </c>
      <c r="D231" s="116" t="s">
        <v>1214</v>
      </c>
      <c r="E231" s="108" t="s">
        <v>1215</v>
      </c>
      <c r="F231" s="74" t="s">
        <v>367</v>
      </c>
    </row>
    <row r="232" ht="31.5" outlineLevel="1" spans="1:7">
      <c r="A232" s="107"/>
      <c r="B232" s="143" t="s">
        <v>1216</v>
      </c>
      <c r="C232" s="106" t="s">
        <v>1217</v>
      </c>
      <c r="D232" s="116" t="s">
        <v>1218</v>
      </c>
      <c r="E232" s="108" t="s">
        <v>1219</v>
      </c>
      <c r="F232" s="74" t="s">
        <v>1220</v>
      </c>
    </row>
    <row r="233" ht="57" outlineLevel="1" spans="1:7">
      <c r="A233" s="107"/>
      <c r="B233" s="143" t="s">
        <v>1221</v>
      </c>
      <c r="C233" s="106" t="s">
        <v>1222</v>
      </c>
      <c r="D233" s="116" t="s">
        <v>1223</v>
      </c>
      <c r="E233" s="108" t="s">
        <v>1224</v>
      </c>
      <c r="F233" s="74" t="s">
        <v>1220</v>
      </c>
    </row>
    <row r="234" outlineLevel="1" spans="1:7">
      <c r="A234" s="107"/>
      <c r="B234" s="143" t="s">
        <v>1225</v>
      </c>
      <c r="C234" s="106" t="s">
        <v>1226</v>
      </c>
      <c r="D234" s="116" t="s">
        <v>1227</v>
      </c>
      <c r="E234" s="108" t="s">
        <v>1228</v>
      </c>
      <c r="F234" s="74" t="s">
        <v>935</v>
      </c>
    </row>
    <row r="235" outlineLevel="1" spans="1:7">
      <c r="A235" s="107"/>
      <c r="B235" s="143" t="s">
        <v>1229</v>
      </c>
      <c r="C235" s="106" t="s">
        <v>1230</v>
      </c>
      <c r="D235" s="116" t="s">
        <v>1231</v>
      </c>
      <c r="E235" s="108" t="s">
        <v>1232</v>
      </c>
      <c r="F235" s="74" t="s">
        <v>698</v>
      </c>
    </row>
    <row r="236" customFormat="1" ht="30" outlineLevel="1" spans="1:7">
      <c r="A236" s="107"/>
      <c r="B236" s="143" t="s">
        <v>1233</v>
      </c>
      <c r="C236" s="106" t="s">
        <v>1234</v>
      </c>
      <c r="D236" s="74" t="s">
        <v>1235</v>
      </c>
      <c r="E236" s="117" t="s">
        <v>1236</v>
      </c>
      <c r="F236" s="74" t="s">
        <v>407</v>
      </c>
      <c r="G236" s="48"/>
    </row>
    <row r="237" ht="30" spans="1:7">
      <c r="A237" s="74"/>
      <c r="B237" s="143" t="s">
        <v>1237</v>
      </c>
      <c r="C237" s="74" t="s">
        <v>1238</v>
      </c>
      <c r="D237" s="74" t="s">
        <v>1239</v>
      </c>
      <c r="E237" s="117" t="s">
        <v>1240</v>
      </c>
      <c r="F237" s="74" t="s">
        <v>407</v>
      </c>
    </row>
    <row r="238" ht="30" spans="1:7">
      <c r="A238" s="74"/>
      <c r="B238" s="143" t="s">
        <v>1241</v>
      </c>
      <c r="C238" s="74" t="s">
        <v>1242</v>
      </c>
      <c r="D238" s="74" t="s">
        <v>1243</v>
      </c>
      <c r="E238" s="117" t="s">
        <v>1244</v>
      </c>
      <c r="F238" s="74" t="s">
        <v>407</v>
      </c>
    </row>
    <row r="239" spans="1:7">
      <c r="A239" s="74"/>
      <c r="B239" s="143" t="s">
        <v>1245</v>
      </c>
      <c r="C239" s="74" t="s">
        <v>1246</v>
      </c>
      <c r="D239" s="74" t="s">
        <v>1247</v>
      </c>
      <c r="E239" s="117" t="s">
        <v>422</v>
      </c>
      <c r="F239" s="74" t="s">
        <v>407</v>
      </c>
    </row>
    <row r="240" ht="31.5" spans="1:7">
      <c r="A240" s="74"/>
      <c r="B240" s="143" t="s">
        <v>1248</v>
      </c>
      <c r="C240" s="74" t="s">
        <v>1249</v>
      </c>
      <c r="D240" s="74" t="s">
        <v>1250</v>
      </c>
      <c r="E240" s="117" t="s">
        <v>1251</v>
      </c>
      <c r="F240" s="74" t="s">
        <v>367</v>
      </c>
    </row>
    <row r="241" ht="31.5" spans="1:6">
      <c r="A241" s="74"/>
      <c r="B241" s="143" t="s">
        <v>1252</v>
      </c>
      <c r="C241" s="74" t="s">
        <v>1253</v>
      </c>
      <c r="D241" s="74" t="s">
        <v>1254</v>
      </c>
      <c r="E241" s="117" t="s">
        <v>1255</v>
      </c>
      <c r="F241" s="74" t="s">
        <v>407</v>
      </c>
    </row>
    <row r="242" ht="31.5" spans="1:6">
      <c r="A242" s="74"/>
      <c r="B242" s="143" t="s">
        <v>1256</v>
      </c>
      <c r="C242" s="67" t="s">
        <v>1257</v>
      </c>
      <c r="D242" s="74" t="s">
        <v>1258</v>
      </c>
      <c r="E242" s="117" t="s">
        <v>1259</v>
      </c>
      <c r="F242" s="74" t="s">
        <v>367</v>
      </c>
    </row>
    <row r="243" ht="31.5" spans="1:6">
      <c r="A243" s="74"/>
      <c r="B243" s="143" t="s">
        <v>1260</v>
      </c>
      <c r="C243" s="67" t="s">
        <v>1261</v>
      </c>
      <c r="D243" s="74" t="s">
        <v>1262</v>
      </c>
      <c r="E243" s="117" t="s">
        <v>1263</v>
      </c>
      <c r="F243" s="74" t="s">
        <v>367</v>
      </c>
    </row>
    <row r="244" ht="31.5" spans="1:6">
      <c r="A244" s="74"/>
      <c r="B244" s="143" t="s">
        <v>1264</v>
      </c>
      <c r="C244" s="74" t="s">
        <v>1265</v>
      </c>
      <c r="D244" s="74" t="s">
        <v>1266</v>
      </c>
      <c r="E244" s="117" t="s">
        <v>1267</v>
      </c>
      <c r="F244" s="74" t="s">
        <v>367</v>
      </c>
    </row>
    <row r="245" ht="31.5" spans="1:6">
      <c r="A245" s="74"/>
      <c r="B245" s="143" t="s">
        <v>1268</v>
      </c>
      <c r="C245" s="74" t="s">
        <v>1269</v>
      </c>
      <c r="D245" s="74" t="s">
        <v>1270</v>
      </c>
      <c r="E245" s="117" t="s">
        <v>1271</v>
      </c>
      <c r="F245" s="74" t="s">
        <v>698</v>
      </c>
    </row>
    <row r="246" spans="1:6">
      <c r="A246" s="74"/>
      <c r="B246" s="143" t="s">
        <v>1272</v>
      </c>
      <c r="C246" s="74" t="s">
        <v>1273</v>
      </c>
      <c r="D246" s="74" t="s">
        <v>1274</v>
      </c>
      <c r="E246" s="117" t="s">
        <v>1275</v>
      </c>
      <c r="F246" s="74" t="s">
        <v>698</v>
      </c>
    </row>
    <row r="247" spans="1:6">
      <c r="A247" s="74"/>
      <c r="B247" s="143" t="s">
        <v>1276</v>
      </c>
      <c r="C247" s="74" t="s">
        <v>1277</v>
      </c>
      <c r="D247" s="74" t="s">
        <v>1278</v>
      </c>
      <c r="E247" s="117" t="s">
        <v>1279</v>
      </c>
      <c r="F247" s="74" t="s">
        <v>407</v>
      </c>
    </row>
    <row r="248" ht="30" spans="1:6">
      <c r="A248" s="74"/>
      <c r="B248" s="143" t="s">
        <v>1280</v>
      </c>
      <c r="C248" s="74" t="s">
        <v>1281</v>
      </c>
      <c r="D248" s="74" t="s">
        <v>1282</v>
      </c>
      <c r="E248" s="117" t="s">
        <v>1283</v>
      </c>
      <c r="F248" s="74" t="s">
        <v>407</v>
      </c>
    </row>
    <row r="249" ht="30" spans="1:6">
      <c r="A249" s="74"/>
      <c r="B249" s="143" t="s">
        <v>1284</v>
      </c>
      <c r="C249" s="74" t="s">
        <v>1285</v>
      </c>
      <c r="D249" s="74" t="s">
        <v>1286</v>
      </c>
      <c r="E249" s="117" t="s">
        <v>1287</v>
      </c>
      <c r="F249" s="74" t="s">
        <v>367</v>
      </c>
    </row>
    <row r="250" ht="30" spans="1:6">
      <c r="A250" s="74"/>
      <c r="B250" s="143" t="s">
        <v>1288</v>
      </c>
      <c r="C250" s="74" t="s">
        <v>1289</v>
      </c>
      <c r="D250" s="74" t="s">
        <v>1290</v>
      </c>
      <c r="E250" s="117" t="s">
        <v>1291</v>
      </c>
      <c r="F250" s="74" t="s">
        <v>396</v>
      </c>
    </row>
    <row r="251" ht="30" spans="1:6">
      <c r="A251" s="74"/>
      <c r="B251" s="143" t="s">
        <v>1292</v>
      </c>
      <c r="C251" s="74" t="s">
        <v>1293</v>
      </c>
      <c r="D251" s="74" t="s">
        <v>1294</v>
      </c>
      <c r="E251" s="117" t="s">
        <v>1295</v>
      </c>
      <c r="F251" s="74" t="s">
        <v>343</v>
      </c>
    </row>
    <row r="252" spans="1:6">
      <c r="A252" s="74"/>
      <c r="B252" s="143" t="s">
        <v>1296</v>
      </c>
      <c r="C252" s="106" t="s">
        <v>1297</v>
      </c>
      <c r="D252" s="116" t="s">
        <v>1298</v>
      </c>
      <c r="E252" s="108" t="s">
        <v>1299</v>
      </c>
      <c r="F252" s="74" t="s">
        <v>367</v>
      </c>
    </row>
    <row r="253" spans="1:6">
      <c r="A253" s="74"/>
      <c r="B253" s="143" t="s">
        <v>1300</v>
      </c>
      <c r="C253" s="106" t="s">
        <v>1301</v>
      </c>
      <c r="D253" s="116" t="s">
        <v>1302</v>
      </c>
      <c r="E253" s="108" t="s">
        <v>1303</v>
      </c>
      <c r="F253" s="74" t="s">
        <v>343</v>
      </c>
    </row>
    <row r="254" spans="1:6">
      <c r="A254" s="74"/>
      <c r="B254" s="143" t="s">
        <v>1304</v>
      </c>
      <c r="C254" s="106" t="s">
        <v>1305</v>
      </c>
      <c r="D254" s="116" t="s">
        <v>1306</v>
      </c>
      <c r="E254" s="108" t="s">
        <v>1307</v>
      </c>
      <c r="F254" s="74" t="s">
        <v>367</v>
      </c>
    </row>
    <row r="255" ht="28.5" spans="1:6">
      <c r="A255" s="74"/>
      <c r="B255" s="143" t="s">
        <v>1308</v>
      </c>
      <c r="C255" s="106" t="s">
        <v>1309</v>
      </c>
      <c r="D255" s="116" t="s">
        <v>1310</v>
      </c>
      <c r="E255" s="108" t="s">
        <v>1311</v>
      </c>
      <c r="F255" s="74" t="s">
        <v>367</v>
      </c>
    </row>
    <row r="256" spans="1:6">
      <c r="A256" s="74"/>
      <c r="B256" s="143" t="s">
        <v>1312</v>
      </c>
      <c r="C256" s="106" t="s">
        <v>1313</v>
      </c>
      <c r="D256" s="116" t="s">
        <v>1314</v>
      </c>
      <c r="E256" s="108" t="s">
        <v>1315</v>
      </c>
      <c r="F256" s="74" t="s">
        <v>550</v>
      </c>
    </row>
    <row r="257" spans="1:6">
      <c r="A257" s="74"/>
      <c r="B257" s="143" t="s">
        <v>1316</v>
      </c>
      <c r="C257" s="106" t="s">
        <v>1317</v>
      </c>
      <c r="D257" s="116" t="s">
        <v>1318</v>
      </c>
      <c r="E257" s="108" t="s">
        <v>1319</v>
      </c>
      <c r="F257" s="74" t="s">
        <v>338</v>
      </c>
    </row>
    <row r="258" spans="1:6">
      <c r="A258" s="74"/>
      <c r="B258" s="143" t="s">
        <v>1320</v>
      </c>
      <c r="C258" s="106" t="s">
        <v>1321</v>
      </c>
      <c r="D258" s="116" t="s">
        <v>1322</v>
      </c>
      <c r="E258" s="108" t="s">
        <v>1323</v>
      </c>
      <c r="F258" s="74" t="s">
        <v>367</v>
      </c>
    </row>
    <row r="259" spans="1:6">
      <c r="A259" s="74"/>
      <c r="B259" s="143" t="s">
        <v>1324</v>
      </c>
      <c r="C259" s="106" t="s">
        <v>1325</v>
      </c>
      <c r="D259" s="116" t="s">
        <v>1326</v>
      </c>
      <c r="E259" s="108" t="s">
        <v>1327</v>
      </c>
      <c r="F259" s="74" t="s">
        <v>367</v>
      </c>
    </row>
    <row r="260" spans="1:6">
      <c r="B260" s="143" t="s">
        <v>1328</v>
      </c>
      <c r="C260" s="106" t="s">
        <v>1329</v>
      </c>
      <c r="D260" s="116" t="s">
        <v>1330</v>
      </c>
      <c r="E260" s="108" t="s">
        <v>1331</v>
      </c>
      <c r="F260" s="74" t="s">
        <v>367</v>
      </c>
    </row>
    <row r="261" ht="28.5" spans="1:6">
      <c r="A261" s="74"/>
      <c r="B261" s="143" t="s">
        <v>1332</v>
      </c>
      <c r="C261" s="106" t="s">
        <v>1333</v>
      </c>
      <c r="D261" s="116" t="s">
        <v>1334</v>
      </c>
      <c r="E261" s="108" t="s">
        <v>1335</v>
      </c>
      <c r="F261" s="74" t="s">
        <v>563</v>
      </c>
    </row>
    <row r="262" spans="1:6">
      <c r="A262" s="74"/>
      <c r="B262" s="143" t="s">
        <v>1336</v>
      </c>
      <c r="C262" s="106" t="s">
        <v>1337</v>
      </c>
      <c r="D262" s="116" t="s">
        <v>1338</v>
      </c>
      <c r="E262" s="108" t="s">
        <v>1339</v>
      </c>
      <c r="F262" s="74" t="s">
        <v>367</v>
      </c>
    </row>
    <row r="263" spans="1:6">
      <c r="A263" s="74"/>
      <c r="B263" s="143" t="s">
        <v>1340</v>
      </c>
      <c r="C263" s="106" t="s">
        <v>1341</v>
      </c>
      <c r="D263" s="116" t="s">
        <v>1342</v>
      </c>
      <c r="E263" s="108" t="s">
        <v>1343</v>
      </c>
      <c r="F263" s="74" t="s">
        <v>478</v>
      </c>
    </row>
    <row r="264" spans="1:6">
      <c r="A264" s="74"/>
      <c r="B264" s="143" t="s">
        <v>1344</v>
      </c>
      <c r="C264" s="106" t="s">
        <v>1345</v>
      </c>
      <c r="D264" s="116" t="s">
        <v>1346</v>
      </c>
      <c r="E264" s="106" t="s">
        <v>1347</v>
      </c>
      <c r="F264" s="74" t="s">
        <v>1143</v>
      </c>
    </row>
    <row r="265" spans="1:6">
      <c r="A265" s="74"/>
      <c r="B265" s="143" t="s">
        <v>1348</v>
      </c>
      <c r="C265" s="106" t="s">
        <v>1349</v>
      </c>
      <c r="D265" s="116" t="s">
        <v>1350</v>
      </c>
      <c r="E265" s="106" t="s">
        <v>1351</v>
      </c>
      <c r="F265" s="74" t="s">
        <v>1143</v>
      </c>
    </row>
    <row r="266" spans="1:6">
      <c r="A266" s="74"/>
      <c r="B266" s="143" t="s">
        <v>1352</v>
      </c>
      <c r="C266" s="106" t="s">
        <v>1353</v>
      </c>
      <c r="D266" s="116" t="s">
        <v>1354</v>
      </c>
      <c r="E266" s="106" t="s">
        <v>1355</v>
      </c>
      <c r="F266" s="74" t="s">
        <v>1143</v>
      </c>
    </row>
    <row r="267" ht="57" spans="1:6">
      <c r="A267" s="74"/>
      <c r="B267" s="143" t="s">
        <v>1356</v>
      </c>
      <c r="C267" s="106" t="s">
        <v>1357</v>
      </c>
      <c r="D267" s="116" t="s">
        <v>1358</v>
      </c>
      <c r="E267" s="108" t="s">
        <v>1359</v>
      </c>
      <c r="F267" s="74" t="s">
        <v>407</v>
      </c>
    </row>
    <row r="268" ht="28.5" spans="1:6">
      <c r="A268" s="74"/>
      <c r="B268" s="143" t="s">
        <v>1360</v>
      </c>
      <c r="C268" s="106" t="s">
        <v>1361</v>
      </c>
      <c r="D268" s="116" t="s">
        <v>1362</v>
      </c>
      <c r="E268" s="108" t="s">
        <v>1363</v>
      </c>
      <c r="F268" s="74" t="s">
        <v>407</v>
      </c>
    </row>
    <row r="269" spans="1:6">
      <c r="A269" s="74"/>
      <c r="B269" s="143" t="s">
        <v>1364</v>
      </c>
      <c r="C269" s="106" t="s">
        <v>1365</v>
      </c>
      <c r="D269" s="116" t="s">
        <v>1366</v>
      </c>
      <c r="E269" s="108" t="s">
        <v>1367</v>
      </c>
      <c r="F269" s="74" t="s">
        <v>550</v>
      </c>
    </row>
    <row r="270" spans="1:6">
      <c r="A270" s="74"/>
      <c r="B270" s="143" t="s">
        <v>1368</v>
      </c>
      <c r="C270" s="106" t="s">
        <v>1369</v>
      </c>
      <c r="D270" s="116" t="s">
        <v>1370</v>
      </c>
      <c r="E270" s="108" t="s">
        <v>1371</v>
      </c>
      <c r="F270" s="74" t="s">
        <v>367</v>
      </c>
    </row>
    <row r="271" ht="94.5" spans="1:6">
      <c r="A271" s="74"/>
      <c r="B271" s="143" t="s">
        <v>1372</v>
      </c>
      <c r="C271" s="106" t="s">
        <v>1373</v>
      </c>
      <c r="D271" s="116" t="s">
        <v>1374</v>
      </c>
      <c r="E271" s="108" t="s">
        <v>1375</v>
      </c>
      <c r="F271" s="74" t="s">
        <v>407</v>
      </c>
    </row>
    <row r="272" ht="28.5" spans="1:6">
      <c r="A272" s="74"/>
      <c r="B272" s="143" t="s">
        <v>1376</v>
      </c>
      <c r="C272" s="106" t="s">
        <v>1377</v>
      </c>
      <c r="D272" s="116" t="s">
        <v>1378</v>
      </c>
      <c r="E272" s="108" t="s">
        <v>1379</v>
      </c>
      <c r="F272" s="74" t="s">
        <v>1380</v>
      </c>
    </row>
    <row r="273" ht="28.5" spans="1:6">
      <c r="A273" s="74"/>
      <c r="B273" s="143" t="s">
        <v>1381</v>
      </c>
      <c r="C273" s="106" t="s">
        <v>1382</v>
      </c>
      <c r="D273" s="116" t="s">
        <v>1383</v>
      </c>
      <c r="E273" s="108" t="s">
        <v>1384</v>
      </c>
      <c r="F273" s="74" t="s">
        <v>1380</v>
      </c>
    </row>
    <row r="274" ht="28.5" spans="1:6">
      <c r="A274" s="74"/>
      <c r="B274" s="143" t="s">
        <v>1385</v>
      </c>
      <c r="C274" s="106" t="s">
        <v>1386</v>
      </c>
      <c r="D274" s="116" t="s">
        <v>1387</v>
      </c>
      <c r="E274" s="108" t="s">
        <v>1388</v>
      </c>
      <c r="F274" s="74" t="s">
        <v>1380</v>
      </c>
    </row>
    <row r="275" spans="1:6">
      <c r="A275" s="74"/>
      <c r="B275" s="143" t="s">
        <v>1389</v>
      </c>
      <c r="C275" s="106" t="s">
        <v>1390</v>
      </c>
      <c r="D275" s="116" t="s">
        <v>1391</v>
      </c>
      <c r="E275" s="108" t="s">
        <v>1392</v>
      </c>
      <c r="F275" s="74" t="s">
        <v>407</v>
      </c>
    </row>
    <row r="276" spans="1:6">
      <c r="A276" s="74"/>
      <c r="B276" s="143" t="s">
        <v>1393</v>
      </c>
      <c r="C276" s="106" t="s">
        <v>1394</v>
      </c>
      <c r="D276" s="116" t="s">
        <v>1395</v>
      </c>
      <c r="E276" s="108" t="s">
        <v>1396</v>
      </c>
      <c r="F276" s="74" t="s">
        <v>452</v>
      </c>
    </row>
    <row r="277" ht="28.5" spans="1:6">
      <c r="A277" s="74"/>
      <c r="B277" s="143" t="s">
        <v>1397</v>
      </c>
      <c r="C277" s="106" t="s">
        <v>1398</v>
      </c>
      <c r="D277" s="116" t="s">
        <v>1399</v>
      </c>
      <c r="E277" s="108" t="s">
        <v>1400</v>
      </c>
      <c r="F277" s="74" t="s">
        <v>367</v>
      </c>
    </row>
    <row r="278" spans="1:6">
      <c r="A278" s="74"/>
      <c r="B278" s="143" t="s">
        <v>1401</v>
      </c>
      <c r="C278" s="106" t="s">
        <v>1402</v>
      </c>
      <c r="D278" s="116" t="s">
        <v>1403</v>
      </c>
      <c r="E278" s="108" t="s">
        <v>1404</v>
      </c>
      <c r="F278" s="74" t="s">
        <v>367</v>
      </c>
    </row>
    <row r="279" ht="28.5" spans="1:6">
      <c r="A279" s="74"/>
      <c r="B279" s="143" t="s">
        <v>1405</v>
      </c>
      <c r="C279" s="106" t="s">
        <v>1406</v>
      </c>
      <c r="D279" s="116" t="s">
        <v>1407</v>
      </c>
      <c r="E279" s="108" t="s">
        <v>1408</v>
      </c>
      <c r="F279" s="74" t="s">
        <v>367</v>
      </c>
    </row>
    <row r="280" ht="78.75" spans="1:6">
      <c r="A280" s="74"/>
      <c r="B280" s="143" t="s">
        <v>1409</v>
      </c>
      <c r="C280" s="106" t="s">
        <v>1410</v>
      </c>
      <c r="D280" s="116" t="s">
        <v>1411</v>
      </c>
      <c r="E280" s="108" t="s">
        <v>1412</v>
      </c>
      <c r="F280" s="74" t="s">
        <v>563</v>
      </c>
    </row>
    <row r="281" spans="1:6">
      <c r="A281" s="74"/>
      <c r="B281" s="143" t="s">
        <v>1413</v>
      </c>
      <c r="C281" s="106" t="s">
        <v>1414</v>
      </c>
      <c r="D281" s="116" t="s">
        <v>1415</v>
      </c>
      <c r="E281" s="108" t="s">
        <v>1416</v>
      </c>
      <c r="F281" s="74" t="s">
        <v>367</v>
      </c>
    </row>
    <row r="282" spans="1:6">
      <c r="A282" s="74"/>
      <c r="B282" s="143" t="s">
        <v>1417</v>
      </c>
      <c r="C282" s="106" t="s">
        <v>1418</v>
      </c>
      <c r="D282" s="116" t="s">
        <v>1419</v>
      </c>
      <c r="E282" s="108" t="s">
        <v>1420</v>
      </c>
      <c r="F282" s="74" t="s">
        <v>343</v>
      </c>
    </row>
    <row r="283" ht="28.5" spans="1:6">
      <c r="A283" s="74"/>
      <c r="B283" s="143" t="s">
        <v>1421</v>
      </c>
      <c r="C283" s="106" t="s">
        <v>1422</v>
      </c>
      <c r="D283" s="116" t="s">
        <v>1423</v>
      </c>
      <c r="E283" s="108" t="s">
        <v>1424</v>
      </c>
      <c r="F283" s="74" t="s">
        <v>367</v>
      </c>
    </row>
    <row r="284" spans="1:6">
      <c r="A284" s="74"/>
      <c r="B284" s="143" t="s">
        <v>1425</v>
      </c>
      <c r="C284" s="106" t="s">
        <v>1426</v>
      </c>
      <c r="D284" s="116" t="s">
        <v>1427</v>
      </c>
      <c r="E284" s="108" t="s">
        <v>1428</v>
      </c>
      <c r="F284" s="74" t="s">
        <v>550</v>
      </c>
    </row>
    <row r="285" spans="1:6">
      <c r="A285" s="74"/>
      <c r="B285" s="143" t="s">
        <v>1429</v>
      </c>
      <c r="C285" s="106" t="s">
        <v>1430</v>
      </c>
      <c r="D285" s="116" t="s">
        <v>1431</v>
      </c>
      <c r="E285" s="108" t="s">
        <v>1432</v>
      </c>
      <c r="F285" s="74" t="s">
        <v>362</v>
      </c>
    </row>
    <row r="286" ht="47.25" spans="1:6">
      <c r="A286" s="74"/>
      <c r="B286" s="143" t="s">
        <v>1433</v>
      </c>
      <c r="C286" s="106" t="s">
        <v>1434</v>
      </c>
      <c r="D286" s="116" t="s">
        <v>1435</v>
      </c>
      <c r="E286" s="108" t="s">
        <v>1436</v>
      </c>
      <c r="F286" s="74" t="s">
        <v>367</v>
      </c>
    </row>
    <row r="287" spans="1:6">
      <c r="A287" s="74"/>
      <c r="B287" s="143" t="s">
        <v>1437</v>
      </c>
      <c r="C287" s="106" t="s">
        <v>1438</v>
      </c>
      <c r="D287" s="116" t="s">
        <v>1439</v>
      </c>
      <c r="E287" s="108" t="s">
        <v>1440</v>
      </c>
      <c r="F287" s="74" t="s">
        <v>367</v>
      </c>
    </row>
    <row r="288" ht="42.75" spans="1:6">
      <c r="A288" s="74"/>
      <c r="B288" s="143" t="s">
        <v>1441</v>
      </c>
      <c r="C288" s="106" t="s">
        <v>1442</v>
      </c>
      <c r="D288" s="116" t="s">
        <v>1443</v>
      </c>
      <c r="E288" s="108" t="s">
        <v>1444</v>
      </c>
      <c r="F288" s="74" t="s">
        <v>1143</v>
      </c>
    </row>
    <row r="289" spans="1:6">
      <c r="A289" s="74"/>
      <c r="B289" s="143" t="s">
        <v>1445</v>
      </c>
      <c r="C289" s="106" t="s">
        <v>1446</v>
      </c>
      <c r="D289" s="116" t="s">
        <v>1447</v>
      </c>
      <c r="E289" s="114" t="s">
        <v>1448</v>
      </c>
      <c r="F289" s="74" t="s">
        <v>367</v>
      </c>
    </row>
    <row r="290" spans="1:6">
      <c r="A290" s="74"/>
      <c r="B290" s="143" t="s">
        <v>1449</v>
      </c>
      <c r="C290" s="106" t="s">
        <v>1450</v>
      </c>
      <c r="D290" s="116" t="s">
        <v>1451</v>
      </c>
      <c r="E290" s="108" t="s">
        <v>1452</v>
      </c>
      <c r="F290" s="74" t="s">
        <v>328</v>
      </c>
    </row>
    <row r="291" spans="1:6">
      <c r="A291" s="74"/>
      <c r="B291" s="143" t="s">
        <v>1453</v>
      </c>
      <c r="C291" s="106" t="s">
        <v>1454</v>
      </c>
      <c r="D291" s="116" t="s">
        <v>1455</v>
      </c>
      <c r="E291" s="108" t="s">
        <v>1456</v>
      </c>
      <c r="F291" s="74" t="s">
        <v>396</v>
      </c>
    </row>
    <row r="292" spans="1:6">
      <c r="A292" s="74"/>
      <c r="B292" s="143" t="s">
        <v>1457</v>
      </c>
      <c r="C292" s="106" t="s">
        <v>1458</v>
      </c>
      <c r="D292" s="116" t="s">
        <v>1459</v>
      </c>
      <c r="E292" s="108" t="s">
        <v>1460</v>
      </c>
      <c r="F292" s="74" t="s">
        <v>367</v>
      </c>
    </row>
    <row r="293" ht="42.75" spans="1:6">
      <c r="A293" s="74"/>
      <c r="B293" s="143" t="s">
        <v>1461</v>
      </c>
      <c r="C293" s="106" t="s">
        <v>1462</v>
      </c>
      <c r="D293" s="116" t="s">
        <v>1463</v>
      </c>
      <c r="E293" s="108" t="s">
        <v>1464</v>
      </c>
      <c r="F293" s="107" t="s">
        <v>407</v>
      </c>
    </row>
    <row r="294" spans="1:6">
      <c r="A294" s="74"/>
      <c r="B294" s="143" t="s">
        <v>1465</v>
      </c>
      <c r="C294" s="106" t="s">
        <v>1466</v>
      </c>
      <c r="D294" s="116" t="s">
        <v>1467</v>
      </c>
      <c r="E294" s="108" t="s">
        <v>1468</v>
      </c>
      <c r="F294" s="74" t="s">
        <v>1380</v>
      </c>
    </row>
    <row r="295" spans="1:6">
      <c r="A295" s="74"/>
      <c r="B295" s="143" t="s">
        <v>1469</v>
      </c>
      <c r="C295" s="106" t="s">
        <v>1470</v>
      </c>
      <c r="D295" s="116" t="s">
        <v>1471</v>
      </c>
      <c r="E295" s="108" t="s">
        <v>1472</v>
      </c>
      <c r="F295" s="74" t="s">
        <v>367</v>
      </c>
    </row>
    <row r="296" spans="1:6">
      <c r="A296" s="74"/>
      <c r="B296" s="143" t="s">
        <v>1473</v>
      </c>
      <c r="C296" s="106" t="s">
        <v>1474</v>
      </c>
      <c r="D296" s="116" t="s">
        <v>1475</v>
      </c>
      <c r="E296" s="108" t="s">
        <v>1476</v>
      </c>
      <c r="F296" s="74" t="s">
        <v>367</v>
      </c>
    </row>
    <row r="297" spans="1:6">
      <c r="A297" s="74"/>
      <c r="B297" s="143" t="s">
        <v>1477</v>
      </c>
      <c r="C297" s="106" t="s">
        <v>1478</v>
      </c>
      <c r="D297" s="116" t="s">
        <v>1479</v>
      </c>
      <c r="E297" s="108" t="s">
        <v>1480</v>
      </c>
      <c r="F297" s="74" t="s">
        <v>362</v>
      </c>
    </row>
    <row r="298" spans="1:6">
      <c r="A298" s="74"/>
      <c r="B298" s="143" t="s">
        <v>1481</v>
      </c>
      <c r="C298" s="106" t="s">
        <v>1482</v>
      </c>
      <c r="D298" s="116" t="s">
        <v>1483</v>
      </c>
      <c r="E298" s="108" t="s">
        <v>1484</v>
      </c>
      <c r="F298" s="74" t="s">
        <v>367</v>
      </c>
    </row>
    <row r="299" spans="1:6">
      <c r="A299" s="74"/>
      <c r="B299" s="143" t="s">
        <v>1485</v>
      </c>
      <c r="C299" s="106" t="s">
        <v>1486</v>
      </c>
      <c r="D299" s="116" t="s">
        <v>1487</v>
      </c>
      <c r="E299" s="108" t="s">
        <v>1488</v>
      </c>
      <c r="F299" s="74" t="s">
        <v>367</v>
      </c>
    </row>
    <row r="300" spans="1:6">
      <c r="A300" s="74"/>
      <c r="B300" s="143" t="s">
        <v>1489</v>
      </c>
      <c r="C300" s="106" t="s">
        <v>1490</v>
      </c>
      <c r="D300" s="116" t="s">
        <v>1491</v>
      </c>
      <c r="E300" s="108" t="s">
        <v>1492</v>
      </c>
      <c r="F300" s="74" t="s">
        <v>367</v>
      </c>
    </row>
    <row r="301" spans="1:6">
      <c r="A301" s="74"/>
      <c r="B301" s="143" t="s">
        <v>1493</v>
      </c>
      <c r="C301" s="106" t="s">
        <v>1494</v>
      </c>
      <c r="D301" s="116" t="s">
        <v>1495</v>
      </c>
      <c r="E301" s="108" t="s">
        <v>1496</v>
      </c>
      <c r="F301" s="74" t="s">
        <v>367</v>
      </c>
    </row>
    <row r="302" ht="28.5" spans="1:6">
      <c r="A302" s="74"/>
      <c r="B302" s="143" t="s">
        <v>1497</v>
      </c>
      <c r="C302" s="106" t="s">
        <v>1498</v>
      </c>
      <c r="D302" s="116" t="s">
        <v>1286</v>
      </c>
      <c r="E302" s="108" t="s">
        <v>1499</v>
      </c>
      <c r="F302" s="74" t="s">
        <v>563</v>
      </c>
    </row>
    <row r="303" ht="30" spans="1:6">
      <c r="A303" s="74"/>
      <c r="B303" s="143" t="s">
        <v>1500</v>
      </c>
      <c r="C303" s="106" t="s">
        <v>1501</v>
      </c>
      <c r="D303" s="116" t="s">
        <v>1502</v>
      </c>
      <c r="E303" s="108" t="s">
        <v>1503</v>
      </c>
      <c r="F303" s="74" t="s">
        <v>367</v>
      </c>
    </row>
    <row r="304" spans="1:6">
      <c r="A304" s="74"/>
      <c r="B304" s="143" t="s">
        <v>1504</v>
      </c>
      <c r="C304" s="106" t="s">
        <v>1505</v>
      </c>
      <c r="D304" s="116" t="s">
        <v>1506</v>
      </c>
      <c r="E304" s="108" t="s">
        <v>1507</v>
      </c>
      <c r="F304" s="74" t="s">
        <v>367</v>
      </c>
    </row>
    <row r="305" spans="1:6">
      <c r="A305" s="74"/>
      <c r="B305" s="143" t="s">
        <v>1508</v>
      </c>
      <c r="C305" s="106" t="s">
        <v>1509</v>
      </c>
      <c r="D305" s="116" t="s">
        <v>1510</v>
      </c>
      <c r="E305" s="108" t="s">
        <v>1511</v>
      </c>
      <c r="F305" s="74" t="s">
        <v>367</v>
      </c>
    </row>
    <row r="306" spans="1:6">
      <c r="A306" s="74"/>
      <c r="B306" s="143" t="s">
        <v>1512</v>
      </c>
      <c r="C306" s="106" t="s">
        <v>1513</v>
      </c>
      <c r="D306" s="116" t="s">
        <v>1514</v>
      </c>
      <c r="E306" s="108" t="s">
        <v>1515</v>
      </c>
      <c r="F306" s="74" t="s">
        <v>367</v>
      </c>
    </row>
    <row r="307" ht="28.5" spans="1:6">
      <c r="A307" s="74"/>
      <c r="B307" s="143" t="s">
        <v>1516</v>
      </c>
      <c r="C307" s="108" t="s">
        <v>1517</v>
      </c>
      <c r="D307" s="116" t="s">
        <v>1518</v>
      </c>
      <c r="E307" s="108" t="s">
        <v>1519</v>
      </c>
      <c r="F307" s="74" t="s">
        <v>367</v>
      </c>
    </row>
    <row r="308" spans="1:6">
      <c r="A308" s="74"/>
      <c r="B308" s="143" t="s">
        <v>1520</v>
      </c>
      <c r="C308" s="106" t="s">
        <v>1521</v>
      </c>
      <c r="D308" s="116" t="s">
        <v>1522</v>
      </c>
      <c r="E308" s="108" t="s">
        <v>1523</v>
      </c>
      <c r="F308" s="74" t="s">
        <v>367</v>
      </c>
    </row>
    <row r="309" ht="31.5" spans="1:6">
      <c r="A309" s="74"/>
      <c r="B309" s="143" t="s">
        <v>1524</v>
      </c>
      <c r="C309" s="106" t="s">
        <v>1525</v>
      </c>
      <c r="D309" s="116" t="s">
        <v>1526</v>
      </c>
      <c r="E309" s="108" t="s">
        <v>1527</v>
      </c>
      <c r="F309" s="74" t="s">
        <v>367</v>
      </c>
    </row>
    <row r="310" ht="57" spans="1:6">
      <c r="A310" s="74"/>
      <c r="B310" s="143" t="s">
        <v>1528</v>
      </c>
      <c r="C310" s="118" t="s">
        <v>1529</v>
      </c>
      <c r="D310" s="119" t="s">
        <v>1530</v>
      </c>
      <c r="E310" s="120" t="s">
        <v>1531</v>
      </c>
      <c r="F310" s="74" t="s">
        <v>1143</v>
      </c>
    </row>
    <row r="311" ht="85.5" spans="1:6">
      <c r="A311" s="74"/>
      <c r="B311" s="143" t="s">
        <v>1532</v>
      </c>
      <c r="C311" s="118" t="s">
        <v>1533</v>
      </c>
      <c r="D311" s="119" t="s">
        <v>1534</v>
      </c>
      <c r="E311" s="120" t="s">
        <v>1535</v>
      </c>
      <c r="F311" s="121" t="s">
        <v>367</v>
      </c>
    </row>
    <row r="312" spans="1:6">
      <c r="A312" s="122"/>
      <c r="B312" s="143" t="s">
        <v>1536</v>
      </c>
      <c r="C312" s="106" t="s">
        <v>1537</v>
      </c>
      <c r="D312" s="116" t="s">
        <v>1538</v>
      </c>
      <c r="E312" s="108" t="s">
        <v>1539</v>
      </c>
      <c r="F312" s="74" t="s">
        <v>338</v>
      </c>
    </row>
    <row r="313" spans="1:6">
      <c r="B313" s="143" t="s">
        <v>1540</v>
      </c>
      <c r="C313" s="74" t="s">
        <v>1541</v>
      </c>
      <c r="D313" s="74" t="s">
        <v>1542</v>
      </c>
      <c r="E313" s="117" t="s">
        <v>1543</v>
      </c>
      <c r="F313" s="74" t="s">
        <v>367</v>
      </c>
    </row>
    <row r="314" spans="1:6">
      <c r="B314" s="143" t="s">
        <v>1544</v>
      </c>
      <c r="C314" s="69" t="s">
        <v>1545</v>
      </c>
      <c r="D314" s="74" t="s">
        <v>1546</v>
      </c>
      <c r="E314" s="117" t="s">
        <v>1547</v>
      </c>
      <c r="F314" s="74" t="s">
        <v>452</v>
      </c>
    </row>
    <row r="315" spans="1:6">
      <c r="B315" s="143" t="s">
        <v>1548</v>
      </c>
      <c r="C315" s="74" t="s">
        <v>1549</v>
      </c>
      <c r="D315" s="74" t="s">
        <v>1137</v>
      </c>
      <c r="E315" s="73" t="s">
        <v>1432</v>
      </c>
      <c r="F315" s="123" t="s">
        <v>362</v>
      </c>
    </row>
    <row r="316" spans="1:6">
      <c r="B316" s="143" t="s">
        <v>1550</v>
      </c>
      <c r="C316" s="74" t="s">
        <v>1551</v>
      </c>
      <c r="D316" s="74" t="s">
        <v>1552</v>
      </c>
      <c r="E316" s="73" t="s">
        <v>1432</v>
      </c>
      <c r="F316" s="124" t="s">
        <v>362</v>
      </c>
    </row>
    <row r="317" ht="254.25" spans="1:6">
      <c r="B317" s="143" t="s">
        <v>1553</v>
      </c>
      <c r="C317" s="74" t="s">
        <v>1554</v>
      </c>
      <c r="D317" s="74" t="s">
        <v>1555</v>
      </c>
      <c r="E317" s="73" t="s">
        <v>1556</v>
      </c>
      <c r="F317" s="74" t="s">
        <v>407</v>
      </c>
    </row>
    <row r="318" spans="1:6">
      <c r="B318" s="143" t="s">
        <v>1557</v>
      </c>
      <c r="C318" s="74" t="s">
        <v>1558</v>
      </c>
      <c r="D318" s="74" t="s">
        <v>1559</v>
      </c>
      <c r="E318" s="73" t="s">
        <v>1560</v>
      </c>
      <c r="F318" s="74" t="s">
        <v>367</v>
      </c>
    </row>
    <row r="319" ht="44.25" spans="1:6">
      <c r="B319" s="143" t="s">
        <v>1561</v>
      </c>
      <c r="C319" s="74" t="s">
        <v>1562</v>
      </c>
      <c r="D319" s="74" t="s">
        <v>1563</v>
      </c>
      <c r="E319" s="73" t="s">
        <v>1564</v>
      </c>
      <c r="F319" s="74" t="s">
        <v>407</v>
      </c>
    </row>
    <row r="320" spans="1:6">
      <c r="B320" s="143" t="s">
        <v>1565</v>
      </c>
      <c r="C320" s="74" t="s">
        <v>1566</v>
      </c>
      <c r="D320" s="74" t="s">
        <v>1567</v>
      </c>
      <c r="E320" s="74" t="s">
        <v>1568</v>
      </c>
      <c r="F320" s="74" t="s">
        <v>367</v>
      </c>
    </row>
  </sheetData>
  <mergeCells count="7">
    <mergeCell ref="A4:A5"/>
    <mergeCell ref="B4:B5"/>
    <mergeCell ref="C4:C5"/>
    <mergeCell ref="D4:D5"/>
    <mergeCell ref="E4:E5"/>
    <mergeCell ref="F4:F5"/>
    <mergeCell ref="A2:F3"/>
  </mergeCells>
  <pageMargins left="0.75" right="0.75" top="1" bottom="1" header="0.510416666666667" footer="0.510416666666667"/>
  <pageSetup paperSize="9" scale="50"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P1924"/>
  <sheetViews>
    <sheetView showGridLines="0" view="pageBreakPreview" zoomScale="75" zoomScaleNormal="75" topLeftCell="A238" workbookViewId="0">
      <selection activeCell="A78" sqref="A78:P251"/>
    </sheetView>
  </sheetViews>
  <sheetFormatPr defaultColWidth="9" defaultRowHeight="20.1" customHeight="1"/>
  <cols>
    <col min="1" max="1" width="10.75" style="41" customWidth="1"/>
    <col min="2" max="2" width="10.75" style="42" customWidth="1"/>
    <col min="3" max="3" width="17.75" style="43" customWidth="1"/>
    <col min="4" max="4" width="26.25" style="43" customWidth="1"/>
    <col min="5" max="5" width="10.75" style="44" customWidth="1"/>
    <col min="6" max="6" width="45.375" style="45" customWidth="1"/>
    <col min="7" max="7" width="10.75" style="44" customWidth="1"/>
    <col min="8" max="8" width="10.75" style="45" customWidth="1"/>
    <col min="9" max="9" width="17.125" style="45" customWidth="1"/>
    <col min="10" max="10" width="10.75" style="45" customWidth="1"/>
    <col min="11" max="11" width="74" style="45" customWidth="1"/>
    <col min="12" max="12" width="10.75" style="45" customWidth="1"/>
    <col min="13" max="15" width="10.75" style="46" customWidth="1"/>
    <col min="16" max="16" width="10.75" style="47" customWidth="1"/>
    <col min="17" max="16384" width="9" style="48"/>
  </cols>
  <sheetData>
    <row r="1" customHeight="1" spans="1:16">
      <c r="F1" s="46"/>
      <c r="G1" s="49"/>
      <c r="H1" s="46"/>
      <c r="L1" s="46"/>
    </row>
    <row r="2" customHeight="1" spans="1:16">
      <c r="A2" s="50" t="s">
        <v>1569</v>
      </c>
      <c r="B2" s="51"/>
      <c r="C2" s="51"/>
      <c r="D2" s="51"/>
      <c r="E2" s="52"/>
      <c r="F2" s="52"/>
      <c r="G2" s="53"/>
      <c r="H2" s="52"/>
      <c r="I2" s="52"/>
      <c r="J2" s="54"/>
      <c r="K2" s="52"/>
      <c r="L2" s="52"/>
      <c r="M2" s="55"/>
      <c r="N2" s="52"/>
      <c r="O2" s="52"/>
      <c r="P2" s="52"/>
    </row>
    <row r="3" customHeight="1" spans="1:16">
      <c r="A3" s="56"/>
      <c r="B3" s="51"/>
      <c r="C3" s="51"/>
      <c r="D3" s="51"/>
      <c r="E3" s="52"/>
      <c r="F3" s="52"/>
      <c r="G3" s="53"/>
      <c r="H3" s="52"/>
      <c r="I3" s="52"/>
      <c r="J3" s="54"/>
      <c r="K3" s="52"/>
      <c r="L3" s="52"/>
      <c r="M3" s="55"/>
      <c r="N3" s="52"/>
      <c r="O3" s="52"/>
      <c r="P3" s="52"/>
    </row>
    <row r="4" ht="39.95" customHeight="1" spans="1:16">
      <c r="A4" s="57" t="s">
        <v>317</v>
      </c>
      <c r="B4" s="58" t="s">
        <v>1570</v>
      </c>
      <c r="C4" s="59" t="s">
        <v>1571</v>
      </c>
      <c r="D4" s="60" t="s">
        <v>1572</v>
      </c>
      <c r="E4" s="58" t="s">
        <v>1573</v>
      </c>
      <c r="F4" s="60" t="s">
        <v>1574</v>
      </c>
      <c r="G4" s="58" t="s">
        <v>1575</v>
      </c>
      <c r="H4" s="60" t="s">
        <v>1576</v>
      </c>
      <c r="I4" s="60" t="s">
        <v>1577</v>
      </c>
      <c r="J4" s="60" t="s">
        <v>318</v>
      </c>
      <c r="K4" s="60" t="s">
        <v>321</v>
      </c>
      <c r="L4" s="60" t="s">
        <v>322</v>
      </c>
      <c r="M4" s="57" t="s">
        <v>484</v>
      </c>
      <c r="N4" s="57" t="s">
        <v>1578</v>
      </c>
      <c r="O4" s="57" t="s">
        <v>1579</v>
      </c>
      <c r="P4" s="61" t="s">
        <v>1580</v>
      </c>
    </row>
    <row r="5" ht="39.95" hidden="1" customHeight="1" spans="1:16">
      <c r="A5" s="62"/>
      <c r="B5" s="58"/>
      <c r="C5" s="59"/>
      <c r="D5" s="60"/>
      <c r="E5" s="58"/>
      <c r="F5" s="60"/>
      <c r="G5" s="58"/>
      <c r="H5" s="60"/>
      <c r="I5" s="60"/>
      <c r="J5" s="60"/>
      <c r="K5" s="60"/>
      <c r="L5" s="60"/>
      <c r="M5" s="57"/>
      <c r="N5" s="57"/>
      <c r="O5" s="57"/>
      <c r="P5" s="61"/>
    </row>
    <row r="6" ht="39.95" hidden="1" customHeight="1" spans="1:16">
      <c r="A6" s="63" t="s">
        <v>1581</v>
      </c>
      <c r="B6" s="64" t="s">
        <v>23</v>
      </c>
      <c r="C6" s="59"/>
      <c r="D6" s="59"/>
      <c r="E6" s="65"/>
      <c r="F6" s="66" t="s">
        <v>13</v>
      </c>
      <c r="G6" s="65"/>
      <c r="H6" s="67"/>
      <c r="I6" s="67"/>
      <c r="J6" s="67"/>
      <c r="K6" s="67"/>
      <c r="L6" s="67"/>
      <c r="M6" s="68"/>
      <c r="N6" s="68"/>
      <c r="O6" s="68"/>
      <c r="P6" s="69"/>
    </row>
    <row r="7" ht="39.95" hidden="1" customHeight="1" spans="1:16">
      <c r="A7" s="63"/>
      <c r="B7" s="64"/>
      <c r="C7" s="59" t="s">
        <v>24</v>
      </c>
      <c r="D7" s="59" t="s">
        <v>1582</v>
      </c>
      <c r="E7" s="65">
        <v>101</v>
      </c>
      <c r="F7" s="67"/>
      <c r="G7" s="65"/>
      <c r="H7" s="67"/>
      <c r="I7" s="67"/>
      <c r="J7" s="67"/>
      <c r="K7" s="67"/>
      <c r="L7" s="67"/>
      <c r="M7" s="68" t="str">
        <f>INDEX(表结构总览!D:G,MATCH(D7,表结构总览!D:D,0),4)</f>
        <v>本表报送银行机构或业务中心信息，业务中心包含管理机构、营业机构、内设机构、虚拟机构。对于营业机构、内设机构、虚拟机构，银行机构代码、金融许可证号等字段可以取上级机构或者本级实体机构对应的信息（优先取本级实体机构）。境外机构也需要报送，根据实际情况无法填报的字段可以为空。子公司不必报送（理财子公司应报送）。内设机构标准：承担业务归属的机构。机构永久关停、撤销等情况的，在报送最后状态的次月可不再报送。</v>
      </c>
      <c r="N7" s="68" t="s">
        <v>1583</v>
      </c>
      <c r="O7" s="68" t="s">
        <v>484</v>
      </c>
      <c r="P7" s="68"/>
    </row>
    <row r="8" ht="39.95" hidden="1" customHeight="1" outlineLevel="1" spans="1:16">
      <c r="A8" s="63"/>
      <c r="B8" s="64"/>
      <c r="C8" s="59" t="s">
        <v>24</v>
      </c>
      <c r="D8" s="59" t="s">
        <v>1582</v>
      </c>
      <c r="E8" s="65">
        <v>101</v>
      </c>
      <c r="F8" s="67" t="s">
        <v>369</v>
      </c>
      <c r="G8" s="65">
        <v>10101</v>
      </c>
      <c r="H8" s="67" t="s">
        <v>1584</v>
      </c>
      <c r="I8" s="67" t="s">
        <v>369</v>
      </c>
      <c r="J8" s="67" t="str">
        <f>INDEX(数据元说明!A:F,MATCH(I8,数据元说明!C:C,0),2)</f>
        <v>001010</v>
      </c>
      <c r="K8" s="68" t="str">
        <f>INDEX(数据元说明!A:F,MATCH(I8,数据元说明!C:C,0),5)</f>
        <v>12位人行支付行号或SWIFT行号。</v>
      </c>
      <c r="L8" s="67" t="str">
        <f>INDEX(数据元说明!A:F,MATCH(I8,数据元说明!C:C,0),6)</f>
        <v>C..30</v>
      </c>
      <c r="M8" s="68" t="s">
        <v>1585</v>
      </c>
      <c r="N8" s="68"/>
      <c r="O8" s="68"/>
      <c r="P8" s="68"/>
    </row>
    <row r="9" ht="39.95" hidden="1" customHeight="1" outlineLevel="1" spans="1:16">
      <c r="A9" s="63"/>
      <c r="B9" s="64"/>
      <c r="C9" s="59" t="s">
        <v>24</v>
      </c>
      <c r="D9" s="59" t="s">
        <v>1582</v>
      </c>
      <c r="E9" s="65">
        <v>101</v>
      </c>
      <c r="F9" s="67" t="s">
        <v>377</v>
      </c>
      <c r="G9" s="65">
        <v>10102</v>
      </c>
      <c r="H9" s="67" t="s">
        <v>1586</v>
      </c>
      <c r="I9" s="67" t="s">
        <v>377</v>
      </c>
      <c r="J9" s="67" t="str">
        <f>INDEX(数据元说明!A:F,MATCH(I9,数据元说明!C:C,0),2)</f>
        <v>001012</v>
      </c>
      <c r="K9" s="68" t="str">
        <f>INDEX(数据元说明!A:F,MATCH(I9,数据元说明!C:C,0),5)</f>
        <v>银行内部机构号。应具有标识机构的唯一性。</v>
      </c>
      <c r="L9" s="67" t="str">
        <f>INDEX(数据元说明!A:F,MATCH(I9,数据元说明!C:C,0),6)</f>
        <v>C..30</v>
      </c>
      <c r="M9" s="68" t="s">
        <v>1587</v>
      </c>
      <c r="N9" s="68"/>
      <c r="O9" s="68"/>
      <c r="P9" s="68"/>
    </row>
    <row r="10" ht="97.5" hidden="1" customHeight="1" outlineLevel="1" spans="1:16">
      <c r="A10" s="63"/>
      <c r="B10" s="64"/>
      <c r="C10" s="59" t="s">
        <v>24</v>
      </c>
      <c r="D10" s="59" t="s">
        <v>1582</v>
      </c>
      <c r="E10" s="65">
        <v>101</v>
      </c>
      <c r="F10" s="67" t="s">
        <v>373</v>
      </c>
      <c r="G10" s="65">
        <v>10103</v>
      </c>
      <c r="H10" s="67" t="s">
        <v>1588</v>
      </c>
      <c r="I10" s="67" t="s">
        <v>373</v>
      </c>
      <c r="J10" s="67" t="str">
        <f>INDEX(数据元说明!A:F,MATCH(I10,数据元说明!C:C,0),2)</f>
        <v>001011</v>
      </c>
      <c r="K10" s="68" t="str">
        <f>INDEX(数据元说明!A:F,MATCH(I10,数据元说明!C:C,0),5)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 s="67" t="str">
        <f>INDEX(数据元说明!A:F,MATCH(I10,数据元说明!C:C,0),6)</f>
        <v>C..30</v>
      </c>
      <c r="M10" s="68" t="s">
        <v>1589</v>
      </c>
      <c r="N10" s="68" t="s">
        <v>1583</v>
      </c>
      <c r="O10" s="68" t="s">
        <v>484</v>
      </c>
      <c r="P10" s="68"/>
    </row>
    <row r="11" ht="39.95" hidden="1" customHeight="1" outlineLevel="1" spans="1:16">
      <c r="A11" s="63"/>
      <c r="B11" s="64"/>
      <c r="C11" s="59" t="s">
        <v>24</v>
      </c>
      <c r="D11" s="59" t="s">
        <v>1582</v>
      </c>
      <c r="E11" s="65">
        <v>101</v>
      </c>
      <c r="F11" s="67" t="s">
        <v>534</v>
      </c>
      <c r="G11" s="65">
        <v>10104</v>
      </c>
      <c r="H11" s="67" t="s">
        <v>1590</v>
      </c>
      <c r="I11" s="67" t="s">
        <v>534</v>
      </c>
      <c r="J11" s="67" t="str">
        <f>INDEX(数据元说明!A:F,MATCH(I11,数据元说明!C:C,0),2)</f>
        <v>002012</v>
      </c>
      <c r="K11" s="68" t="str">
        <f>INDEX(数据元说明!A:F,MATCH(I11,数据元说明!C:C,0),5)</f>
        <v>已登记统一社会信用代码的，填18位统一社会信用代码；未登记统一社会信用代码的，填报营业执照注册号。</v>
      </c>
      <c r="L11" s="67" t="str">
        <f>INDEX(数据元说明!A:F,MATCH(I11,数据元说明!C:C,0),6)</f>
        <v>C..60</v>
      </c>
      <c r="M11" s="68" t="s">
        <v>1591</v>
      </c>
      <c r="N11" s="68" t="s">
        <v>1583</v>
      </c>
      <c r="O11" s="68" t="s">
        <v>484</v>
      </c>
      <c r="P11" s="68"/>
    </row>
    <row r="12" ht="39.95" hidden="1" customHeight="1" outlineLevel="1" spans="1:16">
      <c r="A12" s="63"/>
      <c r="B12" s="64"/>
      <c r="C12" s="59" t="s">
        <v>24</v>
      </c>
      <c r="D12" s="59" t="s">
        <v>1582</v>
      </c>
      <c r="E12" s="65">
        <v>101</v>
      </c>
      <c r="F12" s="67" t="s">
        <v>1592</v>
      </c>
      <c r="G12" s="65">
        <v>10105</v>
      </c>
      <c r="H12" s="67" t="s">
        <v>1593</v>
      </c>
      <c r="I12" s="67" t="s">
        <v>325</v>
      </c>
      <c r="J12" s="67" t="str">
        <f>INDEX(数据元说明!A:F,MATCH(I12,数据元说明!C:C,0),2)</f>
        <v>001001</v>
      </c>
      <c r="K12" s="68" t="str">
        <f>INDEX(数据元说明!A:F,MATCH(I12,数据元说明!C:C,0),5)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2" s="67" t="str">
        <f>INDEX(数据元说明!A:F,MATCH(I12,数据元说明!C:C,0),6)</f>
        <v>C..450</v>
      </c>
      <c r="M12" s="68" t="s">
        <v>1594</v>
      </c>
      <c r="N12" s="68" t="s">
        <v>1583</v>
      </c>
      <c r="O12" s="68" t="s">
        <v>322</v>
      </c>
      <c r="P12" s="68"/>
    </row>
    <row r="13" ht="39.95" hidden="1" customHeight="1" outlineLevel="1" spans="1:16">
      <c r="A13" s="63"/>
      <c r="B13" s="64"/>
      <c r="C13" s="59" t="s">
        <v>24</v>
      </c>
      <c r="D13" s="59" t="s">
        <v>1582</v>
      </c>
      <c r="E13" s="65">
        <v>101</v>
      </c>
      <c r="F13" s="67" t="s">
        <v>381</v>
      </c>
      <c r="G13" s="65">
        <v>10106</v>
      </c>
      <c r="H13" s="67" t="s">
        <v>1595</v>
      </c>
      <c r="I13" s="67" t="s">
        <v>381</v>
      </c>
      <c r="J13" s="67" t="str">
        <f>INDEX(数据元说明!A:F,MATCH(I13,数据元说明!C:C,0),2)</f>
        <v>001013</v>
      </c>
      <c r="K13" s="68" t="str">
        <f>INDEX(数据元说明!A:F,MATCH(I13,数据元说明!C:C,0),5)</f>
        <v>管理机构，营业机构，虚拟机构，内设机构。</v>
      </c>
      <c r="L13" s="67" t="str">
        <f>INDEX(数据元说明!A:F,MATCH(I13,数据元说明!C:C,0),6)</f>
        <v>C..30</v>
      </c>
      <c r="M13" s="68" t="s">
        <v>1596</v>
      </c>
      <c r="N13" s="68" t="s">
        <v>1583</v>
      </c>
      <c r="O13" s="68" t="s">
        <v>1597</v>
      </c>
      <c r="P13" s="68"/>
    </row>
    <row r="14" ht="39.95" hidden="1" customHeight="1" outlineLevel="1" spans="1:16">
      <c r="A14" s="63"/>
      <c r="B14" s="64"/>
      <c r="C14" s="59" t="s">
        <v>24</v>
      </c>
      <c r="D14" s="59" t="s">
        <v>1582</v>
      </c>
      <c r="E14" s="65">
        <v>101</v>
      </c>
      <c r="F14" s="67" t="s">
        <v>1598</v>
      </c>
      <c r="G14" s="65">
        <v>10107</v>
      </c>
      <c r="H14" s="67" t="s">
        <v>1599</v>
      </c>
      <c r="I14" s="67" t="s">
        <v>440</v>
      </c>
      <c r="J14" s="67" t="str">
        <f>INDEX(数据元说明!A:F,MATCH(I14,数据元说明!C:C,0),2)</f>
        <v>001028</v>
      </c>
      <c r="K14" s="68" t="str">
        <f>INDEX(数据元说明!A:F,MATCH(I14,数据元说明!C:C,0),5)</f>
        <v>境内地区参照《GB/T 2260 中华人民共和国行政区划代码》填写国内行政区划代码，填写至二级分类，如110100。境外地区参照《GB/T 2659 世界各国和地区名称代码》定义的三字符代码，如USA。</v>
      </c>
      <c r="L14" s="67" t="str">
        <f>INDEX(数据元说明!A:F,MATCH(I14,数据元说明!C:C,0),6)</f>
        <v>C..6</v>
      </c>
      <c r="M14" s="68" t="s">
        <v>1600</v>
      </c>
      <c r="N14" s="68" t="s">
        <v>1601</v>
      </c>
      <c r="O14" s="68"/>
      <c r="P14" s="68"/>
    </row>
    <row r="15" ht="39.95" hidden="1" customHeight="1" outlineLevel="1" spans="1:16">
      <c r="A15" s="63"/>
      <c r="B15" s="64"/>
      <c r="C15" s="59" t="s">
        <v>24</v>
      </c>
      <c r="D15" s="59" t="s">
        <v>1582</v>
      </c>
      <c r="E15" s="65">
        <v>101</v>
      </c>
      <c r="F15" s="67" t="s">
        <v>385</v>
      </c>
      <c r="G15" s="65">
        <v>10108</v>
      </c>
      <c r="H15" s="67" t="s">
        <v>1602</v>
      </c>
      <c r="I15" s="67" t="s">
        <v>385</v>
      </c>
      <c r="J15" s="67" t="str">
        <f>INDEX(数据元说明!A:F,MATCH(I15,数据元说明!C:C,0),2)</f>
        <v>001014</v>
      </c>
      <c r="K15" s="68" t="str">
        <f>INDEX(数据元说明!A:F,MATCH(I15,数据元说明!C:C,0),5)</f>
        <v>营业，停业。</v>
      </c>
      <c r="L15" s="67" t="str">
        <f>INDEX(数据元说明!A:F,MATCH(I15,数据元说明!C:C,0),6)</f>
        <v>C6</v>
      </c>
      <c r="M15" s="68" t="s">
        <v>1603</v>
      </c>
      <c r="N15" s="68"/>
      <c r="O15" s="68"/>
      <c r="P15" s="68"/>
    </row>
    <row r="16" ht="39.95" hidden="1" customHeight="1" outlineLevel="1" spans="1:16">
      <c r="A16" s="63"/>
      <c r="B16" s="64"/>
      <c r="C16" s="59" t="s">
        <v>24</v>
      </c>
      <c r="D16" s="59" t="s">
        <v>1582</v>
      </c>
      <c r="E16" s="65">
        <v>101</v>
      </c>
      <c r="F16" s="67" t="s">
        <v>1604</v>
      </c>
      <c r="G16" s="65">
        <v>10109</v>
      </c>
      <c r="H16" s="67" t="s">
        <v>1605</v>
      </c>
      <c r="I16" s="67" t="s">
        <v>345</v>
      </c>
      <c r="J16" s="67" t="str">
        <f>INDEX(数据元说明!A:F,MATCH(I16,数据元说明!C:C,0),2)</f>
        <v>001005</v>
      </c>
      <c r="K16" s="68" t="str">
        <f>INDEX(数据元说明!A:F,MATCH(I16,数据元说明!C:C,0),5)</f>
        <v>YYYYMMDD，默认值99991231。</v>
      </c>
      <c r="L16" s="67" t="str">
        <f>INDEX(数据元说明!A:F,MATCH(I16,数据元说明!C:C,0),6)</f>
        <v>C8</v>
      </c>
      <c r="M16" s="68" t="s">
        <v>1606</v>
      </c>
      <c r="N16" s="68" t="s">
        <v>1583</v>
      </c>
      <c r="O16" s="68" t="s">
        <v>1607</v>
      </c>
      <c r="P16" s="68"/>
    </row>
    <row r="17" ht="39.95" hidden="1" customHeight="1" outlineLevel="1" spans="1:16">
      <c r="A17" s="63"/>
      <c r="B17" s="64"/>
      <c r="C17" s="59" t="s">
        <v>24</v>
      </c>
      <c r="D17" s="59" t="s">
        <v>1582</v>
      </c>
      <c r="E17" s="65">
        <v>101</v>
      </c>
      <c r="F17" s="67" t="s">
        <v>1608</v>
      </c>
      <c r="G17" s="65">
        <v>10110</v>
      </c>
      <c r="H17" s="67" t="s">
        <v>1609</v>
      </c>
      <c r="I17" s="67" t="s">
        <v>359</v>
      </c>
      <c r="J17" s="67" t="str">
        <f>INDEX(数据元说明!A:F,MATCH(I17,数据元说明!C:C,0),2)</f>
        <v>001008</v>
      </c>
      <c r="K17" s="68" t="str">
        <f>INDEX(数据元说明!A:F,MATCH(I17,数据元说明!C:C,0),5)</f>
        <v>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v>
      </c>
      <c r="L17" s="67" t="str">
        <f>INDEX(数据元说明!A:F,MATCH(I17,数据元说明!C:C,0),6)</f>
        <v>C..600</v>
      </c>
      <c r="M17" s="68" t="s">
        <v>1610</v>
      </c>
      <c r="N17" s="68"/>
      <c r="O17" s="68"/>
      <c r="P17" s="68"/>
    </row>
    <row r="18" ht="39.95" hidden="1" customHeight="1" outlineLevel="1" spans="1:16">
      <c r="A18" s="63"/>
      <c r="B18" s="64"/>
      <c r="C18" s="59" t="s">
        <v>24</v>
      </c>
      <c r="D18" s="59" t="s">
        <v>1582</v>
      </c>
      <c r="E18" s="65">
        <v>101</v>
      </c>
      <c r="F18" s="67" t="s">
        <v>1611</v>
      </c>
      <c r="G18" s="65">
        <v>10111</v>
      </c>
      <c r="H18" s="67" t="s">
        <v>1612</v>
      </c>
      <c r="I18" s="67" t="s">
        <v>364</v>
      </c>
      <c r="J18" s="67" t="str">
        <f>INDEX(数据元说明!A:F,MATCH(I18,数据元说明!C:C,0),2)</f>
        <v>001009</v>
      </c>
      <c r="K18" s="68" t="str">
        <f>INDEX(数据元说明!A:F,MATCH(I18,数据元说明!C:C,0),5)</f>
        <v>手机号码或者区号-固定电话号码。</v>
      </c>
      <c r="L18" s="67" t="str">
        <f>INDEX(数据元说明!A:F,MATCH(I18,数据元说明!C:C,0),6)</f>
        <v>C..30</v>
      </c>
      <c r="M18" s="68" t="s">
        <v>1613</v>
      </c>
      <c r="N18" s="68" t="s">
        <v>1601</v>
      </c>
      <c r="O18" s="68"/>
      <c r="P18" s="68"/>
    </row>
    <row r="19" ht="39.95" hidden="1" customHeight="1" outlineLevel="1" spans="1:16">
      <c r="A19" s="63"/>
      <c r="B19" s="64"/>
      <c r="C19" s="59" t="s">
        <v>24</v>
      </c>
      <c r="D19" s="59" t="s">
        <v>1582</v>
      </c>
      <c r="E19" s="65">
        <v>101</v>
      </c>
      <c r="F19" s="67" t="s">
        <v>1614</v>
      </c>
      <c r="G19" s="65">
        <v>10112</v>
      </c>
      <c r="H19" s="67" t="s">
        <v>1615</v>
      </c>
      <c r="I19" s="67" t="s">
        <v>393</v>
      </c>
      <c r="J19" s="67" t="str">
        <f>INDEX(数据元说明!A:F,MATCH(I19,数据元说明!C:C,0),2)</f>
        <v>001016</v>
      </c>
      <c r="K19" s="68" t="str">
        <f>INDEX(数据元说明!A:F,MATCH(I19,数据元说明!C:C,0),5)</f>
        <v>姓名。</v>
      </c>
      <c r="L19" s="67" t="str">
        <f>INDEX(数据元说明!A:F,MATCH(I19,数据元说明!C:C,0),6)</f>
        <v>C..150</v>
      </c>
      <c r="M19" s="68" t="s">
        <v>1616</v>
      </c>
      <c r="N19" s="68"/>
      <c r="O19" s="68"/>
      <c r="P19" s="68"/>
    </row>
    <row r="20" ht="39.95" hidden="1" customHeight="1" outlineLevel="1" spans="1:16">
      <c r="A20" s="63"/>
      <c r="B20" s="64"/>
      <c r="C20" s="59" t="s">
        <v>24</v>
      </c>
      <c r="D20" s="59" t="s">
        <v>1582</v>
      </c>
      <c r="E20" s="65">
        <v>101</v>
      </c>
      <c r="F20" s="67" t="s">
        <v>1617</v>
      </c>
      <c r="G20" s="65">
        <v>10113</v>
      </c>
      <c r="H20" s="67" t="s">
        <v>1618</v>
      </c>
      <c r="I20" s="67" t="s">
        <v>402</v>
      </c>
      <c r="J20" s="67" t="str">
        <f>INDEX(数据元说明!A:F,MATCH(I20,数据元说明!C:C,0),2)</f>
        <v>001018</v>
      </c>
      <c r="K20" s="68" t="str">
        <f>INDEX(数据元说明!A:F,MATCH(I20,数据元说明!C:C,0),5)</f>
        <v>中文字典或中文描述，银行自定义。</v>
      </c>
      <c r="L20" s="67" t="str">
        <f>INDEX(数据元说明!A:F,MATCH(I20,数据元说明!C:C,0),6)</f>
        <v>C..150</v>
      </c>
      <c r="M20" s="68" t="s">
        <v>1619</v>
      </c>
      <c r="N20" s="68"/>
      <c r="O20" s="68"/>
      <c r="P20" s="68"/>
    </row>
    <row r="21" ht="39.95" hidden="1" customHeight="1" outlineLevel="1" spans="1:16">
      <c r="A21" s="63"/>
      <c r="B21" s="64"/>
      <c r="C21" s="59" t="s">
        <v>24</v>
      </c>
      <c r="D21" s="59" t="s">
        <v>1582</v>
      </c>
      <c r="E21" s="65">
        <v>101</v>
      </c>
      <c r="F21" s="67" t="s">
        <v>1620</v>
      </c>
      <c r="G21" s="65">
        <v>10114</v>
      </c>
      <c r="H21" s="67" t="s">
        <v>1621</v>
      </c>
      <c r="I21" s="67" t="s">
        <v>364</v>
      </c>
      <c r="J21" s="67" t="str">
        <f>INDEX(数据元说明!A:F,MATCH(I21,数据元说明!C:C,0),2)</f>
        <v>001009</v>
      </c>
      <c r="K21" s="68" t="str">
        <f>INDEX(数据元说明!A:F,MATCH(I21,数据元说明!C:C,0),5)</f>
        <v>手机号码或者区号-固定电话号码。</v>
      </c>
      <c r="L21" s="67" t="str">
        <f>INDEX(数据元说明!A:F,MATCH(I21,数据元说明!C:C,0),6)</f>
        <v>C..30</v>
      </c>
      <c r="M21" s="68" t="s">
        <v>1622</v>
      </c>
      <c r="N21" s="68" t="s">
        <v>1583</v>
      </c>
      <c r="O21" s="68" t="s">
        <v>484</v>
      </c>
      <c r="P21" s="68"/>
    </row>
    <row r="22" ht="39.95" hidden="1" customHeight="1" outlineLevel="1" spans="1:16">
      <c r="A22" s="63"/>
      <c r="B22" s="64"/>
      <c r="C22" s="59" t="s">
        <v>24</v>
      </c>
      <c r="D22" s="59" t="s">
        <v>1582</v>
      </c>
      <c r="E22" s="65">
        <v>101</v>
      </c>
      <c r="F22" s="67" t="s">
        <v>484</v>
      </c>
      <c r="G22" s="65">
        <v>10115</v>
      </c>
      <c r="H22" s="67" t="s">
        <v>1623</v>
      </c>
      <c r="I22" s="67" t="s">
        <v>484</v>
      </c>
      <c r="J22" s="67" t="str">
        <f>INDEX(数据元说明!A:F,MATCH(I22,数据元说明!C:C,0),2)</f>
        <v>001038</v>
      </c>
      <c r="K22" s="68" t="str">
        <f>INDEX(数据元说明!A:F,MATCH(I22,数据元说明!C:C,0),5)</f>
        <v>银行自定义。</v>
      </c>
      <c r="L22" s="67" t="str">
        <f>INDEX(数据元说明!A:F,MATCH(I22,数据元说明!C:C,0),6)</f>
        <v>C..600</v>
      </c>
      <c r="M22" s="68" t="s">
        <v>1624</v>
      </c>
      <c r="N22" s="68" t="s">
        <v>1601</v>
      </c>
      <c r="O22" s="68"/>
      <c r="P22" s="68"/>
    </row>
    <row r="23" ht="39.95" hidden="1" customHeight="1" outlineLevel="1" spans="1:16">
      <c r="A23" s="63"/>
      <c r="B23" s="64"/>
      <c r="C23" s="59" t="s">
        <v>24</v>
      </c>
      <c r="D23" s="59" t="s">
        <v>1582</v>
      </c>
      <c r="E23" s="65">
        <v>101</v>
      </c>
      <c r="F23" s="67" t="s">
        <v>1625</v>
      </c>
      <c r="G23" s="65">
        <v>10116</v>
      </c>
      <c r="H23" s="67" t="s">
        <v>1626</v>
      </c>
      <c r="I23" s="67" t="s">
        <v>345</v>
      </c>
      <c r="J23" s="67" t="str">
        <f>INDEX(数据元说明!A:F,MATCH(I23,数据元说明!C:C,0),2)</f>
        <v>001005</v>
      </c>
      <c r="K23" s="68" t="str">
        <f>INDEX(数据元说明!A:F,MATCH(I23,数据元说明!C:C,0),5)</f>
        <v>YYYYMMDD，默认值99991231。</v>
      </c>
      <c r="L23" s="67" t="str">
        <f>INDEX(数据元说明!A:F,MATCH(I23,数据元说明!C:C,0),6)</f>
        <v>C8</v>
      </c>
      <c r="M23" s="68" t="s">
        <v>1627</v>
      </c>
      <c r="N23" s="68"/>
      <c r="O23" s="68"/>
      <c r="P23" s="68"/>
    </row>
    <row r="24" ht="39.95" hidden="1" customHeight="1" collapsed="1" spans="1:16">
      <c r="A24" s="63"/>
      <c r="B24" s="64"/>
      <c r="C24" s="59" t="s">
        <v>30</v>
      </c>
      <c r="D24" s="59" t="s">
        <v>1628</v>
      </c>
      <c r="E24" s="65">
        <v>102</v>
      </c>
      <c r="F24" s="67"/>
      <c r="G24" s="65"/>
      <c r="H24" s="67"/>
      <c r="I24" s="67"/>
      <c r="J24" s="67"/>
      <c r="K24" s="68"/>
      <c r="L24" s="67"/>
      <c r="M24" s="68" t="str">
        <f>INDEX(表结构总览!D:G,MATCH(D24,表结构总览!D:D,0),4)</f>
        <v>在职类员工需每月报送。员工状态转为离职的，在报送该员工最后状态的次月可不再报送。子公司员工不用报送（理财子公司应报送）。</v>
      </c>
      <c r="N24" s="68" t="s">
        <v>1583</v>
      </c>
      <c r="O24" s="68" t="s">
        <v>484</v>
      </c>
      <c r="P24" s="68"/>
    </row>
    <row r="25" ht="39.95" hidden="1" customHeight="1" outlineLevel="1" spans="1:16">
      <c r="A25" s="63"/>
      <c r="B25" s="64"/>
      <c r="C25" s="59" t="s">
        <v>30</v>
      </c>
      <c r="D25" s="59" t="s">
        <v>1628</v>
      </c>
      <c r="E25" s="65">
        <v>102</v>
      </c>
      <c r="F25" s="67" t="s">
        <v>373</v>
      </c>
      <c r="G25" s="65">
        <v>10201</v>
      </c>
      <c r="H25" s="67" t="s">
        <v>1588</v>
      </c>
      <c r="I25" s="67" t="s">
        <v>373</v>
      </c>
      <c r="J25" s="67" t="str">
        <f>INDEX(数据元说明!A:F,MATCH(I25,数据元说明!C:C,0),2)</f>
        <v>001011</v>
      </c>
      <c r="K25" s="68" t="str">
        <f>INDEX(数据元说明!A:F,MATCH(I25,数据元说明!C:C,0),5)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5" s="67" t="str">
        <f>INDEX(数据元说明!A:F,MATCH(I25,数据元说明!C:C,0),6)</f>
        <v>C..30</v>
      </c>
      <c r="M25" s="68" t="s">
        <v>1629</v>
      </c>
      <c r="N25" s="68" t="s">
        <v>1583</v>
      </c>
      <c r="O25" s="68" t="s">
        <v>484</v>
      </c>
      <c r="P25" s="68"/>
    </row>
    <row r="26" ht="39.95" hidden="1" customHeight="1" outlineLevel="1" spans="1:16">
      <c r="A26" s="63"/>
      <c r="B26" s="64"/>
      <c r="C26" s="59" t="s">
        <v>30</v>
      </c>
      <c r="D26" s="59" t="s">
        <v>1628</v>
      </c>
      <c r="E26" s="65">
        <v>102</v>
      </c>
      <c r="F26" s="67" t="s">
        <v>377</v>
      </c>
      <c r="G26" s="65">
        <v>10202</v>
      </c>
      <c r="H26" s="67" t="s">
        <v>1586</v>
      </c>
      <c r="I26" s="67" t="s">
        <v>377</v>
      </c>
      <c r="J26" s="67" t="str">
        <f>INDEX(数据元说明!A:F,MATCH(I26,数据元说明!C:C,0),2)</f>
        <v>001012</v>
      </c>
      <c r="K26" s="68" t="str">
        <f>INDEX(数据元说明!A:F,MATCH(I26,数据元说明!C:C,0),5)</f>
        <v>银行内部机构号。应具有标识机构的唯一性。</v>
      </c>
      <c r="L26" s="67" t="str">
        <f>INDEX(数据元说明!A:F,MATCH(I26,数据元说明!C:C,0),6)</f>
        <v>C..30</v>
      </c>
      <c r="M26" s="68" t="s">
        <v>1630</v>
      </c>
      <c r="N26" s="68" t="s">
        <v>1583</v>
      </c>
      <c r="O26" s="68" t="s">
        <v>484</v>
      </c>
      <c r="P26" s="68"/>
    </row>
    <row r="27" ht="39.95" hidden="1" customHeight="1" outlineLevel="1" spans="1:16">
      <c r="A27" s="63"/>
      <c r="B27" s="64"/>
      <c r="C27" s="59" t="s">
        <v>30</v>
      </c>
      <c r="D27" s="59" t="s">
        <v>1628</v>
      </c>
      <c r="E27" s="65">
        <v>102</v>
      </c>
      <c r="F27" s="67" t="s">
        <v>1592</v>
      </c>
      <c r="G27" s="65">
        <v>10203</v>
      </c>
      <c r="H27" s="67" t="s">
        <v>1593</v>
      </c>
      <c r="I27" s="67" t="s">
        <v>325</v>
      </c>
      <c r="J27" s="67" t="str">
        <f>INDEX(数据元说明!A:F,MATCH(I27,数据元说明!C:C,0),2)</f>
        <v>001001</v>
      </c>
      <c r="K27" s="68" t="str">
        <f>INDEX(数据元说明!A:F,MATCH(I27,数据元说明!C:C,0),5)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7" s="67" t="str">
        <f>INDEX(数据元说明!A:F,MATCH(I27,数据元说明!C:C,0),6)</f>
        <v>C..450</v>
      </c>
      <c r="M27" s="68" t="s">
        <v>1631</v>
      </c>
      <c r="N27" s="68" t="s">
        <v>1583</v>
      </c>
      <c r="O27" s="68" t="s">
        <v>322</v>
      </c>
      <c r="P27" s="68"/>
    </row>
    <row r="28" ht="39.95" hidden="1" customHeight="1" outlineLevel="1" spans="1:16">
      <c r="A28" s="63"/>
      <c r="B28" s="64"/>
      <c r="C28" s="59" t="s">
        <v>30</v>
      </c>
      <c r="D28" s="59" t="s">
        <v>1628</v>
      </c>
      <c r="E28" s="65">
        <v>102</v>
      </c>
      <c r="F28" s="67" t="s">
        <v>389</v>
      </c>
      <c r="G28" s="65">
        <v>10204</v>
      </c>
      <c r="H28" s="67" t="s">
        <v>1632</v>
      </c>
      <c r="I28" s="67" t="s">
        <v>389</v>
      </c>
      <c r="J28" s="67" t="str">
        <f>INDEX(数据元说明!A:F,MATCH(I28,数据元说明!C:C,0),2)</f>
        <v>001015</v>
      </c>
      <c r="K28" s="68" t="str">
        <f>INDEX(数据元说明!A:F,MATCH(I28,数据元说明!C:C,0),5)</f>
        <v>工号，银行自定义。</v>
      </c>
      <c r="L28" s="67" t="str">
        <f>INDEX(数据元说明!A:F,MATCH(I28,数据元说明!C:C,0),6)</f>
        <v>C..30</v>
      </c>
      <c r="M28" s="68" t="s">
        <v>1633</v>
      </c>
      <c r="N28" s="68" t="s">
        <v>1583</v>
      </c>
      <c r="O28" s="68" t="s">
        <v>484</v>
      </c>
      <c r="P28" s="68" t="s">
        <v>1634</v>
      </c>
    </row>
    <row r="29" ht="39.95" hidden="1" customHeight="1" outlineLevel="1" spans="1:16">
      <c r="A29" s="63"/>
      <c r="B29" s="64"/>
      <c r="C29" s="59" t="s">
        <v>30</v>
      </c>
      <c r="D29" s="59" t="s">
        <v>1628</v>
      </c>
      <c r="E29" s="65">
        <v>102</v>
      </c>
      <c r="F29" s="67" t="s">
        <v>393</v>
      </c>
      <c r="G29" s="65">
        <v>10205</v>
      </c>
      <c r="H29" s="67" t="s">
        <v>1635</v>
      </c>
      <c r="I29" s="67" t="s">
        <v>393</v>
      </c>
      <c r="J29" s="67" t="str">
        <f>INDEX(数据元说明!A:F,MATCH(I29,数据元说明!C:C,0),2)</f>
        <v>001016</v>
      </c>
      <c r="K29" s="68" t="str">
        <f>INDEX(数据元说明!A:F,MATCH(I29,数据元说明!C:C,0),5)</f>
        <v>姓名。</v>
      </c>
      <c r="L29" s="67" t="str">
        <f>INDEX(数据元说明!A:F,MATCH(I29,数据元说明!C:C,0),6)</f>
        <v>C..150</v>
      </c>
      <c r="M29" s="68" t="s">
        <v>1636</v>
      </c>
      <c r="N29" s="68" t="s">
        <v>1583</v>
      </c>
      <c r="O29" s="68" t="s">
        <v>484</v>
      </c>
      <c r="P29" s="68"/>
    </row>
    <row r="30" ht="39.95" hidden="1" customHeight="1" outlineLevel="1" spans="1:16">
      <c r="A30" s="63"/>
      <c r="B30" s="64"/>
      <c r="C30" s="59" t="s">
        <v>30</v>
      </c>
      <c r="D30" s="59" t="s">
        <v>1628</v>
      </c>
      <c r="E30" s="65">
        <v>102</v>
      </c>
      <c r="F30" s="67" t="s">
        <v>501</v>
      </c>
      <c r="G30" s="65">
        <v>10206</v>
      </c>
      <c r="H30" s="67" t="s">
        <v>1637</v>
      </c>
      <c r="I30" s="67" t="s">
        <v>501</v>
      </c>
      <c r="J30" s="67" t="str">
        <f>INDEX(数据元说明!A:F,MATCH(I30,数据元说明!C:C,0),2)</f>
        <v>002004</v>
      </c>
      <c r="K30" s="68" t="str">
        <f>INDEX(数据元说明!A:F,MATCH(I30,数据元说明!C:C,0),5)</f>
        <v>参照《GB/T 2659-2000 世界各国和地区名称》，填报中文名称。</v>
      </c>
      <c r="L30" s="67" t="str">
        <f>INDEX(数据元说明!A:F,MATCH(I30,数据元说明!C:C,0),6)</f>
        <v>C..60</v>
      </c>
      <c r="M30" s="68" t="s">
        <v>1638</v>
      </c>
      <c r="N30" s="68" t="s">
        <v>1601</v>
      </c>
      <c r="O30" s="68"/>
      <c r="P30" s="68"/>
    </row>
    <row r="31" ht="39.95" hidden="1" customHeight="1" outlineLevel="1" spans="1:16">
      <c r="A31" s="70"/>
      <c r="B31" s="71"/>
      <c r="C31" s="59" t="s">
        <v>30</v>
      </c>
      <c r="D31" s="59" t="s">
        <v>1628</v>
      </c>
      <c r="E31" s="65">
        <v>102</v>
      </c>
      <c r="F31" s="67" t="s">
        <v>492</v>
      </c>
      <c r="G31" s="65">
        <v>10207</v>
      </c>
      <c r="H31" s="67" t="s">
        <v>1639</v>
      </c>
      <c r="I31" s="67" t="s">
        <v>492</v>
      </c>
      <c r="J31" s="67" t="str">
        <f>INDEX(数据元说明!A:F,MATCH(I31,数据元说明!C:C,0),2)</f>
        <v>002002</v>
      </c>
      <c r="K31" s="68" t="str">
        <f>INDEX(数据元说明!A:F,MATCH(I31,数据元说明!C:C,0),5)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31" s="67" t="str">
        <f>INDEX(数据元说明!A:F,MATCH(I31,数据元说明!C:C,0),6)</f>
        <v>C..60</v>
      </c>
      <c r="M31" s="68"/>
      <c r="N31" s="68"/>
      <c r="O31" s="68"/>
      <c r="P31" s="68"/>
    </row>
    <row r="32" ht="39.95" hidden="1" customHeight="1" outlineLevel="1" spans="1:16">
      <c r="A32" s="63"/>
      <c r="B32" s="64"/>
      <c r="C32" s="59" t="s">
        <v>30</v>
      </c>
      <c r="D32" s="59" t="s">
        <v>1628</v>
      </c>
      <c r="E32" s="65">
        <v>102</v>
      </c>
      <c r="F32" s="67" t="s">
        <v>496</v>
      </c>
      <c r="G32" s="65">
        <v>10208</v>
      </c>
      <c r="H32" s="67" t="s">
        <v>1640</v>
      </c>
      <c r="I32" s="67" t="s">
        <v>496</v>
      </c>
      <c r="J32" s="67" t="str">
        <f>INDEX(数据元说明!A:F,MATCH(I32,数据元说明!C:C,0),2)</f>
        <v>002003</v>
      </c>
      <c r="K32" s="68" t="str">
        <f>INDEX(数据元说明!A:F,MATCH(I32,数据元说明!C:C,0),5)</f>
        <v>与证件类别对应的证件号码。涉及个人身份证件时需按照本规范给定规则进行脱敏处理。</v>
      </c>
      <c r="L32" s="67" t="str">
        <f>INDEX(数据元说明!A:F,MATCH(I32,数据元说明!C:C,0),6)</f>
        <v>C..70</v>
      </c>
      <c r="M32" s="68" t="s">
        <v>1641</v>
      </c>
      <c r="N32" s="68" t="s">
        <v>1583</v>
      </c>
      <c r="O32" s="68" t="s">
        <v>1576</v>
      </c>
      <c r="P32" s="68" t="s">
        <v>1634</v>
      </c>
    </row>
    <row r="33" ht="39.95" hidden="1" customHeight="1" outlineLevel="1" spans="1:16">
      <c r="A33" s="63"/>
      <c r="B33" s="64"/>
      <c r="C33" s="59" t="s">
        <v>30</v>
      </c>
      <c r="D33" s="59" t="s">
        <v>1628</v>
      </c>
      <c r="E33" s="65">
        <v>102</v>
      </c>
      <c r="F33" s="67" t="s">
        <v>1642</v>
      </c>
      <c r="G33" s="65">
        <v>10209</v>
      </c>
      <c r="H33" s="67" t="s">
        <v>1643</v>
      </c>
      <c r="I33" s="67" t="s">
        <v>364</v>
      </c>
      <c r="J33" s="67" t="str">
        <f>INDEX(数据元说明!A:F,MATCH(I33,数据元说明!C:C,0),2)</f>
        <v>001009</v>
      </c>
      <c r="K33" s="68" t="str">
        <f>INDEX(数据元说明!A:F,MATCH(I33,数据元说明!C:C,0),5)</f>
        <v>手机号码或者区号-固定电话号码。</v>
      </c>
      <c r="L33" s="67" t="str">
        <f>INDEX(数据元说明!A:F,MATCH(I33,数据元说明!C:C,0),6)</f>
        <v>C..30</v>
      </c>
      <c r="M33" s="69" t="s">
        <v>1644</v>
      </c>
      <c r="N33" s="68" t="s">
        <v>1583</v>
      </c>
      <c r="O33" s="68" t="s">
        <v>484</v>
      </c>
      <c r="P33" s="68"/>
    </row>
    <row r="34" ht="39.95" hidden="1" customHeight="1" outlineLevel="1" spans="1:16">
      <c r="A34" s="63"/>
      <c r="B34" s="64"/>
      <c r="C34" s="59" t="s">
        <v>30</v>
      </c>
      <c r="D34" s="59" t="s">
        <v>1628</v>
      </c>
      <c r="E34" s="65">
        <v>102</v>
      </c>
      <c r="F34" s="67" t="s">
        <v>398</v>
      </c>
      <c r="G34" s="65">
        <v>10210</v>
      </c>
      <c r="H34" s="67" t="s">
        <v>1645</v>
      </c>
      <c r="I34" s="67" t="s">
        <v>398</v>
      </c>
      <c r="J34" s="67" t="str">
        <f>INDEX(数据元说明!A:F,MATCH(I34,数据元说明!C:C,0),2)</f>
        <v>001017</v>
      </c>
      <c r="K34" s="68" t="str">
        <f>INDEX(数据元说明!A:F,MATCH(I34,数据元说明!C:C,0),5)</f>
        <v>中文字典或中文描述，银行自定义。</v>
      </c>
      <c r="L34" s="67" t="str">
        <f>INDEX(数据元说明!A:F,MATCH(I34,数据元说明!C:C,0),6)</f>
        <v>C..150</v>
      </c>
      <c r="M34" s="68"/>
      <c r="N34" s="68"/>
      <c r="O34" s="68"/>
      <c r="P34" s="68"/>
    </row>
    <row r="35" ht="39.95" hidden="1" customHeight="1" outlineLevel="1" spans="1:16">
      <c r="A35" s="63"/>
      <c r="B35" s="64"/>
      <c r="C35" s="59" t="s">
        <v>30</v>
      </c>
      <c r="D35" s="59" t="s">
        <v>1628</v>
      </c>
      <c r="E35" s="65">
        <v>102</v>
      </c>
      <c r="F35" s="67" t="s">
        <v>420</v>
      </c>
      <c r="G35" s="65">
        <v>10211</v>
      </c>
      <c r="H35" s="67" t="s">
        <v>1646</v>
      </c>
      <c r="I35" s="67" t="s">
        <v>420</v>
      </c>
      <c r="J35" s="67" t="str">
        <f>INDEX(数据元说明!A:F,MATCH(I35,数据元说明!C:C,0),2)</f>
        <v>001023</v>
      </c>
      <c r="K35" s="68" t="str">
        <f>INDEX(数据元说明!A:F,MATCH(I35,数据元说明!C:C,0),5)</f>
        <v>银行自定义。</v>
      </c>
      <c r="L35" s="67" t="str">
        <f>INDEX(数据元说明!A:F,MATCH(I35,数据元说明!C:C,0),6)</f>
        <v>C..60</v>
      </c>
      <c r="M35" s="68" t="s">
        <v>1647</v>
      </c>
      <c r="N35" s="68" t="s">
        <v>1583</v>
      </c>
      <c r="O35" s="68" t="s">
        <v>484</v>
      </c>
      <c r="P35" s="68" t="s">
        <v>1648</v>
      </c>
    </row>
    <row r="36" ht="39.95" hidden="1" customHeight="1" outlineLevel="1" spans="1:16">
      <c r="A36" s="63"/>
      <c r="B36" s="64"/>
      <c r="C36" s="59" t="s">
        <v>30</v>
      </c>
      <c r="D36" s="59" t="s">
        <v>1628</v>
      </c>
      <c r="E36" s="65">
        <v>102</v>
      </c>
      <c r="F36" s="67" t="s">
        <v>428</v>
      </c>
      <c r="G36" s="65">
        <v>10212</v>
      </c>
      <c r="H36" s="67" t="s">
        <v>1649</v>
      </c>
      <c r="I36" s="67" t="s">
        <v>428</v>
      </c>
      <c r="J36" s="67" t="str">
        <f>INDEX(数据元说明!A:F,MATCH(I36,数据元说明!C:C,0),2)</f>
        <v>001025</v>
      </c>
      <c r="K36" s="68" t="str">
        <f>INDEX(数据元说明!A:F,MATCH(I36,数据元说明!C:C,0),5)</f>
        <v>岗位名称，中文字典或中文描述，银行自定义。</v>
      </c>
      <c r="L36" s="67" t="str">
        <f>INDEX(数据元说明!A:F,MATCH(I36,数据元说明!C:C,0),6)</f>
        <v>C..150</v>
      </c>
      <c r="M36" s="68" t="s">
        <v>1647</v>
      </c>
      <c r="N36" s="68" t="s">
        <v>1601</v>
      </c>
      <c r="O36" s="68"/>
      <c r="P36" s="68"/>
    </row>
    <row r="37" ht="39.95" hidden="1" customHeight="1" outlineLevel="1" spans="1:16">
      <c r="A37" s="63"/>
      <c r="B37" s="64"/>
      <c r="C37" s="59" t="s">
        <v>30</v>
      </c>
      <c r="D37" s="59" t="s">
        <v>1628</v>
      </c>
      <c r="E37" s="65">
        <v>102</v>
      </c>
      <c r="F37" s="67" t="s">
        <v>1650</v>
      </c>
      <c r="G37" s="65">
        <v>10213</v>
      </c>
      <c r="H37" s="67" t="s">
        <v>1651</v>
      </c>
      <c r="I37" s="67" t="s">
        <v>330</v>
      </c>
      <c r="J37" s="67" t="str">
        <f>INDEX(数据元说明!A:F,MATCH(I37,数据元说明!C:C,0),2)</f>
        <v>001002</v>
      </c>
      <c r="K37" s="68" t="str">
        <f>INDEX(数据元说明!A:F,MATCH(I37,数据元说明!C:C,0),5)</f>
        <v>是，否。</v>
      </c>
      <c r="L37" s="67" t="str">
        <f>INDEX(数据元说明!A:F,MATCH(I37,数据元说明!C:C,0),6)</f>
        <v>C3</v>
      </c>
      <c r="M37" s="68" t="s">
        <v>1652</v>
      </c>
      <c r="N37" s="68" t="s">
        <v>1601</v>
      </c>
      <c r="O37" s="68"/>
      <c r="P37" s="68"/>
    </row>
    <row r="38" ht="39.95" hidden="1" customHeight="1" outlineLevel="1" spans="1:16">
      <c r="A38" s="63"/>
      <c r="B38" s="64"/>
      <c r="C38" s="59" t="s">
        <v>30</v>
      </c>
      <c r="D38" s="59" t="s">
        <v>1628</v>
      </c>
      <c r="E38" s="65">
        <v>102</v>
      </c>
      <c r="F38" s="67" t="s">
        <v>1653</v>
      </c>
      <c r="G38" s="65">
        <v>10214</v>
      </c>
      <c r="H38" s="67" t="s">
        <v>1654</v>
      </c>
      <c r="I38" s="67" t="s">
        <v>345</v>
      </c>
      <c r="J38" s="67" t="str">
        <f>INDEX(数据元说明!A:F,MATCH(I38,数据元说明!C:C,0),2)</f>
        <v>001005</v>
      </c>
      <c r="K38" s="68" t="str">
        <f>INDEX(数据元说明!A:F,MATCH(I38,数据元说明!C:C,0),5)</f>
        <v>YYYYMMDD，默认值99991231。</v>
      </c>
      <c r="L38" s="67" t="str">
        <f>INDEX(数据元说明!A:F,MATCH(I38,数据元说明!C:C,0),6)</f>
        <v>C8</v>
      </c>
      <c r="M38" s="68" t="s">
        <v>1655</v>
      </c>
      <c r="N38" s="68" t="s">
        <v>1601</v>
      </c>
      <c r="O38" s="68"/>
      <c r="P38" s="68"/>
    </row>
    <row r="39" ht="39.95" hidden="1" customHeight="1" outlineLevel="1" spans="1:16">
      <c r="A39" s="63"/>
      <c r="B39" s="64"/>
      <c r="C39" s="59" t="s">
        <v>30</v>
      </c>
      <c r="D39" s="59" t="s">
        <v>1628</v>
      </c>
      <c r="E39" s="65">
        <v>102</v>
      </c>
      <c r="F39" s="67" t="s">
        <v>1656</v>
      </c>
      <c r="G39" s="65">
        <v>10215</v>
      </c>
      <c r="H39" s="67" t="s">
        <v>1657</v>
      </c>
      <c r="I39" s="67" t="s">
        <v>345</v>
      </c>
      <c r="J39" s="67" t="str">
        <f>INDEX(数据元说明!A:F,MATCH(I39,数据元说明!C:C,0),2)</f>
        <v>001005</v>
      </c>
      <c r="K39" s="68" t="str">
        <f>INDEX(数据元说明!A:F,MATCH(I39,数据元说明!C:C,0),5)</f>
        <v>YYYYMMDD，默认值99991231。</v>
      </c>
      <c r="L39" s="67" t="str">
        <f>INDEX(数据元说明!A:F,MATCH(I39,数据元说明!C:C,0),6)</f>
        <v>C8</v>
      </c>
      <c r="M39" s="68" t="s">
        <v>1655</v>
      </c>
      <c r="N39" s="68" t="s">
        <v>1601</v>
      </c>
      <c r="O39" s="68"/>
      <c r="P39" s="68"/>
    </row>
    <row r="40" ht="39.95" hidden="1" customHeight="1" outlineLevel="1" spans="1:16">
      <c r="A40" s="63"/>
      <c r="B40" s="64"/>
      <c r="C40" s="59" t="s">
        <v>30</v>
      </c>
      <c r="D40" s="59" t="s">
        <v>1628</v>
      </c>
      <c r="E40" s="65">
        <v>102</v>
      </c>
      <c r="F40" s="67" t="s">
        <v>463</v>
      </c>
      <c r="G40" s="65">
        <v>10216</v>
      </c>
      <c r="H40" s="67" t="s">
        <v>1658</v>
      </c>
      <c r="I40" s="67" t="s">
        <v>463</v>
      </c>
      <c r="J40" s="67" t="str">
        <f>INDEX(数据元说明!A:F,MATCH(I40,数据元说明!C:C,0),2)</f>
        <v>001033</v>
      </c>
      <c r="K40" s="68" t="str">
        <f>INDEX(数据元说明!A:F,MATCH(I40,数据元说明!C:C,0),5)</f>
        <v>正式员工，非员工高管，非正式员工，其他-银行自定义。无法以枚举类型填报的，以“其他-XX”填报，其中“XX”为银行自定义类型。</v>
      </c>
      <c r="L40" s="67" t="str">
        <f>INDEX(数据元说明!A:F,MATCH(I40,数据元说明!C:C,0),6)</f>
        <v>C..30</v>
      </c>
      <c r="M40" s="68" t="s">
        <v>1659</v>
      </c>
      <c r="N40" s="68" t="s">
        <v>1601</v>
      </c>
      <c r="O40" s="68" t="s">
        <v>1660</v>
      </c>
      <c r="P40" s="68" t="s">
        <v>1648</v>
      </c>
    </row>
    <row r="41" ht="39.95" hidden="1" customHeight="1" outlineLevel="1" spans="1:16">
      <c r="A41" s="63"/>
      <c r="B41" s="64"/>
      <c r="C41" s="59" t="s">
        <v>30</v>
      </c>
      <c r="D41" s="59" t="s">
        <v>1628</v>
      </c>
      <c r="E41" s="65">
        <v>102</v>
      </c>
      <c r="F41" s="67" t="s">
        <v>467</v>
      </c>
      <c r="G41" s="65">
        <v>10217</v>
      </c>
      <c r="H41" s="67" t="s">
        <v>1661</v>
      </c>
      <c r="I41" s="67" t="s">
        <v>467</v>
      </c>
      <c r="J41" s="67" t="str">
        <f>INDEX(数据元说明!A:F,MATCH(I41,数据元说明!C:C,0),2)</f>
        <v>001034</v>
      </c>
      <c r="K41" s="68" t="str">
        <f>INDEX(数据元说明!A:F,MATCH(I41,数据元说明!C:C,0),5)</f>
        <v>在岗，离岗，离职，其他-银行自定义。无法以枚举类型填报的，以“其他-XX”填报，其中“XX”为银行自定义类型。</v>
      </c>
      <c r="L41" s="67" t="str">
        <f>INDEX(数据元说明!A:F,MATCH(I41,数据元说明!C:C,0),6)</f>
        <v>C..30</v>
      </c>
      <c r="M41" s="68"/>
      <c r="N41" s="68" t="s">
        <v>1583</v>
      </c>
      <c r="O41" s="68" t="s">
        <v>1660</v>
      </c>
      <c r="P41" s="68" t="s">
        <v>1648</v>
      </c>
    </row>
    <row r="42" ht="39.95" hidden="1" customHeight="1" outlineLevel="1" spans="1:16">
      <c r="A42" s="63"/>
      <c r="B42" s="64"/>
      <c r="C42" s="59" t="s">
        <v>30</v>
      </c>
      <c r="D42" s="59" t="s">
        <v>1628</v>
      </c>
      <c r="E42" s="65">
        <v>102</v>
      </c>
      <c r="F42" s="67" t="s">
        <v>484</v>
      </c>
      <c r="G42" s="65">
        <v>10218</v>
      </c>
      <c r="H42" s="67" t="s">
        <v>1623</v>
      </c>
      <c r="I42" s="67" t="s">
        <v>484</v>
      </c>
      <c r="J42" s="67" t="str">
        <f>INDEX(数据元说明!A:F,MATCH(I42,数据元说明!C:C,0),2)</f>
        <v>001038</v>
      </c>
      <c r="K42" s="68" t="str">
        <f>INDEX(数据元说明!A:F,MATCH(I42,数据元说明!C:C,0),5)</f>
        <v>银行自定义。</v>
      </c>
      <c r="L42" s="67" t="str">
        <f>INDEX(数据元说明!A:F,MATCH(I42,数据元说明!C:C,0),6)</f>
        <v>C..600</v>
      </c>
      <c r="M42" s="68" t="s">
        <v>1624</v>
      </c>
      <c r="N42" s="68" t="s">
        <v>1601</v>
      </c>
      <c r="O42" s="68"/>
      <c r="P42" s="68"/>
    </row>
    <row r="43" ht="39.95" hidden="1" customHeight="1" outlineLevel="1" spans="1:16">
      <c r="A43" s="63"/>
      <c r="B43" s="64"/>
      <c r="C43" s="59" t="s">
        <v>30</v>
      </c>
      <c r="D43" s="59" t="s">
        <v>1628</v>
      </c>
      <c r="E43" s="65">
        <v>102</v>
      </c>
      <c r="F43" s="67" t="s">
        <v>1625</v>
      </c>
      <c r="G43" s="65">
        <v>10219</v>
      </c>
      <c r="H43" s="67" t="s">
        <v>1626</v>
      </c>
      <c r="I43" s="67" t="s">
        <v>345</v>
      </c>
      <c r="J43" s="67" t="str">
        <f>INDEX(数据元说明!A:F,MATCH(I43,数据元说明!C:C,0),2)</f>
        <v>001005</v>
      </c>
      <c r="K43" s="68" t="str">
        <f>INDEX(数据元说明!A:F,MATCH(I43,数据元说明!C:C,0),5)</f>
        <v>YYYYMMDD，默认值99991231。</v>
      </c>
      <c r="L43" s="67" t="str">
        <f>INDEX(数据元说明!A:F,MATCH(I43,数据元说明!C:C,0),6)</f>
        <v>C8</v>
      </c>
      <c r="M43" s="68" t="s">
        <v>1627</v>
      </c>
      <c r="N43" s="68"/>
      <c r="O43" s="68"/>
      <c r="P43" s="68"/>
    </row>
    <row r="44" ht="39.95" hidden="1" customHeight="1" collapsed="1" spans="1:16">
      <c r="A44" s="63"/>
      <c r="B44" s="64"/>
      <c r="C44" s="59" t="s">
        <v>34</v>
      </c>
      <c r="D44" s="59" t="s">
        <v>1662</v>
      </c>
      <c r="E44" s="65">
        <v>103</v>
      </c>
      <c r="F44" s="67"/>
      <c r="G44" s="65"/>
      <c r="H44" s="67"/>
      <c r="I44" s="67"/>
      <c r="J44" s="67"/>
      <c r="K44" s="68"/>
      <c r="L44" s="67"/>
      <c r="M44" s="68" t="str">
        <f>INDEX(表结构总览!D:G,MATCH(D44,表结构总览!D:D,0),4)</f>
        <v>包含实体柜员和虚拟柜员。为虚拟柜员时，工号、银行机构代码等字段依业务实际填列（若无则置空），如报送虚拟柜员，则通过“柜员类型”字段进行区分；柜员状态转为注销、无效等时，可在报送该条数据最终状态的次月不再报送。</v>
      </c>
      <c r="N44" s="68" t="s">
        <v>1583</v>
      </c>
      <c r="O44" s="68" t="s">
        <v>484</v>
      </c>
      <c r="P44" s="68" t="s">
        <v>1648</v>
      </c>
    </row>
    <row r="45" ht="39.95" hidden="1" customHeight="1" outlineLevel="1" spans="1:16">
      <c r="A45" s="63"/>
      <c r="B45" s="64"/>
      <c r="C45" s="59" t="s">
        <v>34</v>
      </c>
      <c r="D45" s="59" t="s">
        <v>1662</v>
      </c>
      <c r="E45" s="65">
        <v>103</v>
      </c>
      <c r="F45" s="67" t="s">
        <v>373</v>
      </c>
      <c r="G45" s="65">
        <v>10301</v>
      </c>
      <c r="H45" s="67" t="s">
        <v>1588</v>
      </c>
      <c r="I45" s="67" t="s">
        <v>373</v>
      </c>
      <c r="J45" s="67" t="str">
        <f>INDEX(数据元说明!A:F,MATCH(I45,数据元说明!C:C,0),2)</f>
        <v>001011</v>
      </c>
      <c r="K45" s="68" t="str">
        <f>INDEX(数据元说明!A:F,MATCH(I45,数据元说明!C:C,0),5)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5" s="67" t="str">
        <f>INDEX(数据元说明!A:F,MATCH(I45,数据元说明!C:C,0),6)</f>
        <v>C..30</v>
      </c>
      <c r="M45" s="68" t="s">
        <v>1629</v>
      </c>
      <c r="N45" s="68" t="s">
        <v>1583</v>
      </c>
      <c r="O45" s="68" t="s">
        <v>484</v>
      </c>
      <c r="P45" s="68"/>
    </row>
    <row r="46" ht="39.95" hidden="1" customHeight="1" outlineLevel="1" spans="1:16">
      <c r="A46" s="63"/>
      <c r="B46" s="64"/>
      <c r="C46" s="59" t="s">
        <v>34</v>
      </c>
      <c r="D46" s="59" t="s">
        <v>1662</v>
      </c>
      <c r="E46" s="65">
        <v>103</v>
      </c>
      <c r="F46" s="67" t="s">
        <v>377</v>
      </c>
      <c r="G46" s="65">
        <v>10302</v>
      </c>
      <c r="H46" s="67" t="s">
        <v>1586</v>
      </c>
      <c r="I46" s="67" t="s">
        <v>377</v>
      </c>
      <c r="J46" s="67" t="str">
        <f>INDEX(数据元说明!A:F,MATCH(I46,数据元说明!C:C,0),2)</f>
        <v>001012</v>
      </c>
      <c r="K46" s="68" t="str">
        <f>INDEX(数据元说明!A:F,MATCH(I46,数据元说明!C:C,0),5)</f>
        <v>银行内部机构号。应具有标识机构的唯一性。</v>
      </c>
      <c r="L46" s="67" t="str">
        <f>INDEX(数据元说明!A:F,MATCH(I46,数据元说明!C:C,0),6)</f>
        <v>C..30</v>
      </c>
      <c r="M46" s="68" t="s">
        <v>1663</v>
      </c>
      <c r="N46" s="68"/>
      <c r="O46" s="68"/>
      <c r="P46" s="68"/>
    </row>
    <row r="47" ht="39.95" hidden="1" customHeight="1" outlineLevel="1" spans="1:16">
      <c r="A47" s="63"/>
      <c r="B47" s="64"/>
      <c r="C47" s="59" t="s">
        <v>34</v>
      </c>
      <c r="D47" s="59" t="s">
        <v>1662</v>
      </c>
      <c r="E47" s="65">
        <v>103</v>
      </c>
      <c r="F47" s="67" t="s">
        <v>1592</v>
      </c>
      <c r="G47" s="65">
        <v>10303</v>
      </c>
      <c r="H47" s="67" t="s">
        <v>1593</v>
      </c>
      <c r="I47" s="67" t="s">
        <v>325</v>
      </c>
      <c r="J47" s="67" t="str">
        <f>INDEX(数据元说明!A:F,MATCH(I47,数据元说明!C:C,0),2)</f>
        <v>001001</v>
      </c>
      <c r="K47" s="68" t="str">
        <f>INDEX(数据元说明!A:F,MATCH(I47,数据元说明!C:C,0),5)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47" s="67" t="str">
        <f>INDEX(数据元说明!A:F,MATCH(I47,数据元说明!C:C,0),6)</f>
        <v>C..450</v>
      </c>
      <c r="M47" s="68" t="s">
        <v>1631</v>
      </c>
      <c r="N47" s="68" t="s">
        <v>1583</v>
      </c>
      <c r="O47" s="68" t="s">
        <v>322</v>
      </c>
      <c r="P47" s="68"/>
    </row>
    <row r="48" ht="39.95" hidden="1" customHeight="1" outlineLevel="1" spans="1:16">
      <c r="A48" s="63"/>
      <c r="B48" s="64"/>
      <c r="C48" s="59" t="s">
        <v>34</v>
      </c>
      <c r="D48" s="59" t="s">
        <v>1662</v>
      </c>
      <c r="E48" s="65">
        <v>103</v>
      </c>
      <c r="F48" s="67" t="s">
        <v>409</v>
      </c>
      <c r="G48" s="65">
        <v>10304</v>
      </c>
      <c r="H48" s="67" t="s">
        <v>1664</v>
      </c>
      <c r="I48" s="67" t="s">
        <v>409</v>
      </c>
      <c r="J48" s="67" t="str">
        <f>INDEX(数据元说明!A:F,MATCH(I48,数据元说明!C:C,0),2)</f>
        <v>001020</v>
      </c>
      <c r="K48" s="68" t="str">
        <f>INDEX(数据元说明!A:F,MATCH(I48,数据元说明!C:C,0),5)</f>
        <v>柜员编号，银行自定义。</v>
      </c>
      <c r="L48" s="67" t="str">
        <f>INDEX(数据元说明!A:F,MATCH(I48,数据元说明!C:C,0),6)</f>
        <v>C..30</v>
      </c>
      <c r="M48" s="68" t="s">
        <v>1665</v>
      </c>
      <c r="N48" s="68" t="s">
        <v>1583</v>
      </c>
      <c r="O48" s="68" t="s">
        <v>484</v>
      </c>
      <c r="P48" s="68" t="s">
        <v>1634</v>
      </c>
    </row>
    <row r="49" ht="39.95" hidden="1" customHeight="1" outlineLevel="1" spans="1:16">
      <c r="A49" s="63"/>
      <c r="B49" s="64"/>
      <c r="C49" s="59" t="s">
        <v>34</v>
      </c>
      <c r="D49" s="59" t="s">
        <v>1662</v>
      </c>
      <c r="E49" s="65">
        <v>103</v>
      </c>
      <c r="F49" s="67" t="s">
        <v>389</v>
      </c>
      <c r="G49" s="65">
        <v>10305</v>
      </c>
      <c r="H49" s="67" t="s">
        <v>1632</v>
      </c>
      <c r="I49" s="67" t="s">
        <v>389</v>
      </c>
      <c r="J49" s="67" t="str">
        <f>INDEX(数据元说明!A:F,MATCH(I49,数据元说明!C:C,0),2)</f>
        <v>001015</v>
      </c>
      <c r="K49" s="68" t="str">
        <f>INDEX(数据元说明!A:F,MATCH(I49,数据元说明!C:C,0),5)</f>
        <v>工号，银行自定义。</v>
      </c>
      <c r="L49" s="67" t="str">
        <f>INDEX(数据元说明!A:F,MATCH(I49,数据元说明!C:C,0),6)</f>
        <v>C..30</v>
      </c>
      <c r="M49" s="68" t="s">
        <v>1666</v>
      </c>
      <c r="N49" s="68" t="s">
        <v>1583</v>
      </c>
      <c r="O49" s="68"/>
      <c r="P49" s="68" t="s">
        <v>1634</v>
      </c>
    </row>
    <row r="50" ht="39.95" hidden="1" customHeight="1" outlineLevel="1" spans="1:16">
      <c r="A50" s="63"/>
      <c r="B50" s="64"/>
      <c r="C50" s="59" t="s">
        <v>34</v>
      </c>
      <c r="D50" s="59" t="s">
        <v>1662</v>
      </c>
      <c r="E50" s="65">
        <v>103</v>
      </c>
      <c r="F50" s="67" t="s">
        <v>413</v>
      </c>
      <c r="G50" s="65">
        <v>10306</v>
      </c>
      <c r="H50" s="67" t="s">
        <v>1667</v>
      </c>
      <c r="I50" s="67" t="s">
        <v>413</v>
      </c>
      <c r="J50" s="67" t="str">
        <f>INDEX(数据元说明!A:F,MATCH(I50,数据元说明!C:C,0),2)</f>
        <v>001021</v>
      </c>
      <c r="K50" s="68" t="str">
        <f>INDEX(数据元说明!A:F,MATCH(I50,数据元说明!C:C,0),5)</f>
        <v>中文字典或中文描述，银行自定义。</v>
      </c>
      <c r="L50" s="67" t="str">
        <f>INDEX(数据元说明!A:F,MATCH(I50,数据元说明!C:C,0),6)</f>
        <v>C..30</v>
      </c>
      <c r="M50" s="68" t="s">
        <v>1668</v>
      </c>
      <c r="N50" s="68"/>
      <c r="O50" s="68"/>
      <c r="P50" s="68"/>
    </row>
    <row r="51" ht="39.95" hidden="1" customHeight="1" outlineLevel="1" spans="1:16">
      <c r="A51" s="63"/>
      <c r="B51" s="64"/>
      <c r="C51" s="59" t="s">
        <v>34</v>
      </c>
      <c r="D51" s="59" t="s">
        <v>1662</v>
      </c>
      <c r="E51" s="65">
        <v>103</v>
      </c>
      <c r="F51" s="67" t="s">
        <v>1669</v>
      </c>
      <c r="G51" s="65">
        <v>10307</v>
      </c>
      <c r="H51" s="67" t="s">
        <v>1670</v>
      </c>
      <c r="I51" s="67" t="s">
        <v>330</v>
      </c>
      <c r="J51" s="67" t="str">
        <f>INDEX(数据元说明!A:F,MATCH(I51,数据元说明!C:C,0),2)</f>
        <v>001002</v>
      </c>
      <c r="K51" s="68" t="str">
        <f>INDEX(数据元说明!A:F,MATCH(I51,数据元说明!C:C,0),5)</f>
        <v>是，否。</v>
      </c>
      <c r="L51" s="67" t="str">
        <f>INDEX(数据元说明!A:F,MATCH(I51,数据元说明!C:C,0),6)</f>
        <v>C3</v>
      </c>
      <c r="M51" s="68" t="s">
        <v>1671</v>
      </c>
      <c r="N51" s="68"/>
      <c r="O51" s="68"/>
      <c r="P51" s="68"/>
    </row>
    <row r="52" ht="39.95" hidden="1" customHeight="1" outlineLevel="1" spans="1:16">
      <c r="A52" s="63"/>
      <c r="B52" s="64"/>
      <c r="C52" s="59" t="s">
        <v>34</v>
      </c>
      <c r="D52" s="59" t="s">
        <v>1662</v>
      </c>
      <c r="E52" s="65">
        <v>103</v>
      </c>
      <c r="F52" s="67" t="s">
        <v>420</v>
      </c>
      <c r="G52" s="65">
        <v>10308</v>
      </c>
      <c r="H52" s="67" t="s">
        <v>1646</v>
      </c>
      <c r="I52" s="67" t="s">
        <v>420</v>
      </c>
      <c r="J52" s="67" t="str">
        <f>INDEX(数据元说明!A:F,MATCH(I52,数据元说明!C:C,0),2)</f>
        <v>001023</v>
      </c>
      <c r="K52" s="68" t="str">
        <f>INDEX(数据元说明!A:F,MATCH(I52,数据元说明!C:C,0),5)</f>
        <v>银行自定义。</v>
      </c>
      <c r="L52" s="67" t="str">
        <f>INDEX(数据元说明!A:F,MATCH(I52,数据元说明!C:C,0),6)</f>
        <v>C..60</v>
      </c>
      <c r="M52" s="68" t="s">
        <v>1672</v>
      </c>
      <c r="N52" s="68"/>
      <c r="O52" s="68"/>
      <c r="P52" s="68"/>
    </row>
    <row r="53" ht="39.95" hidden="1" customHeight="1" outlineLevel="1" spans="1:16">
      <c r="A53" s="63"/>
      <c r="B53" s="64"/>
      <c r="C53" s="59" t="s">
        <v>34</v>
      </c>
      <c r="D53" s="59" t="s">
        <v>1662</v>
      </c>
      <c r="E53" s="65">
        <v>103</v>
      </c>
      <c r="F53" s="67" t="s">
        <v>416</v>
      </c>
      <c r="G53" s="65">
        <v>10309</v>
      </c>
      <c r="H53" s="67" t="s">
        <v>1673</v>
      </c>
      <c r="I53" s="67" t="s">
        <v>416</v>
      </c>
      <c r="J53" s="67" t="str">
        <f>INDEX(数据元说明!A:F,MATCH(I53,数据元说明!C:C,0),2)</f>
        <v>001022</v>
      </c>
      <c r="K53" s="68" t="str">
        <f>INDEX(数据元说明!A:F,MATCH(I53,数据元说明!C:C,0),5)</f>
        <v>高柜，低柜，其他-银行自定义。无法以枚举类型填报的，以“其他-XX”填报，其中“XX”为银行自定义类型。</v>
      </c>
      <c r="L53" s="67" t="str">
        <f>INDEX(数据元说明!A:F,MATCH(I53,数据元说明!C:C,0),6)</f>
        <v>C..30</v>
      </c>
      <c r="M53" s="68"/>
      <c r="N53" s="68"/>
      <c r="O53" s="68"/>
      <c r="P53" s="68"/>
    </row>
    <row r="54" ht="39.95" hidden="1" customHeight="1" outlineLevel="1" spans="1:16">
      <c r="A54" s="63"/>
      <c r="B54" s="64"/>
      <c r="C54" s="59" t="s">
        <v>34</v>
      </c>
      <c r="D54" s="59" t="s">
        <v>1662</v>
      </c>
      <c r="E54" s="65">
        <v>103</v>
      </c>
      <c r="F54" s="67" t="s">
        <v>1674</v>
      </c>
      <c r="G54" s="65">
        <v>10310</v>
      </c>
      <c r="H54" s="67" t="s">
        <v>1675</v>
      </c>
      <c r="I54" s="67" t="s">
        <v>345</v>
      </c>
      <c r="J54" s="67" t="str">
        <f>INDEX(数据元说明!A:F,MATCH(I54,数据元说明!C:C,0),2)</f>
        <v>001005</v>
      </c>
      <c r="K54" s="68" t="str">
        <f>INDEX(数据元说明!A:F,MATCH(I54,数据元说明!C:C,0),5)</f>
        <v>YYYYMMDD，默认值99991231。</v>
      </c>
      <c r="L54" s="67" t="str">
        <f>INDEX(数据元说明!A:F,MATCH(I54,数据元说明!C:C,0),6)</f>
        <v>C8</v>
      </c>
      <c r="M54" s="68" t="s">
        <v>1676</v>
      </c>
      <c r="N54" s="68"/>
      <c r="O54" s="68"/>
      <c r="P54" s="68"/>
    </row>
    <row r="55" ht="39.95" hidden="1" customHeight="1" outlineLevel="1" spans="1:16">
      <c r="A55" s="63"/>
      <c r="B55" s="64"/>
      <c r="C55" s="59" t="s">
        <v>34</v>
      </c>
      <c r="D55" s="59" t="s">
        <v>1662</v>
      </c>
      <c r="E55" s="65">
        <v>103</v>
      </c>
      <c r="F55" s="67" t="s">
        <v>471</v>
      </c>
      <c r="G55" s="65">
        <v>10311</v>
      </c>
      <c r="H55" s="67" t="s">
        <v>1677</v>
      </c>
      <c r="I55" s="67" t="s">
        <v>471</v>
      </c>
      <c r="J55" s="67" t="str">
        <f>INDEX(数据元说明!A:F,MATCH(I55,数据元说明!C:C,0),2)</f>
        <v>001035</v>
      </c>
      <c r="K55" s="68" t="str">
        <f>INDEX(数据元说明!A:F,MATCH(I55,数据元说明!C:C,0),5)</f>
        <v>在岗，离岗，其他-银行自定义。无法以枚举类型填报的，以“其他-XX”填报，其中“XX”为银行自定义类型。</v>
      </c>
      <c r="L55" s="67">
        <f>INDEX(数据元说明!A:F,MATCH(I55,数据元说明!C:C,0),6)</f>
        <v>0</v>
      </c>
      <c r="M55" s="68"/>
      <c r="N55" s="68" t="s">
        <v>1583</v>
      </c>
      <c r="O55" s="68" t="s">
        <v>1577</v>
      </c>
      <c r="P55" s="68"/>
    </row>
    <row r="56" ht="39.95" hidden="1" customHeight="1" outlineLevel="1" spans="1:16">
      <c r="A56" s="63"/>
      <c r="B56" s="64"/>
      <c r="C56" s="59" t="s">
        <v>34</v>
      </c>
      <c r="D56" s="59" t="s">
        <v>1662</v>
      </c>
      <c r="E56" s="65">
        <v>103</v>
      </c>
      <c r="F56" s="67" t="s">
        <v>484</v>
      </c>
      <c r="G56" s="65">
        <v>10312</v>
      </c>
      <c r="H56" s="67" t="s">
        <v>1623</v>
      </c>
      <c r="I56" s="67" t="s">
        <v>484</v>
      </c>
      <c r="J56" s="67" t="str">
        <f>INDEX(数据元说明!A:F,MATCH(I56,数据元说明!C:C,0),2)</f>
        <v>001038</v>
      </c>
      <c r="K56" s="68" t="str">
        <f>INDEX(数据元说明!A:F,MATCH(I56,数据元说明!C:C,0),5)</f>
        <v>银行自定义。</v>
      </c>
      <c r="L56" s="67" t="str">
        <f>INDEX(数据元说明!A:F,MATCH(I56,数据元说明!C:C,0),6)</f>
        <v>C..600</v>
      </c>
      <c r="M56" s="68" t="s">
        <v>1624</v>
      </c>
      <c r="N56" s="68" t="s">
        <v>1601</v>
      </c>
      <c r="O56" s="68"/>
      <c r="P56" s="68"/>
    </row>
    <row r="57" ht="39.95" hidden="1" customHeight="1" outlineLevel="1" spans="1:16">
      <c r="A57" s="63"/>
      <c r="B57" s="64"/>
      <c r="C57" s="59" t="s">
        <v>34</v>
      </c>
      <c r="D57" s="59" t="s">
        <v>1662</v>
      </c>
      <c r="E57" s="65">
        <v>103</v>
      </c>
      <c r="F57" s="67" t="s">
        <v>1625</v>
      </c>
      <c r="G57" s="65">
        <v>10313</v>
      </c>
      <c r="H57" s="67" t="s">
        <v>1626</v>
      </c>
      <c r="I57" s="67" t="s">
        <v>345</v>
      </c>
      <c r="J57" s="67" t="str">
        <f>INDEX(数据元说明!A:F,MATCH(I57,数据元说明!C:C,0),2)</f>
        <v>001005</v>
      </c>
      <c r="K57" s="68" t="str">
        <f>INDEX(数据元说明!A:F,MATCH(I57,数据元说明!C:C,0),5)</f>
        <v>YYYYMMDD，默认值99991231。</v>
      </c>
      <c r="L57" s="67" t="str">
        <f>INDEX(数据元说明!A:F,MATCH(I57,数据元说明!C:C,0),6)</f>
        <v>C8</v>
      </c>
      <c r="M57" s="68" t="s">
        <v>1627</v>
      </c>
      <c r="N57" s="68"/>
      <c r="O57" s="68"/>
      <c r="P57" s="68"/>
    </row>
    <row r="58" ht="39.95" hidden="1" customHeight="1" collapsed="1" spans="1:16">
      <c r="A58" s="63"/>
      <c r="B58" s="64"/>
      <c r="C58" s="59" t="s">
        <v>38</v>
      </c>
      <c r="D58" s="59" t="s">
        <v>1678</v>
      </c>
      <c r="E58" s="65">
        <v>104</v>
      </c>
      <c r="F58" s="67"/>
      <c r="G58" s="65"/>
      <c r="H58" s="67"/>
      <c r="I58" s="67"/>
      <c r="J58" s="67"/>
      <c r="K58" s="68"/>
      <c r="L58" s="67"/>
      <c r="M58" s="68" t="str">
        <f>INDEX(表结构总览!D:G,MATCH(D58,表结构总览!D:D,0),4)</f>
        <v>银行机构内设立的所有岗位的相关信息，至少应包括核心和人力资源系统中的所有岗位信息。撤销的岗位于次月不再报送。</v>
      </c>
      <c r="N58" s="68" t="s">
        <v>1583</v>
      </c>
      <c r="O58" s="68"/>
      <c r="P58" s="68"/>
    </row>
    <row r="59" ht="39.95" hidden="1" customHeight="1" outlineLevel="1" spans="1:16">
      <c r="A59" s="63"/>
      <c r="B59" s="64"/>
      <c r="C59" s="59" t="s">
        <v>38</v>
      </c>
      <c r="D59" s="59" t="s">
        <v>1678</v>
      </c>
      <c r="E59" s="65">
        <v>104</v>
      </c>
      <c r="F59" s="67" t="s">
        <v>373</v>
      </c>
      <c r="G59" s="65">
        <v>10401</v>
      </c>
      <c r="H59" s="67" t="s">
        <v>1588</v>
      </c>
      <c r="I59" s="67" t="s">
        <v>373</v>
      </c>
      <c r="J59" s="67" t="str">
        <f>INDEX(数据元说明!A:F,MATCH(I59,数据元说明!C:C,0),2)</f>
        <v>001011</v>
      </c>
      <c r="K59" s="68" t="str">
        <f>INDEX(数据元说明!A:F,MATCH(I59,数据元说明!C:C,0),5)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9" s="67" t="str">
        <f>INDEX(数据元说明!A:F,MATCH(I59,数据元说明!C:C,0),6)</f>
        <v>C..30</v>
      </c>
      <c r="M59" s="68" t="s">
        <v>1629</v>
      </c>
      <c r="N59" s="68" t="s">
        <v>1583</v>
      </c>
      <c r="O59" s="68" t="s">
        <v>484</v>
      </c>
      <c r="P59" s="68"/>
    </row>
    <row r="60" ht="39.95" hidden="1" customHeight="1" outlineLevel="1" spans="1:16">
      <c r="A60" s="63"/>
      <c r="B60" s="64"/>
      <c r="C60" s="59" t="s">
        <v>38</v>
      </c>
      <c r="D60" s="59" t="s">
        <v>1678</v>
      </c>
      <c r="E60" s="65">
        <v>104</v>
      </c>
      <c r="F60" s="67" t="s">
        <v>377</v>
      </c>
      <c r="G60" s="65">
        <v>10402</v>
      </c>
      <c r="H60" s="67" t="s">
        <v>1586</v>
      </c>
      <c r="I60" s="67" t="s">
        <v>377</v>
      </c>
      <c r="J60" s="67" t="str">
        <f>INDEX(数据元说明!A:F,MATCH(I60,数据元说明!C:C,0),2)</f>
        <v>001012</v>
      </c>
      <c r="K60" s="68" t="str">
        <f>INDEX(数据元说明!A:F,MATCH(I60,数据元说明!C:C,0),5)</f>
        <v>银行内部机构号。应具有标识机构的唯一性。</v>
      </c>
      <c r="L60" s="67" t="str">
        <f>INDEX(数据元说明!A:F,MATCH(I60,数据元说明!C:C,0),6)</f>
        <v>C..30</v>
      </c>
      <c r="M60" s="68" t="s">
        <v>1663</v>
      </c>
      <c r="N60" s="68"/>
      <c r="O60" s="68"/>
      <c r="P60" s="68"/>
    </row>
    <row r="61" ht="39.95" hidden="1" customHeight="1" outlineLevel="1" spans="1:16">
      <c r="A61" s="63"/>
      <c r="B61" s="64"/>
      <c r="C61" s="59" t="s">
        <v>38</v>
      </c>
      <c r="D61" s="59" t="s">
        <v>1678</v>
      </c>
      <c r="E61" s="65">
        <v>104</v>
      </c>
      <c r="F61" s="67" t="s">
        <v>420</v>
      </c>
      <c r="G61" s="65">
        <v>10403</v>
      </c>
      <c r="H61" s="67" t="s">
        <v>1646</v>
      </c>
      <c r="I61" s="67" t="s">
        <v>420</v>
      </c>
      <c r="J61" s="67" t="str">
        <f>INDEX(数据元说明!A:F,MATCH(I61,数据元说明!C:C,0),2)</f>
        <v>001023</v>
      </c>
      <c r="K61" s="68" t="str">
        <f>INDEX(数据元说明!A:F,MATCH(I61,数据元说明!C:C,0),5)</f>
        <v>银行自定义。</v>
      </c>
      <c r="L61" s="67" t="str">
        <f>INDEX(数据元说明!A:F,MATCH(I61,数据元说明!C:C,0),6)</f>
        <v>C..60</v>
      </c>
      <c r="M61" s="68" t="s">
        <v>1679</v>
      </c>
      <c r="N61" s="68" t="s">
        <v>1583</v>
      </c>
      <c r="O61" s="68"/>
      <c r="P61" s="68" t="s">
        <v>1634</v>
      </c>
    </row>
    <row r="62" ht="39.95" hidden="1" customHeight="1" outlineLevel="1" spans="1:16">
      <c r="A62" s="63"/>
      <c r="B62" s="64"/>
      <c r="C62" s="59" t="s">
        <v>38</v>
      </c>
      <c r="D62" s="59" t="s">
        <v>1678</v>
      </c>
      <c r="E62" s="65">
        <v>104</v>
      </c>
      <c r="F62" s="67" t="s">
        <v>424</v>
      </c>
      <c r="G62" s="65">
        <v>10404</v>
      </c>
      <c r="H62" s="67" t="s">
        <v>1680</v>
      </c>
      <c r="I62" s="67" t="s">
        <v>424</v>
      </c>
      <c r="J62" s="67" t="str">
        <f>INDEX(数据元说明!A:F,MATCH(I62,数据元说明!C:C,0),2)</f>
        <v>001024</v>
      </c>
      <c r="K62" s="68" t="str">
        <f>INDEX(数据元说明!A:F,MATCH(I62,数据元说明!C:C,0),5)</f>
        <v>岗位种类，中文字典或中文描述，银行自定义。</v>
      </c>
      <c r="L62" s="67" t="str">
        <f>INDEX(数据元说明!A:F,MATCH(I62,数据元说明!C:C,0),6)</f>
        <v>C..60</v>
      </c>
      <c r="M62" s="68" t="s">
        <v>1681</v>
      </c>
      <c r="N62" s="68"/>
      <c r="O62" s="68"/>
      <c r="P62" s="68"/>
    </row>
    <row r="63" ht="39.95" hidden="1" customHeight="1" outlineLevel="1" spans="1:16">
      <c r="A63" s="63"/>
      <c r="B63" s="64"/>
      <c r="C63" s="59" t="s">
        <v>38</v>
      </c>
      <c r="D63" s="59" t="s">
        <v>1678</v>
      </c>
      <c r="E63" s="65">
        <v>104</v>
      </c>
      <c r="F63" s="67" t="s">
        <v>428</v>
      </c>
      <c r="G63" s="65">
        <v>10405</v>
      </c>
      <c r="H63" s="67" t="s">
        <v>1649</v>
      </c>
      <c r="I63" s="67" t="s">
        <v>428</v>
      </c>
      <c r="J63" s="67" t="str">
        <f>INDEX(数据元说明!A:F,MATCH(I63,数据元说明!C:C,0),2)</f>
        <v>001025</v>
      </c>
      <c r="K63" s="68" t="str">
        <f>INDEX(数据元说明!A:F,MATCH(I63,数据元说明!C:C,0),5)</f>
        <v>岗位名称，中文字典或中文描述，银行自定义。</v>
      </c>
      <c r="L63" s="67" t="str">
        <f>INDEX(数据元说明!A:F,MATCH(I63,数据元说明!C:C,0),6)</f>
        <v>C..150</v>
      </c>
      <c r="M63" s="68" t="s">
        <v>1681</v>
      </c>
      <c r="N63" s="68"/>
      <c r="O63" s="68"/>
      <c r="P63" s="68"/>
    </row>
    <row r="64" ht="39.95" hidden="1" customHeight="1" outlineLevel="1" spans="1:16">
      <c r="A64" s="63"/>
      <c r="B64" s="64"/>
      <c r="C64" s="59" t="s">
        <v>38</v>
      </c>
      <c r="D64" s="59" t="s">
        <v>1678</v>
      </c>
      <c r="E64" s="65">
        <v>104</v>
      </c>
      <c r="F64" s="67" t="s">
        <v>432</v>
      </c>
      <c r="G64" s="65">
        <v>10406</v>
      </c>
      <c r="H64" s="67" t="s">
        <v>1682</v>
      </c>
      <c r="I64" s="67" t="s">
        <v>432</v>
      </c>
      <c r="J64" s="67" t="str">
        <f>INDEX(数据元说明!A:F,MATCH(I64,数据元说明!C:C,0),2)</f>
        <v>001026</v>
      </c>
      <c r="K64" s="68" t="str">
        <f>INDEX(数据元说明!A:F,MATCH(I64,数据元说明!C:C,0),5)</f>
        <v>对岗位工作的中文描述，银行自定义。</v>
      </c>
      <c r="L64" s="67" t="str">
        <f>INDEX(数据元说明!A:F,MATCH(I64,数据元说明!C:C,0),6)</f>
        <v>C..600</v>
      </c>
      <c r="M64" s="68" t="s">
        <v>1681</v>
      </c>
      <c r="N64" s="68"/>
      <c r="O64" s="68"/>
      <c r="P64" s="68"/>
    </row>
    <row r="65" ht="39.95" hidden="1" customHeight="1" outlineLevel="1" spans="1:16">
      <c r="A65" s="63"/>
      <c r="B65" s="64"/>
      <c r="C65" s="59" t="s">
        <v>38</v>
      </c>
      <c r="D65" s="59" t="s">
        <v>1678</v>
      </c>
      <c r="E65" s="65">
        <v>104</v>
      </c>
      <c r="F65" s="67" t="s">
        <v>1683</v>
      </c>
      <c r="G65" s="65">
        <v>10407</v>
      </c>
      <c r="H65" s="67" t="s">
        <v>1684</v>
      </c>
      <c r="I65" s="67" t="s">
        <v>405</v>
      </c>
      <c r="J65" s="67" t="str">
        <f>INDEX(数据元说明!A:F,MATCH(I65,数据元说明!C:C,0),2)</f>
        <v>001019</v>
      </c>
      <c r="K65" s="68" t="str">
        <f>INDEX(数据元说明!A:F,MATCH(I65,数据元说明!C:C,0),5)</f>
        <v>中文字典或中文描述，银行自定义。</v>
      </c>
      <c r="L65" s="67" t="str">
        <f>INDEX(数据元说明!A:F,MATCH(I65,数据元说明!C:C,0),6)</f>
        <v>C..60</v>
      </c>
      <c r="M65" s="68"/>
      <c r="N65" s="68"/>
      <c r="O65" s="68"/>
      <c r="P65" s="68"/>
    </row>
    <row r="66" ht="39.95" hidden="1" customHeight="1" outlineLevel="1" spans="1:16">
      <c r="A66" s="63"/>
      <c r="B66" s="64"/>
      <c r="C66" s="59" t="s">
        <v>38</v>
      </c>
      <c r="D66" s="59" t="s">
        <v>1678</v>
      </c>
      <c r="E66" s="65">
        <v>104</v>
      </c>
      <c r="F66" s="67" t="s">
        <v>484</v>
      </c>
      <c r="G66" s="65">
        <v>10408</v>
      </c>
      <c r="H66" s="67" t="s">
        <v>1623</v>
      </c>
      <c r="I66" s="67" t="s">
        <v>484</v>
      </c>
      <c r="J66" s="67" t="str">
        <f>INDEX(数据元说明!A:F,MATCH(I66,数据元说明!C:C,0),2)</f>
        <v>001038</v>
      </c>
      <c r="K66" s="68" t="str">
        <f>INDEX(数据元说明!A:F,MATCH(I66,数据元说明!C:C,0),5)</f>
        <v>银行自定义。</v>
      </c>
      <c r="L66" s="67" t="str">
        <f>INDEX(数据元说明!A:F,MATCH(I66,数据元说明!C:C,0),6)</f>
        <v>C..600</v>
      </c>
      <c r="M66" s="68" t="s">
        <v>1624</v>
      </c>
      <c r="N66" s="68" t="s">
        <v>1601</v>
      </c>
      <c r="O66" s="68"/>
      <c r="P66" s="68"/>
    </row>
    <row r="67" ht="39.95" hidden="1" customHeight="1" outlineLevel="1" spans="1:16">
      <c r="A67" s="63"/>
      <c r="B67" s="64"/>
      <c r="C67" s="59" t="s">
        <v>38</v>
      </c>
      <c r="D67" s="59" t="s">
        <v>1678</v>
      </c>
      <c r="E67" s="65">
        <v>104</v>
      </c>
      <c r="F67" s="67" t="s">
        <v>1625</v>
      </c>
      <c r="G67" s="65">
        <v>10409</v>
      </c>
      <c r="H67" s="67" t="s">
        <v>1626</v>
      </c>
      <c r="I67" s="67" t="s">
        <v>345</v>
      </c>
      <c r="J67" s="67" t="str">
        <f>INDEX(数据元说明!A:F,MATCH(I67,数据元说明!C:C,0),2)</f>
        <v>001005</v>
      </c>
      <c r="K67" s="68" t="str">
        <f>INDEX(数据元说明!A:F,MATCH(I67,数据元说明!C:C,0),5)</f>
        <v>YYYYMMDD，默认值99991231。</v>
      </c>
      <c r="L67" s="67" t="str">
        <f>INDEX(数据元说明!A:F,MATCH(I67,数据元说明!C:C,0),6)</f>
        <v>C8</v>
      </c>
      <c r="M67" s="68" t="s">
        <v>1627</v>
      </c>
      <c r="N67" s="68"/>
      <c r="O67" s="68"/>
      <c r="P67" s="68"/>
    </row>
    <row r="68" ht="39.95" hidden="1" customHeight="1" collapsed="1" spans="1:16">
      <c r="A68" s="63"/>
      <c r="B68" s="64"/>
      <c r="C68" s="59" t="s">
        <v>42</v>
      </c>
      <c r="D68" s="59" t="s">
        <v>1685</v>
      </c>
      <c r="E68" s="65">
        <v>105</v>
      </c>
      <c r="F68" s="67"/>
      <c r="G68" s="65"/>
      <c r="H68" s="67"/>
      <c r="I68" s="67"/>
      <c r="J68" s="67"/>
      <c r="K68" s="68"/>
      <c r="L68" s="67"/>
      <c r="M68" s="68" t="str">
        <f>INDEX(表结构总览!D:G,MATCH(D68,表结构总览!D:D,0),4)</f>
        <v>报送范围应包括所有进行账务处理的机构，至少应包括总行、分行、支行等实体机构和省级汇总、地市级汇总、法人汇总、分行汇总。会计全科目表中的机构在机构关系表中都需要报送，每次全量报送。</v>
      </c>
      <c r="N68" s="68" t="s">
        <v>1583</v>
      </c>
      <c r="O68" s="68"/>
      <c r="P68" s="68"/>
    </row>
    <row r="69" ht="39.95" hidden="1" customHeight="1" outlineLevel="1" spans="1:16">
      <c r="A69" s="63"/>
      <c r="B69" s="64"/>
      <c r="C69" s="59" t="s">
        <v>42</v>
      </c>
      <c r="D69" s="59" t="s">
        <v>1685</v>
      </c>
      <c r="E69" s="65">
        <v>105</v>
      </c>
      <c r="F69" s="67" t="s">
        <v>369</v>
      </c>
      <c r="G69" s="65">
        <v>10501</v>
      </c>
      <c r="H69" s="67" t="s">
        <v>1584</v>
      </c>
      <c r="I69" s="67" t="s">
        <v>369</v>
      </c>
      <c r="J69" s="67" t="str">
        <f>INDEX(数据元说明!A:F,MATCH(I69,数据元说明!C:C,0),2)</f>
        <v>001010</v>
      </c>
      <c r="K69" s="68" t="str">
        <f>INDEX(数据元说明!A:F,MATCH(I69,数据元说明!C:C,0),5)</f>
        <v>12位人行支付行号或SWIFT行号。</v>
      </c>
      <c r="L69" s="67" t="str">
        <f>INDEX(数据元说明!A:F,MATCH(I69,数据元说明!C:C,0),6)</f>
        <v>C..30</v>
      </c>
      <c r="M69" s="68" t="s">
        <v>1686</v>
      </c>
      <c r="N69" s="68" t="s">
        <v>1583</v>
      </c>
      <c r="O69" s="68"/>
      <c r="P69" s="68" t="s">
        <v>1648</v>
      </c>
    </row>
    <row r="70" ht="39.95" hidden="1" customHeight="1" outlineLevel="1" spans="1:16">
      <c r="A70" s="63"/>
      <c r="B70" s="64"/>
      <c r="C70" s="59" t="s">
        <v>42</v>
      </c>
      <c r="D70" s="59" t="s">
        <v>1685</v>
      </c>
      <c r="E70" s="65">
        <v>105</v>
      </c>
      <c r="F70" s="67" t="s">
        <v>373</v>
      </c>
      <c r="G70" s="65">
        <v>10502</v>
      </c>
      <c r="H70" s="67" t="s">
        <v>1588</v>
      </c>
      <c r="I70" s="67" t="s">
        <v>373</v>
      </c>
      <c r="J70" s="67" t="str">
        <f>INDEX(数据元说明!A:F,MATCH(I70,数据元说明!C:C,0),2)</f>
        <v>001011</v>
      </c>
      <c r="K70" s="68" t="str">
        <f>INDEX(数据元说明!A:F,MATCH(I70,数据元说明!C:C,0),5)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0" s="67" t="str">
        <f>INDEX(数据元说明!A:F,MATCH(I70,数据元说明!C:C,0),6)</f>
        <v>C..30</v>
      </c>
      <c r="M70" s="68" t="s">
        <v>1629</v>
      </c>
      <c r="N70" s="68" t="s">
        <v>1583</v>
      </c>
      <c r="O70" s="68" t="s">
        <v>484</v>
      </c>
      <c r="P70" s="68"/>
    </row>
    <row r="71" ht="39.95" hidden="1" customHeight="1" outlineLevel="1" spans="1:16">
      <c r="A71" s="63"/>
      <c r="B71" s="64"/>
      <c r="C71" s="59" t="s">
        <v>42</v>
      </c>
      <c r="D71" s="59" t="s">
        <v>1685</v>
      </c>
      <c r="E71" s="65">
        <v>105</v>
      </c>
      <c r="F71" s="67" t="s">
        <v>377</v>
      </c>
      <c r="G71" s="65">
        <v>10503</v>
      </c>
      <c r="H71" s="67" t="s">
        <v>1586</v>
      </c>
      <c r="I71" s="67" t="s">
        <v>377</v>
      </c>
      <c r="J71" s="67" t="str">
        <f>INDEX(数据元说明!A:F,MATCH(I71,数据元说明!C:C,0),2)</f>
        <v>001012</v>
      </c>
      <c r="K71" s="68" t="str">
        <f>INDEX(数据元说明!A:F,MATCH(I71,数据元说明!C:C,0),5)</f>
        <v>银行内部机构号。应具有标识机构的唯一性。</v>
      </c>
      <c r="L71" s="67" t="str">
        <f>INDEX(数据元说明!A:F,MATCH(I71,数据元说明!C:C,0),6)</f>
        <v>C..30</v>
      </c>
      <c r="M71" s="68" t="s">
        <v>1587</v>
      </c>
      <c r="N71" s="68"/>
      <c r="O71" s="68"/>
      <c r="P71" s="68"/>
    </row>
    <row r="72" ht="39.95" hidden="1" customHeight="1" outlineLevel="1" spans="1:16">
      <c r="A72" s="63"/>
      <c r="B72" s="64"/>
      <c r="C72" s="59" t="s">
        <v>42</v>
      </c>
      <c r="D72" s="59" t="s">
        <v>1685</v>
      </c>
      <c r="E72" s="65">
        <v>105</v>
      </c>
      <c r="F72" s="67" t="s">
        <v>1592</v>
      </c>
      <c r="G72" s="65">
        <v>10504</v>
      </c>
      <c r="H72" s="67" t="s">
        <v>1593</v>
      </c>
      <c r="I72" s="67" t="s">
        <v>325</v>
      </c>
      <c r="J72" s="67" t="str">
        <f>INDEX(数据元说明!A:F,MATCH(I72,数据元说明!C:C,0),2)</f>
        <v>001001</v>
      </c>
      <c r="K72" s="68" t="str">
        <f>INDEX(数据元说明!A:F,MATCH(I72,数据元说明!C:C,0),5)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2" s="67" t="str">
        <f>INDEX(数据元说明!A:F,MATCH(I72,数据元说明!C:C,0),6)</f>
        <v>C..450</v>
      </c>
      <c r="M72" s="68" t="s">
        <v>1631</v>
      </c>
      <c r="N72" s="68" t="s">
        <v>1583</v>
      </c>
      <c r="O72" s="68" t="s">
        <v>322</v>
      </c>
      <c r="P72" s="68" t="s">
        <v>1648</v>
      </c>
    </row>
    <row r="73" ht="39.95" hidden="1" customHeight="1" outlineLevel="1" spans="1:16">
      <c r="A73" s="63"/>
      <c r="B73" s="64"/>
      <c r="C73" s="59" t="s">
        <v>42</v>
      </c>
      <c r="D73" s="59" t="s">
        <v>1685</v>
      </c>
      <c r="E73" s="65">
        <v>105</v>
      </c>
      <c r="F73" s="67" t="s">
        <v>1687</v>
      </c>
      <c r="G73" s="65">
        <v>10505</v>
      </c>
      <c r="H73" s="67" t="s">
        <v>1688</v>
      </c>
      <c r="I73" s="67" t="s">
        <v>369</v>
      </c>
      <c r="J73" s="67" t="str">
        <f>INDEX(数据元说明!A:F,MATCH(I73,数据元说明!C:C,0),2)</f>
        <v>001010</v>
      </c>
      <c r="K73" s="68" t="str">
        <f>INDEX(数据元说明!A:F,MATCH(I73,数据元说明!C:C,0),5)</f>
        <v>12位人行支付行号或SWIFT行号。</v>
      </c>
      <c r="L73" s="67" t="str">
        <f>INDEX(数据元说明!A:F,MATCH(I73,数据元说明!C:C,0),6)</f>
        <v>C..30</v>
      </c>
      <c r="M73" s="68" t="s">
        <v>1689</v>
      </c>
      <c r="N73" s="68" t="s">
        <v>1583</v>
      </c>
      <c r="O73" s="68" t="s">
        <v>1577</v>
      </c>
      <c r="P73" s="68"/>
    </row>
    <row r="74" ht="39.95" hidden="1" customHeight="1" outlineLevel="1" spans="1:16">
      <c r="A74" s="63"/>
      <c r="B74" s="64"/>
      <c r="C74" s="59" t="s">
        <v>42</v>
      </c>
      <c r="D74" s="59" t="s">
        <v>1685</v>
      </c>
      <c r="E74" s="65">
        <v>105</v>
      </c>
      <c r="F74" s="67" t="s">
        <v>1690</v>
      </c>
      <c r="G74" s="65">
        <v>10506</v>
      </c>
      <c r="H74" s="67" t="s">
        <v>1691</v>
      </c>
      <c r="I74" s="67" t="s">
        <v>377</v>
      </c>
      <c r="J74" s="67" t="str">
        <f>INDEX(数据元说明!A:F,MATCH(I74,数据元说明!C:C,0),2)</f>
        <v>001012</v>
      </c>
      <c r="K74" s="68" t="str">
        <f>INDEX(数据元说明!A:F,MATCH(I74,数据元说明!C:C,0),5)</f>
        <v>银行内部机构号。应具有标识机构的唯一性。</v>
      </c>
      <c r="L74" s="67" t="str">
        <f>INDEX(数据元说明!A:F,MATCH(I74,数据元说明!C:C,0),6)</f>
        <v>C..30</v>
      </c>
      <c r="M74" s="68" t="s">
        <v>1689</v>
      </c>
      <c r="N74" s="68" t="s">
        <v>1601</v>
      </c>
      <c r="O74" s="68"/>
      <c r="P74" s="68"/>
    </row>
    <row r="75" ht="39.95" hidden="1" customHeight="1" outlineLevel="1" spans="1:16">
      <c r="A75" s="63"/>
      <c r="B75" s="64"/>
      <c r="C75" s="59" t="s">
        <v>42</v>
      </c>
      <c r="D75" s="59" t="s">
        <v>1685</v>
      </c>
      <c r="E75" s="65">
        <v>105</v>
      </c>
      <c r="F75" s="67" t="s">
        <v>1692</v>
      </c>
      <c r="G75" s="65">
        <v>10507</v>
      </c>
      <c r="H75" s="67" t="s">
        <v>1693</v>
      </c>
      <c r="I75" s="67" t="s">
        <v>325</v>
      </c>
      <c r="J75" s="67" t="str">
        <f>INDEX(数据元说明!A:F,MATCH(I75,数据元说明!C:C,0),2)</f>
        <v>001001</v>
      </c>
      <c r="K75" s="68" t="str">
        <f>INDEX(数据元说明!A:F,MATCH(I75,数据元说明!C:C,0),5)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5" s="67" t="str">
        <f>INDEX(数据元说明!A:F,MATCH(I75,数据元说明!C:C,0),6)</f>
        <v>C..450</v>
      </c>
      <c r="M75" s="68" t="s">
        <v>1694</v>
      </c>
      <c r="N75" s="68" t="s">
        <v>1583</v>
      </c>
      <c r="O75" s="68" t="s">
        <v>1695</v>
      </c>
      <c r="P75" s="68"/>
    </row>
    <row r="76" ht="39.95" hidden="1" customHeight="1" outlineLevel="1" spans="1:16">
      <c r="A76" s="63"/>
      <c r="B76" s="64"/>
      <c r="C76" s="59" t="s">
        <v>42</v>
      </c>
      <c r="D76" s="59" t="s">
        <v>1685</v>
      </c>
      <c r="E76" s="65">
        <v>105</v>
      </c>
      <c r="F76" s="67" t="s">
        <v>484</v>
      </c>
      <c r="G76" s="65">
        <v>10508</v>
      </c>
      <c r="H76" s="67" t="s">
        <v>1623</v>
      </c>
      <c r="I76" s="67" t="s">
        <v>484</v>
      </c>
      <c r="J76" s="67" t="str">
        <f>INDEX(数据元说明!A:F,MATCH(I76,数据元说明!C:C,0),2)</f>
        <v>001038</v>
      </c>
      <c r="K76" s="68" t="str">
        <f>INDEX(数据元说明!A:F,MATCH(I76,数据元说明!C:C,0),5)</f>
        <v>银行自定义。</v>
      </c>
      <c r="L76" s="67" t="str">
        <f>INDEX(数据元说明!A:F,MATCH(I76,数据元说明!C:C,0),6)</f>
        <v>C..600</v>
      </c>
      <c r="M76" s="68" t="s">
        <v>1624</v>
      </c>
      <c r="N76" s="68" t="s">
        <v>1601</v>
      </c>
      <c r="O76" s="68"/>
      <c r="P76" s="68"/>
    </row>
    <row r="77" ht="39.95" hidden="1" customHeight="1" outlineLevel="1" spans="1:16">
      <c r="A77" s="63"/>
      <c r="B77" s="64"/>
      <c r="C77" s="59" t="s">
        <v>42</v>
      </c>
      <c r="D77" s="59" t="s">
        <v>1685</v>
      </c>
      <c r="E77" s="65">
        <v>105</v>
      </c>
      <c r="F77" s="67" t="s">
        <v>1625</v>
      </c>
      <c r="G77" s="65">
        <v>10509</v>
      </c>
      <c r="H77" s="67" t="s">
        <v>1626</v>
      </c>
      <c r="I77" s="67" t="s">
        <v>345</v>
      </c>
      <c r="J77" s="67" t="str">
        <f>INDEX(数据元说明!A:F,MATCH(I77,数据元说明!C:C,0),2)</f>
        <v>001005</v>
      </c>
      <c r="K77" s="68" t="str">
        <f>INDEX(数据元说明!A:F,MATCH(I77,数据元说明!C:C,0),5)</f>
        <v>YYYYMMDD，默认值99991231。</v>
      </c>
      <c r="L77" s="67" t="str">
        <f>INDEX(数据元说明!A:F,MATCH(I77,数据元说明!C:C,0),6)</f>
        <v>C8</v>
      </c>
      <c r="M77" s="68" t="s">
        <v>1627</v>
      </c>
      <c r="N77" s="68"/>
      <c r="O77" s="68"/>
      <c r="P77" s="68"/>
    </row>
    <row r="78" ht="39.95" customHeight="1" collapsed="1" spans="1:16">
      <c r="A78" s="70"/>
      <c r="B78" s="71"/>
      <c r="C78" s="59" t="s">
        <v>46</v>
      </c>
      <c r="D78" s="59" t="s">
        <v>1696</v>
      </c>
      <c r="E78" s="65">
        <v>106</v>
      </c>
      <c r="F78" s="67"/>
      <c r="G78" s="65"/>
      <c r="H78" s="67"/>
      <c r="I78" s="67"/>
      <c r="J78" s="67"/>
      <c r="K78" s="68"/>
      <c r="L78" s="67"/>
      <c r="M78" s="68" t="str">
        <f>INDEX(表结构总览!D:G,MATCH(D78,表结构总览!D:D,0),4)</f>
        <v>填报银行股东及银行关联方相关信息。股东：对于已上市银行，需填报持有或控制1%以上股份或表决权，及虽不足1%但对商业银行经营管理有重大影响的股东。未上市银行机构应报送所有的对公、个人股东信息。包括金融产品。
关联方：参照《银行保险机构关联交易管理办法》（中国银行保险监督管理委员会令〔2022〕1号）第二章规定。</v>
      </c>
      <c r="N78" s="68" t="s">
        <v>1583</v>
      </c>
      <c r="O78" s="68"/>
      <c r="P78" s="68"/>
    </row>
    <row r="79" ht="39.95" customHeight="1" outlineLevel="1" spans="1:16">
      <c r="A79" s="63"/>
      <c r="B79" s="64"/>
      <c r="C79" s="59" t="s">
        <v>46</v>
      </c>
      <c r="D79" s="59" t="s">
        <v>1696</v>
      </c>
      <c r="E79" s="65">
        <v>106</v>
      </c>
      <c r="F79" s="67" t="s">
        <v>373</v>
      </c>
      <c r="G79" s="65">
        <v>10601</v>
      </c>
      <c r="H79" s="67" t="s">
        <v>1588</v>
      </c>
      <c r="I79" s="67" t="s">
        <v>373</v>
      </c>
      <c r="J79" s="67" t="str">
        <f>INDEX(数据元说明!A:F,MATCH(I79,数据元说明!C:C,0),2)</f>
        <v>001011</v>
      </c>
      <c r="K79" s="68" t="str">
        <f>INDEX(数据元说明!A:F,MATCH(I79,数据元说明!C:C,0),5)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9" s="67" t="str">
        <f>INDEX(数据元说明!A:F,MATCH(I79,数据元说明!C:C,0),6)</f>
        <v>C..30</v>
      </c>
      <c r="M79" s="68" t="s">
        <v>1697</v>
      </c>
      <c r="N79" s="68" t="s">
        <v>1583</v>
      </c>
      <c r="O79" s="68" t="s">
        <v>484</v>
      </c>
      <c r="P79" s="68"/>
    </row>
    <row r="80" ht="39.95" customHeight="1" outlineLevel="1" spans="1:16">
      <c r="A80" s="63"/>
      <c r="B80" s="64"/>
      <c r="C80" s="59" t="s">
        <v>46</v>
      </c>
      <c r="D80" s="59" t="s">
        <v>1696</v>
      </c>
      <c r="E80" s="65">
        <v>106</v>
      </c>
      <c r="F80" s="67" t="s">
        <v>377</v>
      </c>
      <c r="G80" s="65">
        <v>10602</v>
      </c>
      <c r="H80" s="67" t="s">
        <v>1586</v>
      </c>
      <c r="I80" s="67" t="s">
        <v>377</v>
      </c>
      <c r="J80" s="67" t="str">
        <f>INDEX(数据元说明!A:F,MATCH(I80,数据元说明!C:C,0),2)</f>
        <v>001012</v>
      </c>
      <c r="K80" s="68" t="str">
        <f>INDEX(数据元说明!A:F,MATCH(I80,数据元说明!C:C,0),5)</f>
        <v>银行内部机构号。应具有标识机构的唯一性。</v>
      </c>
      <c r="L80" s="67" t="str">
        <f>INDEX(数据元说明!A:F,MATCH(I80,数据元说明!C:C,0),6)</f>
        <v>C..30</v>
      </c>
      <c r="M80" s="68" t="s">
        <v>1587</v>
      </c>
      <c r="N80" s="68"/>
      <c r="O80" s="68"/>
      <c r="P80" s="68"/>
    </row>
    <row r="81" ht="39.95" customHeight="1" outlineLevel="1" spans="1:16">
      <c r="A81" s="63"/>
      <c r="B81" s="64"/>
      <c r="C81" s="59" t="s">
        <v>46</v>
      </c>
      <c r="D81" s="59" t="s">
        <v>1696</v>
      </c>
      <c r="E81" s="65">
        <v>106</v>
      </c>
      <c r="F81" s="67" t="s">
        <v>1592</v>
      </c>
      <c r="G81" s="65">
        <v>10603</v>
      </c>
      <c r="H81" s="67" t="s">
        <v>1593</v>
      </c>
      <c r="I81" s="67" t="s">
        <v>325</v>
      </c>
      <c r="J81" s="67" t="str">
        <f>INDEX(数据元说明!A:F,MATCH(I81,数据元说明!C:C,0),2)</f>
        <v>001001</v>
      </c>
      <c r="K81" s="68" t="str">
        <f>INDEX(数据元说明!A:F,MATCH(I81,数据元说明!C:C,0),5)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1" s="67" t="str">
        <f>INDEX(数据元说明!A:F,MATCH(I81,数据元说明!C:C,0),6)</f>
        <v>C..450</v>
      </c>
      <c r="M81" s="68" t="s">
        <v>1698</v>
      </c>
      <c r="N81" s="68" t="s">
        <v>1583</v>
      </c>
      <c r="O81" s="68" t="s">
        <v>322</v>
      </c>
      <c r="P81" s="68" t="s">
        <v>1648</v>
      </c>
    </row>
    <row r="82" ht="39.95" customHeight="1" outlineLevel="1" spans="1:16">
      <c r="A82" s="70"/>
      <c r="B82" s="71"/>
      <c r="C82" s="59" t="s">
        <v>46</v>
      </c>
      <c r="D82" s="59" t="s">
        <v>1696</v>
      </c>
      <c r="E82" s="65">
        <v>106</v>
      </c>
      <c r="F82" s="67" t="s">
        <v>488</v>
      </c>
      <c r="G82" s="65">
        <v>10604</v>
      </c>
      <c r="H82" s="67" t="s">
        <v>1699</v>
      </c>
      <c r="I82" s="67" t="s">
        <v>488</v>
      </c>
      <c r="J82" s="67" t="str">
        <f>INDEX(数据元说明!A:F,MATCH(I82,数据元说明!C:C,0),2)</f>
        <v>002001</v>
      </c>
      <c r="K82" s="68" t="str">
        <f>INDEX(数据元说明!A:F,MATCH(I82,数据元说明!C:C,0),5)</f>
        <v>银行自定义的唯一识别客户的标识。供应链融资的填写供应链融资编码。</v>
      </c>
      <c r="L82" s="67" t="str">
        <f>INDEX(数据元说明!A:F,MATCH(I82,数据元说明!C:C,0),6)</f>
        <v>C..60</v>
      </c>
      <c r="M82" s="68" t="s">
        <v>1700</v>
      </c>
      <c r="N82" s="68" t="s">
        <v>1583</v>
      </c>
      <c r="O82" s="68"/>
      <c r="P82" s="68" t="s">
        <v>1634</v>
      </c>
    </row>
    <row r="83" ht="39.95" customHeight="1" outlineLevel="1" spans="1:16">
      <c r="A83" s="70"/>
      <c r="B83" s="71"/>
      <c r="C83" s="59" t="s">
        <v>46</v>
      </c>
      <c r="D83" s="59" t="s">
        <v>1696</v>
      </c>
      <c r="E83" s="65">
        <v>106</v>
      </c>
      <c r="F83" s="67" t="s">
        <v>1701</v>
      </c>
      <c r="G83" s="65">
        <v>10605</v>
      </c>
      <c r="H83" s="67" t="s">
        <v>1702</v>
      </c>
      <c r="I83" s="67" t="s">
        <v>325</v>
      </c>
      <c r="J83" s="67" t="str">
        <f>INDEX(数据元说明!A:F,MATCH(I83,数据元说明!C:C,0),2)</f>
        <v>001001</v>
      </c>
      <c r="K83" s="68" t="str">
        <f>INDEX(数据元说明!A:F,MATCH(I83,数据元说明!C:C,0),5)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3" s="67" t="str">
        <f>INDEX(数据元说明!A:F,MATCH(I83,数据元说明!C:C,0),6)</f>
        <v>C..450</v>
      </c>
      <c r="M83" s="68" t="s">
        <v>1703</v>
      </c>
      <c r="N83" s="68" t="s">
        <v>1583</v>
      </c>
      <c r="O83" s="68" t="s">
        <v>322</v>
      </c>
      <c r="P83" s="68"/>
    </row>
    <row r="84" ht="39.95" customHeight="1" outlineLevel="1" spans="1:16">
      <c r="A84" s="70"/>
      <c r="B84" s="71"/>
      <c r="C84" s="59" t="s">
        <v>46</v>
      </c>
      <c r="D84" s="59" t="s">
        <v>1696</v>
      </c>
      <c r="E84" s="65">
        <v>106</v>
      </c>
      <c r="F84" s="67" t="s">
        <v>1704</v>
      </c>
      <c r="G84" s="65">
        <v>10606</v>
      </c>
      <c r="H84" s="67" t="s">
        <v>1705</v>
      </c>
      <c r="I84" s="67" t="s">
        <v>596</v>
      </c>
      <c r="J84" s="67" t="str">
        <f>INDEX(数据元说明!A:F,MATCH(I84,数据元说明!C:C,0),2)</f>
        <v>002027</v>
      </c>
      <c r="K84" s="68" t="str">
        <f>INDEX(数据元说明!A:F,MATCH(I84,数据元说明!C:C,0),5)</f>
        <v>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v>
      </c>
      <c r="L84" s="67" t="str">
        <f>INDEX(数据元说明!A:F,MATCH(I84,数据元说明!C:C,0),6)</f>
        <v>C..60</v>
      </c>
      <c r="M84" s="68"/>
      <c r="N84" s="68" t="s">
        <v>1601</v>
      </c>
      <c r="O84" s="68"/>
      <c r="P84" s="68"/>
    </row>
    <row r="85" ht="39.95" customHeight="1" outlineLevel="1" spans="1:16">
      <c r="A85" s="70"/>
      <c r="B85" s="71"/>
      <c r="C85" s="59" t="s">
        <v>46</v>
      </c>
      <c r="D85" s="59" t="s">
        <v>1696</v>
      </c>
      <c r="E85" s="65">
        <v>106</v>
      </c>
      <c r="F85" s="67" t="s">
        <v>1706</v>
      </c>
      <c r="G85" s="65">
        <v>10607</v>
      </c>
      <c r="H85" s="67" t="s">
        <v>1707</v>
      </c>
      <c r="I85" s="67" t="s">
        <v>492</v>
      </c>
      <c r="J85" s="67" t="str">
        <f>INDEX(数据元说明!A:F,MATCH(I85,数据元说明!C:C,0),2)</f>
        <v>002002</v>
      </c>
      <c r="K85" s="68" t="str">
        <f>INDEX(数据元说明!A:F,MATCH(I85,数据元说明!C:C,0),5)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85" s="67" t="str">
        <f>INDEX(数据元说明!A:F,MATCH(I85,数据元说明!C:C,0),6)</f>
        <v>C..60</v>
      </c>
      <c r="M85" s="68" t="s">
        <v>1708</v>
      </c>
      <c r="N85" s="68" t="s">
        <v>1583</v>
      </c>
      <c r="O85" s="68" t="s">
        <v>321</v>
      </c>
      <c r="P85" s="68"/>
    </row>
    <row r="86" ht="39.95" customHeight="1" outlineLevel="1" spans="1:16">
      <c r="A86" s="70"/>
      <c r="B86" s="71"/>
      <c r="C86" s="59" t="s">
        <v>46</v>
      </c>
      <c r="D86" s="59" t="s">
        <v>1696</v>
      </c>
      <c r="E86" s="65">
        <v>106</v>
      </c>
      <c r="F86" s="67" t="s">
        <v>1709</v>
      </c>
      <c r="G86" s="65">
        <v>10608</v>
      </c>
      <c r="H86" s="67" t="s">
        <v>1710</v>
      </c>
      <c r="I86" s="67" t="s">
        <v>496</v>
      </c>
      <c r="J86" s="67" t="str">
        <f>INDEX(数据元说明!A:F,MATCH(I86,数据元说明!C:C,0),2)</f>
        <v>002003</v>
      </c>
      <c r="K86" s="68" t="str">
        <f>INDEX(数据元说明!A:F,MATCH(I86,数据元说明!C:C,0),5)</f>
        <v>与证件类别对应的证件号码。涉及个人身份证件时需按照本规范给定规则进行脱敏处理。</v>
      </c>
      <c r="L86" s="67" t="str">
        <f>INDEX(数据元说明!A:F,MATCH(I86,数据元说明!C:C,0),6)</f>
        <v>C..70</v>
      </c>
      <c r="M86" s="68" t="s">
        <v>1711</v>
      </c>
      <c r="N86" s="68" t="s">
        <v>1583</v>
      </c>
      <c r="O86" s="68" t="s">
        <v>322</v>
      </c>
      <c r="P86" s="68"/>
    </row>
    <row r="87" ht="39.95" customHeight="1" outlineLevel="1" spans="1:16">
      <c r="A87" s="70"/>
      <c r="B87" s="71"/>
      <c r="C87" s="59" t="s">
        <v>46</v>
      </c>
      <c r="D87" s="59" t="s">
        <v>1696</v>
      </c>
      <c r="E87" s="65">
        <v>106</v>
      </c>
      <c r="F87" s="67" t="s">
        <v>1712</v>
      </c>
      <c r="G87" s="65">
        <v>10609</v>
      </c>
      <c r="H87" s="67" t="s">
        <v>1713</v>
      </c>
      <c r="I87" s="67" t="s">
        <v>543</v>
      </c>
      <c r="J87" s="67" t="str">
        <f>INDEX(数据元说明!A:F,MATCH(I87,数据元说明!C:C,0),2)</f>
        <v>002014</v>
      </c>
      <c r="K87" s="68" t="str">
        <f>INDEX(数据元说明!A:F,MATCH(I87,数据元说明!C:C,0),5)</f>
        <v>行业分类按《GB/T 4754 国民经济行业分类》执行。填报至该客户所属行业的小类代码，如：所属行业为“稻谷种植”填报“A0111”。境外机构按“境外”填报。</v>
      </c>
      <c r="L87" s="67" t="str">
        <f>INDEX(数据元说明!A:F,MATCH(I87,数据元说明!C:C,0),6)</f>
        <v>C..90</v>
      </c>
      <c r="M87" s="68" t="s">
        <v>1714</v>
      </c>
      <c r="N87" s="68" t="s">
        <v>1601</v>
      </c>
      <c r="O87" s="68"/>
      <c r="P87" s="68"/>
    </row>
    <row r="88" ht="39.95" customHeight="1" outlineLevel="1" spans="1:16">
      <c r="A88" s="70"/>
      <c r="B88" s="71"/>
      <c r="C88" s="59" t="s">
        <v>46</v>
      </c>
      <c r="D88" s="59" t="s">
        <v>1696</v>
      </c>
      <c r="E88" s="65">
        <v>106</v>
      </c>
      <c r="F88" s="67" t="s">
        <v>1715</v>
      </c>
      <c r="G88" s="65">
        <v>10610</v>
      </c>
      <c r="H88" s="67" t="s">
        <v>1716</v>
      </c>
      <c r="I88" s="67" t="s">
        <v>359</v>
      </c>
      <c r="J88" s="67" t="str">
        <f>INDEX(数据元说明!A:F,MATCH(I88,数据元说明!C:C,0),2)</f>
        <v>001008</v>
      </c>
      <c r="K88" s="68" t="str">
        <f>INDEX(数据元说明!A:F,MATCH(I88,数据元说明!C:C,0),5)</f>
        <v>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v>
      </c>
      <c r="L88" s="67" t="str">
        <f>INDEX(数据元说明!A:F,MATCH(I88,数据元说明!C:C,0),6)</f>
        <v>C..600</v>
      </c>
      <c r="M88" s="68" t="s">
        <v>1717</v>
      </c>
      <c r="N88" s="68" t="s">
        <v>1601</v>
      </c>
      <c r="O88" s="68"/>
      <c r="P88" s="68"/>
    </row>
    <row r="89" ht="39.95" customHeight="1" outlineLevel="1" spans="1:16">
      <c r="A89" s="70"/>
      <c r="B89" s="71"/>
      <c r="C89" s="59" t="s">
        <v>46</v>
      </c>
      <c r="D89" s="59" t="s">
        <v>1696</v>
      </c>
      <c r="E89" s="65">
        <v>106</v>
      </c>
      <c r="F89" s="67" t="s">
        <v>560</v>
      </c>
      <c r="G89" s="65">
        <v>10611</v>
      </c>
      <c r="H89" s="67" t="s">
        <v>1718</v>
      </c>
      <c r="I89" s="67" t="s">
        <v>565</v>
      </c>
      <c r="J89" s="67" t="str">
        <f>INDEX(数据元说明!A:F,MATCH(I89,数据元说明!C:C,0),2)</f>
        <v>002019</v>
      </c>
      <c r="K89" s="68" t="str">
        <f>INDEX(数据元说明!A:F,MATCH(I89,数据元说明!C:C,0),5)</f>
        <v>枚举类型（代码）：
1-股东；
2-银行机构的自然人控股股东、实际控制人，及其一致行动人、最终受益人；
3-持有或控制银行机构5%以上股权的，或持股不足5%但对银行机构经营管理有重大影响的自然人；
4-银行机构的董事、监事、总行和重要分行的高级管理人员，以及具有大额授信、资产转移等核心业务审批或决策权的人员；
5-第2至4项所列关联方的配偶、父母、成年子女及兄弟姐妹；
6-第7、8项所列关联方的董事、监事、高级管理人员；
7-银行机构的法人控股股东、实际控制人，及其一致行动人、最终受益人；
8-持有或控制银行机构5%以上股权的，或者持股不足5%但对银行机构经营管理有重大影响的法人或非法人组织，及其控股股东、实际控制人、一致行动人、最终受益人；
9-第7项所列关联方控制或施加重大影响的法人或非法人组织，第8项所列关联方控制的法人或非法人组织；
10-银行机构控制或施加重大影响的法人或非法人组织；
11-第2项所列关联方控制或施加重大影响的法人或非法人组织，第3至第5项所列关联方控制的法人或非法人组织；
12-银行机构认定的其他自然人、法人或非法人组织；
13-银保监会或其派出机构认定可能导致银行机构利益转移的自然人、法人或非法人组织。
如关系类型为“股东”，则填报“1”。无法以枚举类型填报的，以“其他-XX”填报，其中“XX”为银行自定义类型。</v>
      </c>
      <c r="L89" s="67" t="str">
        <f>INDEX(数据元说明!A:F,MATCH(I89,数据元说明!C:C,0),6)</f>
        <v>C..300</v>
      </c>
      <c r="M89" s="68" t="s">
        <v>1719</v>
      </c>
      <c r="N89" s="68" t="s">
        <v>1601</v>
      </c>
      <c r="O89" s="68"/>
      <c r="P89" s="68"/>
    </row>
    <row r="90" ht="39.95" customHeight="1" outlineLevel="1" spans="1:16">
      <c r="A90" s="70"/>
      <c r="B90" s="71"/>
      <c r="C90" s="59" t="s">
        <v>46</v>
      </c>
      <c r="D90" s="59" t="s">
        <v>1696</v>
      </c>
      <c r="E90" s="65">
        <v>106</v>
      </c>
      <c r="F90" s="67" t="s">
        <v>1720</v>
      </c>
      <c r="G90" s="65">
        <v>10612</v>
      </c>
      <c r="H90" s="67" t="s">
        <v>1721</v>
      </c>
      <c r="I90" s="67" t="s">
        <v>325</v>
      </c>
      <c r="J90" s="67" t="str">
        <f>INDEX(数据元说明!A:F,MATCH(I90,数据元说明!C:C,0),2)</f>
        <v>001001</v>
      </c>
      <c r="K90" s="68" t="str">
        <f>INDEX(数据元说明!A:F,MATCH(I90,数据元说明!C:C,0),5)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0" s="67" t="str">
        <f>INDEX(数据元说明!A:F,MATCH(I90,数据元说明!C:C,0),6)</f>
        <v>C..450</v>
      </c>
      <c r="M90" s="68" t="s">
        <v>1722</v>
      </c>
      <c r="N90" s="68" t="s">
        <v>1601</v>
      </c>
      <c r="O90" s="68"/>
      <c r="P90" s="68"/>
    </row>
    <row r="91" ht="39.95" customHeight="1" outlineLevel="1" spans="1:16">
      <c r="A91" s="70"/>
      <c r="B91" s="71"/>
      <c r="C91" s="59" t="s">
        <v>46</v>
      </c>
      <c r="D91" s="59" t="s">
        <v>1696</v>
      </c>
      <c r="E91" s="65">
        <v>106</v>
      </c>
      <c r="F91" s="67" t="s">
        <v>1723</v>
      </c>
      <c r="G91" s="65">
        <v>10613</v>
      </c>
      <c r="H91" s="67" t="s">
        <v>1724</v>
      </c>
      <c r="I91" s="67" t="s">
        <v>445</v>
      </c>
      <c r="J91" s="67" t="str">
        <f>INDEX(数据元说明!A:F,MATCH(I91,数据元说明!C:C,0),2)</f>
        <v>001029</v>
      </c>
      <c r="K91" s="68" t="str">
        <f>INDEX(数据元说明!A:F,MATCH(I91,数据元说明!C:C,0),5)</f>
        <v>数量。</v>
      </c>
      <c r="L91" s="67" t="str">
        <f>INDEX(数据元说明!A:F,MATCH(I91,数据元说明!C:C,0),6)</f>
        <v>D20</v>
      </c>
      <c r="M91" s="68" t="s">
        <v>1725</v>
      </c>
      <c r="N91" s="68" t="s">
        <v>1601</v>
      </c>
      <c r="O91" s="68"/>
      <c r="P91" s="68"/>
    </row>
    <row r="92" ht="39.95" customHeight="1" outlineLevel="1" spans="1:16">
      <c r="A92" s="70"/>
      <c r="B92" s="71"/>
      <c r="C92" s="59" t="s">
        <v>46</v>
      </c>
      <c r="D92" s="59" t="s">
        <v>1696</v>
      </c>
      <c r="E92" s="65">
        <v>106</v>
      </c>
      <c r="F92" s="67" t="s">
        <v>1726</v>
      </c>
      <c r="G92" s="65">
        <v>10614</v>
      </c>
      <c r="H92" s="67" t="s">
        <v>1727</v>
      </c>
      <c r="I92" s="67" t="s">
        <v>445</v>
      </c>
      <c r="J92" s="67" t="str">
        <f>INDEX(数据元说明!A:F,MATCH(I92,数据元说明!C:C,0),2)</f>
        <v>001029</v>
      </c>
      <c r="K92" s="68" t="str">
        <f>INDEX(数据元说明!A:F,MATCH(I92,数据元说明!C:C,0),5)</f>
        <v>数量。</v>
      </c>
      <c r="L92" s="67" t="str">
        <f>INDEX(数据元说明!A:F,MATCH(I92,数据元说明!C:C,0),6)</f>
        <v>D20</v>
      </c>
      <c r="M92" s="68" t="s">
        <v>1728</v>
      </c>
      <c r="N92" s="68" t="s">
        <v>1601</v>
      </c>
      <c r="O92" s="68"/>
      <c r="P92" s="68"/>
    </row>
    <row r="93" ht="39.95" customHeight="1" outlineLevel="1" spans="1:16">
      <c r="A93" s="70"/>
      <c r="B93" s="71"/>
      <c r="C93" s="59" t="s">
        <v>46</v>
      </c>
      <c r="D93" s="59" t="s">
        <v>1696</v>
      </c>
      <c r="E93" s="65">
        <v>106</v>
      </c>
      <c r="F93" s="67" t="s">
        <v>568</v>
      </c>
      <c r="G93" s="65">
        <v>10615</v>
      </c>
      <c r="H93" s="67" t="s">
        <v>1729</v>
      </c>
      <c r="I93" s="67" t="s">
        <v>568</v>
      </c>
      <c r="J93" s="67" t="str">
        <f>INDEX(数据元说明!A:F,MATCH(I93,数据元说明!C:C,0),2)</f>
        <v>002020</v>
      </c>
      <c r="K93" s="68" t="str">
        <f>INDEX(数据元说明!A:F,MATCH(I93,数据元说明!C:C,0),5)</f>
        <v>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v>
      </c>
      <c r="L93" s="67" t="str">
        <f>INDEX(数据元说明!A:F,MATCH(I93,数据元说明!C:C,0),6)</f>
        <v>C..300</v>
      </c>
      <c r="M93" s="68"/>
      <c r="N93" s="68" t="s">
        <v>1601</v>
      </c>
      <c r="O93" s="68"/>
      <c r="P93" s="68"/>
    </row>
    <row r="94" ht="39.95" customHeight="1" outlineLevel="1" spans="1:16">
      <c r="A94" s="70"/>
      <c r="B94" s="71"/>
      <c r="C94" s="59" t="s">
        <v>46</v>
      </c>
      <c r="D94" s="59" t="s">
        <v>1696</v>
      </c>
      <c r="E94" s="65">
        <v>106</v>
      </c>
      <c r="F94" s="67" t="s">
        <v>1730</v>
      </c>
      <c r="G94" s="65">
        <v>10616</v>
      </c>
      <c r="H94" s="67" t="s">
        <v>1731</v>
      </c>
      <c r="I94" s="72" t="s">
        <v>330</v>
      </c>
      <c r="J94" s="67" t="str">
        <f>INDEX(数据元说明!A:F,MATCH(I94,数据元说明!C:C,0),2)</f>
        <v>001002</v>
      </c>
      <c r="K94" s="68" t="str">
        <f>INDEX(数据元说明!A:F,MATCH(I94,数据元说明!C:C,0),5)</f>
        <v>是，否。</v>
      </c>
      <c r="L94" s="67" t="str">
        <f>INDEX(数据元说明!A:F,MATCH(I94,数据元说明!C:C,0),6)</f>
        <v>C3</v>
      </c>
      <c r="M94" s="68" t="s">
        <v>1732</v>
      </c>
      <c r="N94" s="68" t="s">
        <v>1601</v>
      </c>
      <c r="O94" s="68"/>
      <c r="P94" s="68"/>
    </row>
    <row r="95" ht="39.95" customHeight="1" outlineLevel="1" spans="1:16">
      <c r="A95" s="70"/>
      <c r="B95" s="71"/>
      <c r="C95" s="59" t="s">
        <v>46</v>
      </c>
      <c r="D95" s="59" t="s">
        <v>1696</v>
      </c>
      <c r="E95" s="65">
        <v>106</v>
      </c>
      <c r="F95" s="67" t="s">
        <v>572</v>
      </c>
      <c r="G95" s="65">
        <v>10617</v>
      </c>
      <c r="H95" s="67" t="s">
        <v>1733</v>
      </c>
      <c r="I95" s="67" t="s">
        <v>572</v>
      </c>
      <c r="J95" s="67" t="str">
        <f>INDEX(数据元说明!A:F,MATCH(I95,数据元说明!C:C,0),2)</f>
        <v>002021</v>
      </c>
      <c r="K95" s="68" t="str">
        <f>INDEX(数据元说明!A:F,MATCH(I95,数据元说明!C:C,0),5)</f>
        <v>自有资金、委托资金、债务资金、其他-银行自定义</v>
      </c>
      <c r="L95" s="67" t="str">
        <f>INDEX(数据元说明!A:F,MATCH(I95,数据元说明!C:C,0),6)</f>
        <v>C..60</v>
      </c>
      <c r="M95" s="68"/>
      <c r="N95" s="68" t="s">
        <v>1601</v>
      </c>
      <c r="O95" s="68"/>
      <c r="P95" s="68"/>
    </row>
    <row r="96" ht="39.95" customHeight="1" outlineLevel="1" spans="1:16">
      <c r="A96" s="70"/>
      <c r="B96" s="71"/>
      <c r="C96" s="59" t="s">
        <v>46</v>
      </c>
      <c r="D96" s="59" t="s">
        <v>1696</v>
      </c>
      <c r="E96" s="65">
        <v>106</v>
      </c>
      <c r="F96" s="67" t="s">
        <v>1734</v>
      </c>
      <c r="G96" s="65">
        <v>10618</v>
      </c>
      <c r="H96" s="67" t="s">
        <v>1735</v>
      </c>
      <c r="I96" s="67" t="s">
        <v>605</v>
      </c>
      <c r="J96" s="67" t="str">
        <f>INDEX(数据元说明!A:F,MATCH(I96,数据元说明!C:C,0),2)</f>
        <v>003001</v>
      </c>
      <c r="K96" s="68" t="str">
        <f>INDEX(数据元说明!A:F,MATCH(I96,数据元说明!C:C,0),5)</f>
        <v>系统内最细一级的账号，无唯一性约束，不需要和序号、子序号等做拼接。</v>
      </c>
      <c r="L96" s="67" t="str">
        <f>INDEX(数据元说明!A:F,MATCH(I96,数据元说明!C:C,0),6)</f>
        <v>C..60</v>
      </c>
      <c r="M96" s="68" t="s">
        <v>1736</v>
      </c>
      <c r="N96" s="68" t="s">
        <v>1601</v>
      </c>
      <c r="O96" s="68"/>
      <c r="P96" s="68"/>
    </row>
    <row r="97" ht="39.95" customHeight="1" outlineLevel="1" spans="1:16">
      <c r="A97" s="70"/>
      <c r="B97" s="71"/>
      <c r="C97" s="59" t="s">
        <v>46</v>
      </c>
      <c r="D97" s="59" t="s">
        <v>1696</v>
      </c>
      <c r="E97" s="65">
        <v>106</v>
      </c>
      <c r="F97" s="67" t="s">
        <v>1737</v>
      </c>
      <c r="G97" s="65">
        <v>10619</v>
      </c>
      <c r="H97" s="67" t="s">
        <v>1738</v>
      </c>
      <c r="I97" s="67" t="s">
        <v>445</v>
      </c>
      <c r="J97" s="67" t="str">
        <f>INDEX(数据元说明!A:F,MATCH(I97,数据元说明!C:C,0),2)</f>
        <v>001029</v>
      </c>
      <c r="K97" s="68" t="str">
        <f>INDEX(数据元说明!A:F,MATCH(I97,数据元说明!C:C,0),5)</f>
        <v>数量。</v>
      </c>
      <c r="L97" s="67" t="str">
        <f>INDEX(数据元说明!A:F,MATCH(I97,数据元说明!C:C,0),6)</f>
        <v>D20</v>
      </c>
      <c r="M97" s="68" t="s">
        <v>1739</v>
      </c>
      <c r="N97" s="68" t="s">
        <v>1601</v>
      </c>
      <c r="O97" s="68"/>
      <c r="P97" s="68"/>
    </row>
    <row r="98" ht="39.95" customHeight="1" outlineLevel="1" spans="1:16">
      <c r="A98" s="70"/>
      <c r="B98" s="71"/>
      <c r="C98" s="59" t="s">
        <v>46</v>
      </c>
      <c r="D98" s="59" t="s">
        <v>1696</v>
      </c>
      <c r="E98" s="65">
        <v>106</v>
      </c>
      <c r="F98" s="67" t="s">
        <v>1740</v>
      </c>
      <c r="G98" s="65">
        <v>10620</v>
      </c>
      <c r="H98" s="67" t="s">
        <v>1741</v>
      </c>
      <c r="I98" s="67" t="s">
        <v>340</v>
      </c>
      <c r="J98" s="67" t="str">
        <f>INDEX(数据元说明!A:F,MATCH(I98,数据元说明!C:C,0),2)</f>
        <v>001004</v>
      </c>
      <c r="K98" s="68" t="str">
        <f>INDEX(数据元说明!A:F,MATCH(I98,数据元说明!C:C,0),5)</f>
        <v>百分比为单位，即1/100，保留六位小数。4.123456%则填报为4.123456。</v>
      </c>
      <c r="L98" s="67" t="str">
        <f>INDEX(数据元说明!A:F,MATCH(I98,数据元说明!C:C,0),6)</f>
        <v>D20.6</v>
      </c>
      <c r="M98" s="68"/>
      <c r="N98" s="68" t="s">
        <v>1583</v>
      </c>
      <c r="O98" s="68" t="s">
        <v>1577</v>
      </c>
      <c r="P98" s="68"/>
    </row>
    <row r="99" ht="39.95" customHeight="1" outlineLevel="1" spans="1:16">
      <c r="A99" s="70"/>
      <c r="B99" s="71"/>
      <c r="C99" s="59" t="s">
        <v>46</v>
      </c>
      <c r="D99" s="59" t="s">
        <v>1696</v>
      </c>
      <c r="E99" s="65">
        <v>106</v>
      </c>
      <c r="F99" s="67" t="s">
        <v>1742</v>
      </c>
      <c r="G99" s="65">
        <v>10621</v>
      </c>
      <c r="H99" s="67" t="s">
        <v>1743</v>
      </c>
      <c r="I99" s="67" t="s">
        <v>345</v>
      </c>
      <c r="J99" s="67" t="str">
        <f>INDEX(数据元说明!A:F,MATCH(I99,数据元说明!C:C,0),2)</f>
        <v>001005</v>
      </c>
      <c r="K99" s="68" t="str">
        <f>INDEX(数据元说明!A:F,MATCH(I99,数据元说明!C:C,0),5)</f>
        <v>YYYYMMDD，默认值99991231。</v>
      </c>
      <c r="L99" s="67" t="str">
        <f>INDEX(数据元说明!A:F,MATCH(I99,数据元说明!C:C,0),6)</f>
        <v>C8</v>
      </c>
      <c r="M99" s="68" t="s">
        <v>1744</v>
      </c>
      <c r="N99" s="68" t="s">
        <v>1583</v>
      </c>
      <c r="O99" s="68" t="s">
        <v>1745</v>
      </c>
      <c r="P99" s="68"/>
    </row>
    <row r="100" ht="39.95" customHeight="1" outlineLevel="1" spans="1:16">
      <c r="A100" s="70"/>
      <c r="B100" s="71"/>
      <c r="C100" s="59" t="s">
        <v>46</v>
      </c>
      <c r="D100" s="59" t="s">
        <v>1696</v>
      </c>
      <c r="E100" s="65">
        <v>106</v>
      </c>
      <c r="F100" s="67" t="s">
        <v>1746</v>
      </c>
      <c r="G100" s="65">
        <v>10622</v>
      </c>
      <c r="H100" s="67" t="s">
        <v>1747</v>
      </c>
      <c r="I100" s="67" t="s">
        <v>340</v>
      </c>
      <c r="J100" s="67" t="str">
        <f>INDEX(数据元说明!A:F,MATCH(I100,数据元说明!C:C,0),2)</f>
        <v>001004</v>
      </c>
      <c r="K100" s="68" t="str">
        <f>INDEX(数据元说明!A:F,MATCH(I100,数据元说明!C:C,0),5)</f>
        <v>百分比为单位，即1/100，保留六位小数。4.123456%则填报为4.123456。</v>
      </c>
      <c r="L100" s="67" t="str">
        <f>INDEX(数据元说明!A:F,MATCH(I100,数据元说明!C:C,0),6)</f>
        <v>D20.6</v>
      </c>
      <c r="M100" s="68" t="s">
        <v>1748</v>
      </c>
      <c r="N100" s="68" t="s">
        <v>1601</v>
      </c>
      <c r="O100" s="68"/>
      <c r="P100" s="68"/>
    </row>
    <row r="101" ht="39.95" customHeight="1" outlineLevel="1" spans="1:16">
      <c r="A101" s="70"/>
      <c r="B101" s="71"/>
      <c r="C101" s="59" t="s">
        <v>46</v>
      </c>
      <c r="D101" s="59" t="s">
        <v>1696</v>
      </c>
      <c r="E101" s="65">
        <v>106</v>
      </c>
      <c r="F101" s="67" t="s">
        <v>1749</v>
      </c>
      <c r="G101" s="65">
        <v>10623</v>
      </c>
      <c r="H101" s="67" t="s">
        <v>1750</v>
      </c>
      <c r="I101" s="67" t="s">
        <v>330</v>
      </c>
      <c r="J101" s="67" t="str">
        <f>INDEX(数据元说明!A:F,MATCH(I101,数据元说明!C:C,0),2)</f>
        <v>001002</v>
      </c>
      <c r="K101" s="68" t="str">
        <f>INDEX(数据元说明!A:F,MATCH(I101,数据元说明!C:C,0),5)</f>
        <v>是，否。</v>
      </c>
      <c r="L101" s="67" t="str">
        <f>INDEX(数据元说明!A:F,MATCH(I101,数据元说明!C:C,0),6)</f>
        <v>C3</v>
      </c>
      <c r="M101" s="68" t="s">
        <v>1751</v>
      </c>
      <c r="N101" s="68" t="s">
        <v>1601</v>
      </c>
      <c r="O101" s="68"/>
      <c r="P101" s="68"/>
    </row>
    <row r="102" ht="39.95" customHeight="1" outlineLevel="1" spans="1:16">
      <c r="A102" s="70"/>
      <c r="B102" s="71"/>
      <c r="C102" s="59" t="s">
        <v>46</v>
      </c>
      <c r="D102" s="59" t="s">
        <v>1696</v>
      </c>
      <c r="E102" s="65">
        <v>106</v>
      </c>
      <c r="F102" s="67" t="s">
        <v>1752</v>
      </c>
      <c r="G102" s="65">
        <v>10624</v>
      </c>
      <c r="H102" s="67" t="s">
        <v>1753</v>
      </c>
      <c r="I102" s="67" t="s">
        <v>1045</v>
      </c>
      <c r="J102" s="67" t="str">
        <f>INDEX(数据元说明!A:F,MATCH(I102,数据元说明!C:C,0),2)</f>
        <v>007008</v>
      </c>
      <c r="K102" s="68" t="str">
        <f>INDEX(数据元说明!A:F,MATCH(I102,数据元说明!C:C,0),5)</f>
        <v>有效，无效。</v>
      </c>
      <c r="L102" s="67" t="str">
        <f>INDEX(数据元说明!A:F,MATCH(I102,数据元说明!C:C,0),6)</f>
        <v>C6</v>
      </c>
      <c r="M102" s="68" t="s">
        <v>1754</v>
      </c>
      <c r="N102" s="68" t="s">
        <v>1583</v>
      </c>
      <c r="O102" s="68" t="s">
        <v>321</v>
      </c>
      <c r="P102" s="68"/>
    </row>
    <row r="103" ht="39.95" customHeight="1" outlineLevel="1" spans="1:16">
      <c r="A103" s="70"/>
      <c r="B103" s="71"/>
      <c r="C103" s="59" t="s">
        <v>46</v>
      </c>
      <c r="D103" s="59" t="s">
        <v>1696</v>
      </c>
      <c r="E103" s="65">
        <v>106</v>
      </c>
      <c r="F103" s="67" t="s">
        <v>1755</v>
      </c>
      <c r="G103" s="65">
        <v>10625</v>
      </c>
      <c r="H103" s="67" t="s">
        <v>1756</v>
      </c>
      <c r="I103" s="67" t="s">
        <v>345</v>
      </c>
      <c r="J103" s="67" t="str">
        <f>INDEX(数据元说明!A:F,MATCH(I103,数据元说明!C:C,0),2)</f>
        <v>001005</v>
      </c>
      <c r="K103" s="68" t="str">
        <f>INDEX(数据元说明!A:F,MATCH(I103,数据元说明!C:C,0),5)</f>
        <v>YYYYMMDD，默认值99991231。</v>
      </c>
      <c r="L103" s="67" t="str">
        <f>INDEX(数据元说明!A:F,MATCH(I103,数据元说明!C:C,0),6)</f>
        <v>C8</v>
      </c>
      <c r="M103" s="68" t="s">
        <v>1757</v>
      </c>
      <c r="N103" s="68" t="s">
        <v>1601</v>
      </c>
      <c r="O103" s="68"/>
      <c r="P103" s="68"/>
    </row>
    <row r="104" ht="39.95" customHeight="1" outlineLevel="1" spans="1:16">
      <c r="A104" s="63"/>
      <c r="B104" s="64"/>
      <c r="C104" s="59" t="s">
        <v>46</v>
      </c>
      <c r="D104" s="59" t="s">
        <v>1696</v>
      </c>
      <c r="E104" s="65">
        <v>106</v>
      </c>
      <c r="F104" s="67" t="s">
        <v>484</v>
      </c>
      <c r="G104" s="65">
        <v>10626</v>
      </c>
      <c r="H104" s="67" t="s">
        <v>1623</v>
      </c>
      <c r="I104" s="67" t="s">
        <v>484</v>
      </c>
      <c r="J104" s="67" t="str">
        <f>INDEX(数据元说明!A:F,MATCH(I104,数据元说明!C:C,0),2)</f>
        <v>001038</v>
      </c>
      <c r="K104" s="68" t="str">
        <f>INDEX(数据元说明!A:F,MATCH(I104,数据元说明!C:C,0),5)</f>
        <v>银行自定义。</v>
      </c>
      <c r="L104" s="67" t="str">
        <f>INDEX(数据元说明!A:F,MATCH(I104,数据元说明!C:C,0),6)</f>
        <v>C..600</v>
      </c>
      <c r="M104" s="68" t="s">
        <v>1624</v>
      </c>
      <c r="N104" s="68" t="s">
        <v>1601</v>
      </c>
      <c r="O104" s="68"/>
      <c r="P104" s="68"/>
    </row>
    <row r="105" ht="39.95" customHeight="1" outlineLevel="1" spans="1:16">
      <c r="A105" s="63"/>
      <c r="B105" s="64"/>
      <c r="C105" s="59" t="s">
        <v>46</v>
      </c>
      <c r="D105" s="59" t="s">
        <v>1696</v>
      </c>
      <c r="E105" s="65">
        <v>106</v>
      </c>
      <c r="F105" s="67" t="s">
        <v>1625</v>
      </c>
      <c r="G105" s="65">
        <v>10627</v>
      </c>
      <c r="H105" s="67" t="s">
        <v>1626</v>
      </c>
      <c r="I105" s="67" t="s">
        <v>345</v>
      </c>
      <c r="J105" s="67" t="str">
        <f>INDEX(数据元说明!A:F,MATCH(I105,数据元说明!C:C,0),2)</f>
        <v>001005</v>
      </c>
      <c r="K105" s="68" t="str">
        <f>INDEX(数据元说明!A:F,MATCH(I105,数据元说明!C:C,0),5)</f>
        <v>YYYYMMDD，默认值99991231。</v>
      </c>
      <c r="L105" s="67" t="str">
        <f>INDEX(数据元说明!A:F,MATCH(I105,数据元说明!C:C,0),6)</f>
        <v>C8</v>
      </c>
      <c r="M105" s="68" t="s">
        <v>1627</v>
      </c>
      <c r="N105" s="68"/>
      <c r="O105" s="68"/>
      <c r="P105" s="68"/>
    </row>
    <row r="106" ht="39.95" hidden="1" customHeight="1" spans="1:16">
      <c r="A106" s="63" t="s">
        <v>1758</v>
      </c>
      <c r="B106" s="64" t="s">
        <v>51</v>
      </c>
      <c r="C106" s="59"/>
      <c r="D106" s="59"/>
      <c r="E106" s="65"/>
      <c r="F106" s="67"/>
      <c r="G106" s="65"/>
      <c r="H106" s="67"/>
      <c r="I106" s="67"/>
      <c r="J106" s="67"/>
      <c r="K106" s="68"/>
      <c r="L106" s="67"/>
      <c r="M106" s="68"/>
      <c r="N106" s="68"/>
      <c r="O106" s="68"/>
      <c r="P106" s="68"/>
    </row>
    <row r="107" ht="39.95" hidden="1" customHeight="1" spans="1:16">
      <c r="A107" s="63"/>
      <c r="B107" s="64"/>
      <c r="C107" s="59" t="s">
        <v>52</v>
      </c>
      <c r="D107" s="59" t="s">
        <v>1759</v>
      </c>
      <c r="E107" s="65">
        <v>201</v>
      </c>
      <c r="F107" s="67"/>
      <c r="G107" s="65"/>
      <c r="H107" s="67"/>
      <c r="I107" s="67"/>
      <c r="J107" s="67"/>
      <c r="K107" s="68"/>
      <c r="L107" s="67"/>
      <c r="M107" s="68" t="str">
        <f>INDEX(表结构总览!D:G,MATCH(D107,表结构总览!D:D,0),4)</f>
        <v>报送范围包括本行客户及本行客户的担保、配偶、亲属关系所涉及到的个人信息。包括核心系统、客户关系系统、信用卡系统等各类信息系统采集的个人客户信息。</v>
      </c>
      <c r="N107" s="68" t="s">
        <v>1583</v>
      </c>
      <c r="O107" s="68" t="s">
        <v>484</v>
      </c>
      <c r="P107" s="68"/>
    </row>
    <row r="108" ht="39.95" hidden="1" customHeight="1" outlineLevel="1" spans="1:16">
      <c r="A108" s="63"/>
      <c r="B108" s="64"/>
      <c r="C108" s="59" t="s">
        <v>52</v>
      </c>
      <c r="D108" s="59" t="s">
        <v>1759</v>
      </c>
      <c r="E108" s="65">
        <v>201</v>
      </c>
      <c r="F108" s="67" t="s">
        <v>373</v>
      </c>
      <c r="G108" s="65">
        <v>20101</v>
      </c>
      <c r="H108" s="67" t="s">
        <v>1588</v>
      </c>
      <c r="I108" s="67" t="s">
        <v>373</v>
      </c>
      <c r="J108" s="67" t="str">
        <f>INDEX(数据元说明!A:F,MATCH(I108,数据元说明!C:C,0),2)</f>
        <v>001011</v>
      </c>
      <c r="K108" s="68" t="str">
        <f>INDEX(数据元说明!A:F,MATCH(I108,数据元说明!C:C,0),5)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8" s="67" t="str">
        <f>INDEX(数据元说明!A:F,MATCH(I108,数据元说明!C:C,0),6)</f>
        <v>C..30</v>
      </c>
      <c r="M108" s="68" t="s">
        <v>1760</v>
      </c>
      <c r="N108" s="68" t="s">
        <v>1583</v>
      </c>
      <c r="O108" s="68" t="s">
        <v>484</v>
      </c>
      <c r="P108" s="68"/>
    </row>
    <row r="109" ht="39.95" hidden="1" customHeight="1" outlineLevel="1" spans="1:16">
      <c r="A109" s="63"/>
      <c r="B109" s="64"/>
      <c r="C109" s="59" t="s">
        <v>52</v>
      </c>
      <c r="D109" s="59" t="s">
        <v>1759</v>
      </c>
      <c r="E109" s="65">
        <v>201</v>
      </c>
      <c r="F109" s="67" t="s">
        <v>377</v>
      </c>
      <c r="G109" s="65">
        <v>20102</v>
      </c>
      <c r="H109" s="67" t="s">
        <v>1586</v>
      </c>
      <c r="I109" s="67" t="s">
        <v>377</v>
      </c>
      <c r="J109" s="67" t="str">
        <f>INDEX(数据元说明!A:F,MATCH(I109,数据元说明!C:C,0),2)</f>
        <v>001012</v>
      </c>
      <c r="K109" s="68" t="str">
        <f>INDEX(数据元说明!A:F,MATCH(I109,数据元说明!C:C,0),5)</f>
        <v>银行内部机构号。应具有标识机构的唯一性。</v>
      </c>
      <c r="L109" s="67" t="str">
        <f>INDEX(数据元说明!A:F,MATCH(I109,数据元说明!C:C,0),6)</f>
        <v>C..30</v>
      </c>
      <c r="M109" s="68" t="s">
        <v>1761</v>
      </c>
      <c r="N109" s="68"/>
      <c r="O109" s="68"/>
      <c r="P109" s="68"/>
    </row>
    <row r="110" ht="39.95" hidden="1" customHeight="1" outlineLevel="1" spans="1:16">
      <c r="A110" s="63"/>
      <c r="B110" s="64"/>
      <c r="C110" s="59" t="s">
        <v>52</v>
      </c>
      <c r="D110" s="59" t="s">
        <v>1759</v>
      </c>
      <c r="E110" s="65">
        <v>201</v>
      </c>
      <c r="F110" s="67" t="s">
        <v>1592</v>
      </c>
      <c r="G110" s="65">
        <v>20103</v>
      </c>
      <c r="H110" s="67" t="s">
        <v>1593</v>
      </c>
      <c r="I110" s="67" t="s">
        <v>325</v>
      </c>
      <c r="J110" s="67" t="str">
        <f>INDEX(数据元说明!A:F,MATCH(I110,数据元说明!C:C,0),2)</f>
        <v>001001</v>
      </c>
      <c r="K110" s="68" t="str">
        <f>INDEX(数据元说明!A:F,MATCH(I110,数据元说明!C:C,0),5)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0" s="67" t="str">
        <f>INDEX(数据元说明!A:F,MATCH(I110,数据元说明!C:C,0),6)</f>
        <v>C..450</v>
      </c>
      <c r="M110" s="68" t="s">
        <v>1762</v>
      </c>
      <c r="N110" s="68" t="s">
        <v>1601</v>
      </c>
      <c r="O110" s="68"/>
      <c r="P110" s="68"/>
    </row>
    <row r="111" ht="39.95" hidden="1" customHeight="1" outlineLevel="1" spans="1:16">
      <c r="A111" s="70"/>
      <c r="B111" s="71"/>
      <c r="C111" s="59" t="s">
        <v>52</v>
      </c>
      <c r="D111" s="59" t="s">
        <v>1759</v>
      </c>
      <c r="E111" s="65">
        <v>201</v>
      </c>
      <c r="F111" s="67" t="s">
        <v>488</v>
      </c>
      <c r="G111" s="65">
        <v>20104</v>
      </c>
      <c r="H111" s="67" t="s">
        <v>1699</v>
      </c>
      <c r="I111" s="67" t="s">
        <v>488</v>
      </c>
      <c r="J111" s="67" t="str">
        <f>INDEX(数据元说明!A:F,MATCH(I111,数据元说明!C:C,0),2)</f>
        <v>002001</v>
      </c>
      <c r="K111" s="68" t="str">
        <f>INDEX(数据元说明!A:F,MATCH(I111,数据元说明!C:C,0),5)</f>
        <v>银行自定义的唯一识别客户的标识。供应链融资的填写供应链融资编码。</v>
      </c>
      <c r="L111" s="67" t="str">
        <f>INDEX(数据元说明!A:F,MATCH(I111,数据元说明!C:C,0),6)</f>
        <v>C..60</v>
      </c>
      <c r="M111" s="68" t="s">
        <v>1763</v>
      </c>
      <c r="N111" s="68" t="s">
        <v>1583</v>
      </c>
      <c r="O111" s="68"/>
      <c r="P111" s="68" t="s">
        <v>1634</v>
      </c>
    </row>
    <row r="112" ht="39.95" hidden="1" customHeight="1" outlineLevel="1" spans="1:16">
      <c r="A112" s="70"/>
      <c r="B112" s="71"/>
      <c r="C112" s="59" t="s">
        <v>52</v>
      </c>
      <c r="D112" s="59" t="s">
        <v>1759</v>
      </c>
      <c r="E112" s="65">
        <v>201</v>
      </c>
      <c r="F112" s="67" t="s">
        <v>1764</v>
      </c>
      <c r="G112" s="65">
        <v>20105</v>
      </c>
      <c r="H112" s="67" t="s">
        <v>1765</v>
      </c>
      <c r="I112" s="67" t="s">
        <v>393</v>
      </c>
      <c r="J112" s="67" t="str">
        <f>INDEX(数据元说明!A:F,MATCH(I112,数据元说明!C:C,0),2)</f>
        <v>001016</v>
      </c>
      <c r="K112" s="68" t="str">
        <f>INDEX(数据元说明!A:F,MATCH(I112,数据元说明!C:C,0),5)</f>
        <v>姓名。</v>
      </c>
      <c r="L112" s="67" t="str">
        <f>INDEX(数据元说明!A:F,MATCH(I112,数据元说明!C:C,0),6)</f>
        <v>C..150</v>
      </c>
      <c r="M112" s="68" t="s">
        <v>1766</v>
      </c>
      <c r="N112" s="68" t="s">
        <v>1583</v>
      </c>
      <c r="O112" s="68" t="s">
        <v>484</v>
      </c>
      <c r="P112" s="68"/>
    </row>
    <row r="113" ht="39.95" hidden="1" customHeight="1" outlineLevel="1" spans="1:16">
      <c r="A113" s="70"/>
      <c r="B113" s="71"/>
      <c r="C113" s="59" t="s">
        <v>52</v>
      </c>
      <c r="D113" s="59" t="s">
        <v>1759</v>
      </c>
      <c r="E113" s="65">
        <v>201</v>
      </c>
      <c r="F113" s="67" t="s">
        <v>492</v>
      </c>
      <c r="G113" s="65">
        <v>20106</v>
      </c>
      <c r="H113" s="67" t="s">
        <v>1639</v>
      </c>
      <c r="I113" s="67" t="s">
        <v>492</v>
      </c>
      <c r="J113" s="67" t="str">
        <f>INDEX(数据元说明!A:F,MATCH(I113,数据元说明!C:C,0),2)</f>
        <v>002002</v>
      </c>
      <c r="K113" s="68" t="str">
        <f>INDEX(数据元说明!A:F,MATCH(I113,数据元说明!C:C,0),5)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13" s="67" t="str">
        <f>INDEX(数据元说明!A:F,MATCH(I113,数据元说明!C:C,0),6)</f>
        <v>C..60</v>
      </c>
      <c r="M113" s="68"/>
      <c r="N113" s="68"/>
      <c r="O113" s="68"/>
      <c r="P113" s="68"/>
    </row>
    <row r="114" ht="39.95" hidden="1" customHeight="1" outlineLevel="1" spans="1:16">
      <c r="A114" s="63"/>
      <c r="B114" s="64"/>
      <c r="C114" s="59" t="s">
        <v>52</v>
      </c>
      <c r="D114" s="59" t="s">
        <v>1759</v>
      </c>
      <c r="E114" s="65">
        <v>201</v>
      </c>
      <c r="F114" s="67" t="s">
        <v>496</v>
      </c>
      <c r="G114" s="65">
        <v>20107</v>
      </c>
      <c r="H114" s="67" t="s">
        <v>1640</v>
      </c>
      <c r="I114" s="67" t="s">
        <v>496</v>
      </c>
      <c r="J114" s="67" t="str">
        <f>INDEX(数据元说明!A:F,MATCH(I114,数据元说明!C:C,0),2)</f>
        <v>002003</v>
      </c>
      <c r="K114" s="68" t="str">
        <f>INDEX(数据元说明!A:F,MATCH(I114,数据元说明!C:C,0),5)</f>
        <v>与证件类别对应的证件号码。涉及个人身份证件时需按照本规范给定规则进行脱敏处理。</v>
      </c>
      <c r="L114" s="67" t="str">
        <f>INDEX(数据元说明!A:F,MATCH(I114,数据元说明!C:C,0),6)</f>
        <v>C..70</v>
      </c>
      <c r="M114" s="68" t="s">
        <v>1641</v>
      </c>
      <c r="N114" s="68" t="s">
        <v>1583</v>
      </c>
      <c r="O114" s="68" t="s">
        <v>322</v>
      </c>
      <c r="P114" s="68" t="s">
        <v>1634</v>
      </c>
    </row>
    <row r="115" ht="39.95" hidden="1" customHeight="1" outlineLevel="1" spans="1:16">
      <c r="A115" s="70"/>
      <c r="B115" s="71"/>
      <c r="C115" s="59" t="s">
        <v>52</v>
      </c>
      <c r="D115" s="59" t="s">
        <v>1759</v>
      </c>
      <c r="E115" s="65">
        <v>201</v>
      </c>
      <c r="F115" s="67" t="s">
        <v>1767</v>
      </c>
      <c r="G115" s="65">
        <v>20108</v>
      </c>
      <c r="H115" s="67" t="s">
        <v>1768</v>
      </c>
      <c r="I115" s="67" t="s">
        <v>580</v>
      </c>
      <c r="J115" s="67" t="str">
        <f>INDEX(数据元说明!A:F,MATCH(I115,数据元说明!C:C,0),2)</f>
        <v>002023</v>
      </c>
      <c r="K115" s="68" t="str">
        <f>INDEX(数据元说明!A:F,MATCH(I115,数据元说明!C:C,0),5)</f>
        <v>普通个人客户，个体工商户，小微企业主，境外客户，其他-银行自定义类型。无法以枚举类型填报的，以“其他-XX”填报，其中“XX”为银行自定义类型。</v>
      </c>
      <c r="L115" s="67" t="str">
        <f>INDEX(数据元说明!A:F,MATCH(I115,数据元说明!C:C,0),6)</f>
        <v>C..60</v>
      </c>
      <c r="M115" s="68" t="s">
        <v>1769</v>
      </c>
      <c r="N115" s="68" t="s">
        <v>1601</v>
      </c>
      <c r="O115" s="68"/>
      <c r="P115" s="68"/>
    </row>
    <row r="116" ht="39.95" hidden="1" customHeight="1" outlineLevel="1" spans="1:16">
      <c r="A116" s="70"/>
      <c r="B116" s="71"/>
      <c r="C116" s="59" t="s">
        <v>52</v>
      </c>
      <c r="D116" s="59" t="s">
        <v>1759</v>
      </c>
      <c r="E116" s="65">
        <v>201</v>
      </c>
      <c r="F116" s="67" t="s">
        <v>501</v>
      </c>
      <c r="G116" s="65">
        <v>20109</v>
      </c>
      <c r="H116" s="67" t="s">
        <v>1637</v>
      </c>
      <c r="I116" s="67" t="s">
        <v>501</v>
      </c>
      <c r="J116" s="67" t="str">
        <f>INDEX(数据元说明!A:F,MATCH(I116,数据元说明!C:C,0),2)</f>
        <v>002004</v>
      </c>
      <c r="K116" s="68" t="str">
        <f>INDEX(数据元说明!A:F,MATCH(I116,数据元说明!C:C,0),5)</f>
        <v>参照《GB/T 2659-2000 世界各国和地区名称》，填报中文名称。</v>
      </c>
      <c r="L116" s="67" t="str">
        <f>INDEX(数据元说明!A:F,MATCH(I116,数据元说明!C:C,0),6)</f>
        <v>C..60</v>
      </c>
      <c r="M116" s="68"/>
      <c r="N116" s="68"/>
      <c r="O116" s="68"/>
      <c r="P116" s="68"/>
    </row>
    <row r="117" ht="39.95" hidden="1" customHeight="1" outlineLevel="1" spans="1:16">
      <c r="A117" s="70"/>
      <c r="B117" s="71"/>
      <c r="C117" s="59" t="s">
        <v>52</v>
      </c>
      <c r="D117" s="59" t="s">
        <v>1759</v>
      </c>
      <c r="E117" s="65">
        <v>201</v>
      </c>
      <c r="F117" s="67" t="s">
        <v>505</v>
      </c>
      <c r="G117" s="65">
        <v>20110</v>
      </c>
      <c r="H117" s="67" t="s">
        <v>1770</v>
      </c>
      <c r="I117" s="67" t="s">
        <v>505</v>
      </c>
      <c r="J117" s="67" t="str">
        <f>INDEX(数据元说明!A:F,MATCH(I117,数据元说明!C:C,0),2)</f>
        <v>002005</v>
      </c>
      <c r="K117" s="68" t="str">
        <f>INDEX(数据元说明!A:F,MATCH(I117,数据元说明!C:C,0),5)</f>
        <v>国家认可的在公安户籍管理部门正式登记注册的客户所属民族的名称。</v>
      </c>
      <c r="L117" s="67" t="str">
        <f>INDEX(数据元说明!A:F,MATCH(I117,数据元说明!C:C,0),6)</f>
        <v>C..30</v>
      </c>
      <c r="M117" s="68" t="s">
        <v>1771</v>
      </c>
      <c r="N117" s="68"/>
      <c r="O117" s="68"/>
      <c r="P117" s="68"/>
    </row>
    <row r="118" ht="39.95" hidden="1" customHeight="1" outlineLevel="1" spans="1:16">
      <c r="A118" s="70"/>
      <c r="B118" s="71"/>
      <c r="C118" s="59" t="s">
        <v>52</v>
      </c>
      <c r="D118" s="59" t="s">
        <v>1759</v>
      </c>
      <c r="E118" s="65">
        <v>201</v>
      </c>
      <c r="F118" s="67" t="s">
        <v>509</v>
      </c>
      <c r="G118" s="65">
        <v>20111</v>
      </c>
      <c r="H118" s="67" t="s">
        <v>1772</v>
      </c>
      <c r="I118" s="67" t="s">
        <v>509</v>
      </c>
      <c r="J118" s="67" t="str">
        <f>INDEX(数据元说明!A:F,MATCH(I118,数据元说明!C:C,0),2)</f>
        <v>002006</v>
      </c>
      <c r="K118" s="68" t="str">
        <f>INDEX(数据元说明!A:F,MATCH(I118,数据元说明!C:C,0),5)</f>
        <v>男，女。</v>
      </c>
      <c r="L118" s="67" t="str">
        <f>INDEX(数据元说明!A:F,MATCH(I118,数据元说明!C:C,0),6)</f>
        <v>C3</v>
      </c>
      <c r="M118" s="68" t="s">
        <v>1773</v>
      </c>
      <c r="N118" s="68"/>
      <c r="O118" s="68"/>
      <c r="P118" s="68"/>
    </row>
    <row r="119" ht="39.95" hidden="1" customHeight="1" outlineLevel="1" spans="1:16">
      <c r="A119" s="70"/>
      <c r="B119" s="71"/>
      <c r="C119" s="59" t="s">
        <v>52</v>
      </c>
      <c r="D119" s="59" t="s">
        <v>1759</v>
      </c>
      <c r="E119" s="65">
        <v>201</v>
      </c>
      <c r="F119" s="67" t="s">
        <v>513</v>
      </c>
      <c r="G119" s="65">
        <v>20112</v>
      </c>
      <c r="H119" s="67" t="s">
        <v>1774</v>
      </c>
      <c r="I119" s="67" t="s">
        <v>513</v>
      </c>
      <c r="J119" s="67" t="str">
        <f>INDEX(数据元说明!A:F,MATCH(I119,数据元说明!C:C,0),2)</f>
        <v>002007</v>
      </c>
      <c r="K119" s="68" t="str">
        <f>INDEX(数据元说明!A:F,MATCH(I119,数据元说明!C:C,0),5)</f>
        <v>《学历代码》（GB/T 4658）规定的学历。</v>
      </c>
      <c r="L119" s="67" t="str">
        <f>INDEX(数据元说明!A:F,MATCH(I119,数据元说明!C:C,0),6)</f>
        <v>C..30</v>
      </c>
      <c r="M119" s="68" t="s">
        <v>1775</v>
      </c>
      <c r="N119" s="68"/>
      <c r="O119" s="68"/>
      <c r="P119" s="68"/>
    </row>
    <row r="120" ht="39.95" hidden="1" customHeight="1" outlineLevel="1" spans="1:16">
      <c r="A120" s="70"/>
      <c r="B120" s="71"/>
      <c r="C120" s="59" t="s">
        <v>52</v>
      </c>
      <c r="D120" s="59" t="s">
        <v>1759</v>
      </c>
      <c r="E120" s="65">
        <v>201</v>
      </c>
      <c r="F120" s="67" t="s">
        <v>1776</v>
      </c>
      <c r="G120" s="65">
        <v>20113</v>
      </c>
      <c r="H120" s="67" t="s">
        <v>1777</v>
      </c>
      <c r="I120" s="67" t="s">
        <v>350</v>
      </c>
      <c r="J120" s="67" t="str">
        <f>INDEX(数据元说明!A:F,MATCH(I120,数据元说明!C:C,0),2)</f>
        <v>001006</v>
      </c>
      <c r="K120" s="68" t="str">
        <f>INDEX(数据元说明!A:F,MATCH(I120,数据元说明!C:C,0),5)</f>
        <v>YYYYMM，默认值999912。</v>
      </c>
      <c r="L120" s="67" t="str">
        <f>INDEX(数据元说明!A:F,MATCH(I120,数据元说明!C:C,0),6)</f>
        <v>C6</v>
      </c>
      <c r="M120" s="68" t="s">
        <v>1778</v>
      </c>
      <c r="N120" s="68" t="s">
        <v>1583</v>
      </c>
      <c r="O120" s="68" t="s">
        <v>1779</v>
      </c>
      <c r="P120" s="68"/>
    </row>
    <row r="121" ht="39.95" hidden="1" customHeight="1" outlineLevel="1" spans="1:16">
      <c r="A121" s="70"/>
      <c r="B121" s="71"/>
      <c r="C121" s="59" t="s">
        <v>52</v>
      </c>
      <c r="D121" s="59" t="s">
        <v>1759</v>
      </c>
      <c r="E121" s="65">
        <v>201</v>
      </c>
      <c r="F121" s="67" t="s">
        <v>1780</v>
      </c>
      <c r="G121" s="65">
        <v>20114</v>
      </c>
      <c r="H121" s="67" t="s">
        <v>1781</v>
      </c>
      <c r="I121" s="67" t="s">
        <v>330</v>
      </c>
      <c r="J121" s="67" t="str">
        <f>INDEX(数据元说明!A:F,MATCH(I121,数据元说明!C:C,0),2)</f>
        <v>001002</v>
      </c>
      <c r="K121" s="68" t="str">
        <f>INDEX(数据元说明!A:F,MATCH(I121,数据元说明!C:C,0),5)</f>
        <v>是，否。</v>
      </c>
      <c r="L121" s="67" t="str">
        <f>INDEX(数据元说明!A:F,MATCH(I121,数据元说明!C:C,0),6)</f>
        <v>C3</v>
      </c>
      <c r="M121" s="68" t="s">
        <v>1775</v>
      </c>
      <c r="N121" s="68" t="s">
        <v>1583</v>
      </c>
      <c r="O121" s="68" t="s">
        <v>484</v>
      </c>
      <c r="P121" s="68"/>
    </row>
    <row r="122" ht="39.95" hidden="1" customHeight="1" outlineLevel="1" spans="1:16">
      <c r="A122" s="70"/>
      <c r="B122" s="71"/>
      <c r="C122" s="59" t="s">
        <v>52</v>
      </c>
      <c r="D122" s="59" t="s">
        <v>1759</v>
      </c>
      <c r="E122" s="65">
        <v>201</v>
      </c>
      <c r="F122" s="67" t="s">
        <v>1782</v>
      </c>
      <c r="G122" s="65">
        <v>20115</v>
      </c>
      <c r="H122" s="67" t="s">
        <v>1783</v>
      </c>
      <c r="I122" s="67" t="s">
        <v>325</v>
      </c>
      <c r="J122" s="67" t="str">
        <f>INDEX(数据元说明!A:F,MATCH(I122,数据元说明!C:C,0),2)</f>
        <v>001001</v>
      </c>
      <c r="K122" s="68" t="str">
        <f>INDEX(数据元说明!A:F,MATCH(I122,数据元说明!C:C,0),5)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22" s="67" t="str">
        <f>INDEX(数据元说明!A:F,MATCH(I122,数据元说明!C:C,0),6)</f>
        <v>C..450</v>
      </c>
      <c r="M122" s="68" t="s">
        <v>1784</v>
      </c>
      <c r="N122" s="68" t="s">
        <v>1583</v>
      </c>
      <c r="O122" s="68" t="s">
        <v>1577</v>
      </c>
      <c r="P122" s="68"/>
    </row>
    <row r="123" ht="39.95" hidden="1" customHeight="1" outlineLevel="1" spans="1:16">
      <c r="A123" s="70"/>
      <c r="B123" s="71"/>
      <c r="C123" s="59" t="s">
        <v>52</v>
      </c>
      <c r="D123" s="59" t="s">
        <v>1759</v>
      </c>
      <c r="E123" s="65">
        <v>201</v>
      </c>
      <c r="F123" s="67" t="s">
        <v>1785</v>
      </c>
      <c r="G123" s="65">
        <v>20116</v>
      </c>
      <c r="H123" s="67" t="s">
        <v>1786</v>
      </c>
      <c r="I123" s="67" t="s">
        <v>359</v>
      </c>
      <c r="J123" s="67" t="str">
        <f>INDEX(数据元说明!A:F,MATCH(I123,数据元说明!C:C,0),2)</f>
        <v>001008</v>
      </c>
      <c r="K123" s="68" t="str">
        <f>INDEX(数据元说明!A:F,MATCH(I123,数据元说明!C:C,0),5)</f>
        <v>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v>
      </c>
      <c r="L123" s="67" t="str">
        <f>INDEX(数据元说明!A:F,MATCH(I123,数据元说明!C:C,0),6)</f>
        <v>C..600</v>
      </c>
      <c r="M123" s="68" t="s">
        <v>1787</v>
      </c>
      <c r="N123" s="68" t="s">
        <v>1583</v>
      </c>
      <c r="O123" s="68" t="s">
        <v>1577</v>
      </c>
      <c r="P123" s="68"/>
    </row>
    <row r="124" ht="39.95" hidden="1" customHeight="1" outlineLevel="1" spans="1:16">
      <c r="A124" s="70"/>
      <c r="B124" s="71"/>
      <c r="C124" s="59" t="s">
        <v>52</v>
      </c>
      <c r="D124" s="59" t="s">
        <v>1759</v>
      </c>
      <c r="E124" s="65">
        <v>201</v>
      </c>
      <c r="F124" s="67" t="s">
        <v>1788</v>
      </c>
      <c r="G124" s="65">
        <v>20117</v>
      </c>
      <c r="H124" s="67" t="s">
        <v>1789</v>
      </c>
      <c r="I124" s="67" t="s">
        <v>364</v>
      </c>
      <c r="J124" s="67" t="str">
        <f>INDEX(数据元说明!A:F,MATCH(I124,数据元说明!C:C,0),2)</f>
        <v>001009</v>
      </c>
      <c r="K124" s="68" t="str">
        <f>INDEX(数据元说明!A:F,MATCH(I124,数据元说明!C:C,0),5)</f>
        <v>手机号码或者区号-固定电话号码。</v>
      </c>
      <c r="L124" s="67" t="str">
        <f>INDEX(数据元说明!A:F,MATCH(I124,数据元说明!C:C,0),6)</f>
        <v>C..30</v>
      </c>
      <c r="M124" s="68" t="s">
        <v>1787</v>
      </c>
      <c r="N124" s="68" t="s">
        <v>1583</v>
      </c>
      <c r="O124" s="68" t="s">
        <v>484</v>
      </c>
      <c r="P124" s="68"/>
    </row>
    <row r="125" ht="39.95" hidden="1" customHeight="1" outlineLevel="1" spans="1:16">
      <c r="A125" s="70"/>
      <c r="B125" s="71"/>
      <c r="C125" s="59" t="s">
        <v>52</v>
      </c>
      <c r="D125" s="59" t="s">
        <v>1759</v>
      </c>
      <c r="E125" s="65">
        <v>201</v>
      </c>
      <c r="F125" s="67" t="s">
        <v>522</v>
      </c>
      <c r="G125" s="65">
        <v>20118</v>
      </c>
      <c r="H125" s="67" t="s">
        <v>1790</v>
      </c>
      <c r="I125" s="67" t="s">
        <v>522</v>
      </c>
      <c r="J125" s="67" t="str">
        <f>INDEX(数据元说明!A:F,MATCH(I125,数据元说明!C:C,0),2)</f>
        <v>002009</v>
      </c>
      <c r="K125" s="68" t="str">
        <f>INDEX(数据元说明!A:F,MATCH(I125,数据元说明!C:C,0),5)</f>
        <v>国有企业、民营企业、政府机关、事业单位、社会团体、境外机构、其他-银行自定义。无法以枚举类型填报的，以“其他-XX”填报，其中“XX”为银行自定义类型。</v>
      </c>
      <c r="L125" s="67" t="str">
        <f>INDEX(数据元说明!A:F,MATCH(I125,数据元说明!C:C,0),6)</f>
        <v>C..60</v>
      </c>
      <c r="M125" s="68" t="s">
        <v>1791</v>
      </c>
      <c r="N125" s="68" t="s">
        <v>1583</v>
      </c>
      <c r="O125" s="68" t="s">
        <v>321</v>
      </c>
      <c r="P125" s="68" t="s">
        <v>1634</v>
      </c>
    </row>
    <row r="126" ht="39.95" hidden="1" customHeight="1" outlineLevel="1" spans="1:16">
      <c r="A126" s="70"/>
      <c r="B126" s="71"/>
      <c r="C126" s="59" t="s">
        <v>52</v>
      </c>
      <c r="D126" s="59" t="s">
        <v>1759</v>
      </c>
      <c r="E126" s="65">
        <v>201</v>
      </c>
      <c r="F126" s="67" t="s">
        <v>517</v>
      </c>
      <c r="G126" s="65">
        <v>20119</v>
      </c>
      <c r="H126" s="67" t="s">
        <v>1792</v>
      </c>
      <c r="I126" s="67" t="s">
        <v>517</v>
      </c>
      <c r="J126" s="67" t="str">
        <f>INDEX(数据元说明!A:F,MATCH(I126,数据元说明!C:C,0),2)</f>
        <v>002008</v>
      </c>
      <c r="K126" s="68" t="str">
        <f>INDEX(数据元说明!A:F,MATCH(I126,数据元说明!C:C,0),5)</f>
        <v>中文描述或中文字典，银行自定义。</v>
      </c>
      <c r="L126" s="67" t="str">
        <f>INDEX(数据元说明!A:F,MATCH(I126,数据元说明!C:C,0),6)</f>
        <v>C..90</v>
      </c>
      <c r="M126" s="68" t="s">
        <v>1775</v>
      </c>
      <c r="N126" s="68"/>
      <c r="O126" s="68"/>
      <c r="P126" s="68"/>
    </row>
    <row r="127" ht="39.95" hidden="1" customHeight="1" outlineLevel="1" spans="1:16">
      <c r="A127" s="70"/>
      <c r="B127" s="71"/>
      <c r="C127" s="59" t="s">
        <v>52</v>
      </c>
      <c r="D127" s="59" t="s">
        <v>1759</v>
      </c>
      <c r="E127" s="65">
        <v>201</v>
      </c>
      <c r="F127" s="67" t="s">
        <v>402</v>
      </c>
      <c r="G127" s="65">
        <v>20120</v>
      </c>
      <c r="H127" s="67" t="s">
        <v>1793</v>
      </c>
      <c r="I127" s="67" t="s">
        <v>402</v>
      </c>
      <c r="J127" s="67" t="str">
        <f>INDEX(数据元说明!A:F,MATCH(I127,数据元说明!C:C,0),2)</f>
        <v>001018</v>
      </c>
      <c r="K127" s="68" t="str">
        <f>INDEX(数据元说明!A:F,MATCH(I127,数据元说明!C:C,0),5)</f>
        <v>中文字典或中文描述，银行自定义。</v>
      </c>
      <c r="L127" s="67" t="str">
        <f>INDEX(数据元说明!A:F,MATCH(I127,数据元说明!C:C,0),6)</f>
        <v>C..150</v>
      </c>
      <c r="M127" s="68" t="s">
        <v>1791</v>
      </c>
      <c r="N127" s="68" t="s">
        <v>1583</v>
      </c>
      <c r="O127" s="68" t="s">
        <v>1794</v>
      </c>
      <c r="P127" s="68" t="s">
        <v>1634</v>
      </c>
    </row>
    <row r="128" ht="39.95" hidden="1" customHeight="1" outlineLevel="1" spans="1:16">
      <c r="A128" s="70"/>
      <c r="B128" s="71"/>
      <c r="C128" s="59" t="s">
        <v>52</v>
      </c>
      <c r="D128" s="59" t="s">
        <v>1759</v>
      </c>
      <c r="E128" s="65">
        <v>201</v>
      </c>
      <c r="F128" s="67" t="s">
        <v>1795</v>
      </c>
      <c r="G128" s="65">
        <v>20121</v>
      </c>
      <c r="H128" s="67" t="s">
        <v>1796</v>
      </c>
      <c r="I128" s="67" t="s">
        <v>634</v>
      </c>
      <c r="J128" s="67" t="str">
        <f>INDEX(数据元说明!A:F,MATCH(I128,数据元说明!C:C,0),2)</f>
        <v>003008</v>
      </c>
      <c r="K128" s="68" t="str">
        <f>INDEX(数据元说明!A:F,MATCH(I128,数据元说明!C:C,0),5)</f>
        <v>与币种相对应金额。</v>
      </c>
      <c r="L128" s="67" t="str">
        <f>INDEX(数据元说明!A:F,MATCH(I128,数据元说明!C:C,0),6)</f>
        <v>D20.2</v>
      </c>
      <c r="M128" s="68" t="s">
        <v>1797</v>
      </c>
      <c r="N128" s="68" t="s">
        <v>1583</v>
      </c>
      <c r="O128" s="68"/>
      <c r="P128" s="68" t="s">
        <v>1648</v>
      </c>
    </row>
    <row r="129" ht="39.95" hidden="1" customHeight="1" outlineLevel="1" spans="1:16">
      <c r="A129" s="70"/>
      <c r="B129" s="71"/>
      <c r="C129" s="59" t="s">
        <v>52</v>
      </c>
      <c r="D129" s="59" t="s">
        <v>1759</v>
      </c>
      <c r="E129" s="65">
        <v>201</v>
      </c>
      <c r="F129" s="67" t="s">
        <v>1798</v>
      </c>
      <c r="G129" s="65">
        <v>20122</v>
      </c>
      <c r="H129" s="67" t="s">
        <v>1799</v>
      </c>
      <c r="I129" s="67" t="s">
        <v>359</v>
      </c>
      <c r="J129" s="67" t="str">
        <f>INDEX(数据元说明!A:F,MATCH(I129,数据元说明!C:C,0),2)</f>
        <v>001008</v>
      </c>
      <c r="K129" s="68" t="str">
        <f>INDEX(数据元说明!A:F,MATCH(I129,数据元说明!C:C,0),5)</f>
        <v>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v>
      </c>
      <c r="L129" s="67" t="str">
        <f>INDEX(数据元说明!A:F,MATCH(I129,数据元说明!C:C,0),6)</f>
        <v>C..600</v>
      </c>
      <c r="M129" s="68" t="s">
        <v>1800</v>
      </c>
      <c r="N129" s="68"/>
      <c r="O129" s="68"/>
      <c r="P129" s="68"/>
    </row>
    <row r="130" ht="39.95" hidden="1" customHeight="1" outlineLevel="1" spans="1:16">
      <c r="A130" s="70"/>
      <c r="B130" s="71"/>
      <c r="C130" s="59" t="s">
        <v>52</v>
      </c>
      <c r="D130" s="59" t="s">
        <v>1759</v>
      </c>
      <c r="E130" s="65">
        <v>201</v>
      </c>
      <c r="F130" s="67" t="s">
        <v>1642</v>
      </c>
      <c r="G130" s="65">
        <v>20123</v>
      </c>
      <c r="H130" s="67" t="s">
        <v>1643</v>
      </c>
      <c r="I130" s="67" t="s">
        <v>364</v>
      </c>
      <c r="J130" s="67" t="str">
        <f>INDEX(数据元说明!A:F,MATCH(I130,数据元说明!C:C,0),2)</f>
        <v>001009</v>
      </c>
      <c r="K130" s="68" t="str">
        <f>INDEX(数据元说明!A:F,MATCH(I130,数据元说明!C:C,0),5)</f>
        <v>手机号码或者区号-固定电话号码。</v>
      </c>
      <c r="L130" s="67" t="str">
        <f>INDEX(数据元说明!A:F,MATCH(I130,数据元说明!C:C,0),6)</f>
        <v>C..30</v>
      </c>
      <c r="M130" s="68" t="s">
        <v>1801</v>
      </c>
      <c r="N130" s="68" t="s">
        <v>1601</v>
      </c>
      <c r="O130" s="68"/>
      <c r="P130" s="68"/>
    </row>
    <row r="131" ht="39.95" hidden="1" customHeight="1" outlineLevel="1" spans="1:16">
      <c r="A131" s="70"/>
      <c r="B131" s="71"/>
      <c r="C131" s="59" t="s">
        <v>52</v>
      </c>
      <c r="D131" s="59" t="s">
        <v>1759</v>
      </c>
      <c r="E131" s="65">
        <v>201</v>
      </c>
      <c r="F131" s="67" t="s">
        <v>1802</v>
      </c>
      <c r="G131" s="65">
        <v>20124</v>
      </c>
      <c r="H131" s="67" t="s">
        <v>1803</v>
      </c>
      <c r="I131" s="67" t="s">
        <v>330</v>
      </c>
      <c r="J131" s="67" t="str">
        <f>INDEX(数据元说明!A:F,MATCH(I131,数据元说明!C:C,0),2)</f>
        <v>001002</v>
      </c>
      <c r="K131" s="68" t="str">
        <f>INDEX(数据元说明!A:F,MATCH(I131,数据元说明!C:C,0),5)</f>
        <v>是，否。</v>
      </c>
      <c r="L131" s="67" t="str">
        <f>INDEX(数据元说明!A:F,MATCH(I131,数据元说明!C:C,0),6)</f>
        <v>C3</v>
      </c>
      <c r="M131" s="68" t="s">
        <v>1804</v>
      </c>
      <c r="N131" s="68" t="s">
        <v>1601</v>
      </c>
      <c r="O131" s="68"/>
      <c r="P131" s="68"/>
    </row>
    <row r="132" ht="39.95" hidden="1" customHeight="1" outlineLevel="1" spans="1:16">
      <c r="A132" s="70"/>
      <c r="B132" s="71"/>
      <c r="C132" s="59" t="s">
        <v>52</v>
      </c>
      <c r="D132" s="59" t="s">
        <v>1759</v>
      </c>
      <c r="E132" s="65">
        <v>201</v>
      </c>
      <c r="F132" s="67" t="s">
        <v>1805</v>
      </c>
      <c r="G132" s="65">
        <v>20125</v>
      </c>
      <c r="H132" s="67" t="s">
        <v>1806</v>
      </c>
      <c r="I132" s="67" t="s">
        <v>350</v>
      </c>
      <c r="J132" s="67" t="str">
        <f>INDEX(数据元说明!A:F,MATCH(I132,数据元说明!C:C,0),2)</f>
        <v>001006</v>
      </c>
      <c r="K132" s="68" t="str">
        <f>INDEX(数据元说明!A:F,MATCH(I132,数据元说明!C:C,0),5)</f>
        <v>YYYYMM，默认值999912。</v>
      </c>
      <c r="L132" s="67" t="str">
        <f>INDEX(数据元说明!A:F,MATCH(I132,数据元说明!C:C,0),6)</f>
        <v>C6</v>
      </c>
      <c r="M132" s="68" t="s">
        <v>1807</v>
      </c>
      <c r="N132" s="68" t="s">
        <v>1601</v>
      </c>
      <c r="O132" s="68"/>
      <c r="P132" s="68"/>
    </row>
    <row r="133" ht="39.95" hidden="1" customHeight="1" outlineLevel="1" spans="1:16">
      <c r="A133" s="70"/>
      <c r="B133" s="71"/>
      <c r="C133" s="59" t="s">
        <v>52</v>
      </c>
      <c r="D133" s="59" t="s">
        <v>1759</v>
      </c>
      <c r="E133" s="65">
        <v>201</v>
      </c>
      <c r="F133" s="67" t="s">
        <v>1808</v>
      </c>
      <c r="G133" s="65">
        <v>20126</v>
      </c>
      <c r="H133" s="67" t="s">
        <v>1809</v>
      </c>
      <c r="I133" s="67" t="s">
        <v>330</v>
      </c>
      <c r="J133" s="67" t="str">
        <f>INDEX(数据元说明!A:F,MATCH(I133,数据元说明!C:C,0),2)</f>
        <v>001002</v>
      </c>
      <c r="K133" s="68" t="str">
        <f>INDEX(数据元说明!A:F,MATCH(I133,数据元说明!C:C,0),5)</f>
        <v>是，否。</v>
      </c>
      <c r="L133" s="67" t="str">
        <f>INDEX(数据元说明!A:F,MATCH(I133,数据元说明!C:C,0),6)</f>
        <v>C3</v>
      </c>
      <c r="M133" s="68" t="s">
        <v>1810</v>
      </c>
      <c r="N133" s="68" t="s">
        <v>1583</v>
      </c>
      <c r="O133" s="68"/>
      <c r="P133" s="68" t="s">
        <v>1634</v>
      </c>
    </row>
    <row r="134" ht="39.95" hidden="1" customHeight="1" outlineLevel="1" spans="1:16">
      <c r="A134" s="70"/>
      <c r="B134" s="71"/>
      <c r="C134" s="59" t="s">
        <v>52</v>
      </c>
      <c r="D134" s="59" t="s">
        <v>1759</v>
      </c>
      <c r="E134" s="65">
        <v>201</v>
      </c>
      <c r="F134" s="67" t="s">
        <v>1811</v>
      </c>
      <c r="G134" s="65">
        <v>20127</v>
      </c>
      <c r="H134" s="67" t="s">
        <v>1812</v>
      </c>
      <c r="I134" s="67" t="s">
        <v>330</v>
      </c>
      <c r="J134" s="67" t="str">
        <f>INDEX(数据元说明!A:F,MATCH(I134,数据元说明!C:C,0),2)</f>
        <v>001002</v>
      </c>
      <c r="K134" s="68" t="str">
        <f>INDEX(数据元说明!A:F,MATCH(I134,数据元说明!C:C,0),5)</f>
        <v>是，否。</v>
      </c>
      <c r="L134" s="67" t="str">
        <f>INDEX(数据元说明!A:F,MATCH(I134,数据元说明!C:C,0),6)</f>
        <v>C3</v>
      </c>
      <c r="M134" s="68"/>
      <c r="N134" s="68"/>
      <c r="O134" s="68"/>
      <c r="P134" s="68"/>
    </row>
    <row r="135" ht="39.95" hidden="1" customHeight="1" outlineLevel="1" spans="1:16">
      <c r="A135" s="70"/>
      <c r="B135" s="71"/>
      <c r="C135" s="59" t="s">
        <v>52</v>
      </c>
      <c r="D135" s="59" t="s">
        <v>1759</v>
      </c>
      <c r="E135" s="65">
        <v>201</v>
      </c>
      <c r="F135" s="67" t="s">
        <v>1813</v>
      </c>
      <c r="G135" s="65">
        <v>20128</v>
      </c>
      <c r="H135" s="67" t="s">
        <v>1814</v>
      </c>
      <c r="I135" s="67" t="s">
        <v>330</v>
      </c>
      <c r="J135" s="67" t="str">
        <f>INDEX(数据元说明!A:F,MATCH(I135,数据元说明!C:C,0),2)</f>
        <v>001002</v>
      </c>
      <c r="K135" s="68" t="str">
        <f>INDEX(数据元说明!A:F,MATCH(I135,数据元说明!C:C,0),5)</f>
        <v>是，否。</v>
      </c>
      <c r="L135" s="67" t="str">
        <f>INDEX(数据元说明!A:F,MATCH(I135,数据元说明!C:C,0),6)</f>
        <v>C3</v>
      </c>
      <c r="M135" s="68" t="s">
        <v>1815</v>
      </c>
      <c r="N135" s="68"/>
      <c r="O135" s="68"/>
      <c r="P135" s="68"/>
    </row>
    <row r="136" ht="39.95" hidden="1" customHeight="1" outlineLevel="1" spans="1:16">
      <c r="A136" s="70"/>
      <c r="B136" s="71"/>
      <c r="C136" s="59" t="s">
        <v>52</v>
      </c>
      <c r="D136" s="59" t="s">
        <v>1759</v>
      </c>
      <c r="E136" s="65">
        <v>201</v>
      </c>
      <c r="F136" s="67" t="s">
        <v>1816</v>
      </c>
      <c r="G136" s="65">
        <v>20129</v>
      </c>
      <c r="H136" s="67" t="s">
        <v>1817</v>
      </c>
      <c r="I136" s="67" t="s">
        <v>345</v>
      </c>
      <c r="J136" s="67" t="str">
        <f>INDEX(数据元说明!A:F,MATCH(I136,数据元说明!C:C,0),2)</f>
        <v>001005</v>
      </c>
      <c r="K136" s="68" t="str">
        <f>INDEX(数据元说明!A:F,MATCH(I136,数据元说明!C:C,0),5)</f>
        <v>YYYYMMDD，默认值99991231。</v>
      </c>
      <c r="L136" s="67" t="str">
        <f>INDEX(数据元说明!A:F,MATCH(I136,数据元说明!C:C,0),6)</f>
        <v>C8</v>
      </c>
      <c r="M136" s="68"/>
      <c r="N136" s="68"/>
      <c r="O136" s="68"/>
      <c r="P136" s="68"/>
    </row>
    <row r="137" ht="39.95" hidden="1" customHeight="1" outlineLevel="1" spans="1:16">
      <c r="A137" s="63"/>
      <c r="B137" s="64"/>
      <c r="C137" s="59" t="s">
        <v>52</v>
      </c>
      <c r="D137" s="59" t="s">
        <v>1759</v>
      </c>
      <c r="E137" s="65">
        <v>201</v>
      </c>
      <c r="F137" s="67" t="s">
        <v>484</v>
      </c>
      <c r="G137" s="65">
        <v>20130</v>
      </c>
      <c r="H137" s="67" t="s">
        <v>1623</v>
      </c>
      <c r="I137" s="67" t="s">
        <v>484</v>
      </c>
      <c r="J137" s="67" t="str">
        <f>INDEX(数据元说明!A:F,MATCH(I137,数据元说明!C:C,0),2)</f>
        <v>001038</v>
      </c>
      <c r="K137" s="68" t="str">
        <f>INDEX(数据元说明!A:F,MATCH(I137,数据元说明!C:C,0),5)</f>
        <v>银行自定义。</v>
      </c>
      <c r="L137" s="67" t="str">
        <f>INDEX(数据元说明!A:F,MATCH(I137,数据元说明!C:C,0),6)</f>
        <v>C..600</v>
      </c>
      <c r="M137" s="68" t="s">
        <v>1624</v>
      </c>
      <c r="N137" s="68" t="s">
        <v>1601</v>
      </c>
      <c r="O137" s="68"/>
      <c r="P137" s="68"/>
    </row>
    <row r="138" ht="39.95" hidden="1" customHeight="1" outlineLevel="1" spans="1:16">
      <c r="A138" s="63"/>
      <c r="B138" s="64"/>
      <c r="C138" s="59" t="s">
        <v>52</v>
      </c>
      <c r="D138" s="59" t="s">
        <v>1759</v>
      </c>
      <c r="E138" s="65">
        <v>201</v>
      </c>
      <c r="F138" s="67" t="s">
        <v>1625</v>
      </c>
      <c r="G138" s="65">
        <v>20131</v>
      </c>
      <c r="H138" s="67" t="s">
        <v>1626</v>
      </c>
      <c r="I138" s="67" t="s">
        <v>345</v>
      </c>
      <c r="J138" s="67" t="str">
        <f>INDEX(数据元说明!A:F,MATCH(I138,数据元说明!C:C,0),2)</f>
        <v>001005</v>
      </c>
      <c r="K138" s="68" t="str">
        <f>INDEX(数据元说明!A:F,MATCH(I138,数据元说明!C:C,0),5)</f>
        <v>YYYYMMDD，默认值99991231。</v>
      </c>
      <c r="L138" s="67" t="str">
        <f>INDEX(数据元说明!A:F,MATCH(I138,数据元说明!C:C,0),6)</f>
        <v>C8</v>
      </c>
      <c r="M138" s="68" t="s">
        <v>1627</v>
      </c>
      <c r="N138" s="68"/>
      <c r="O138" s="68"/>
      <c r="P138" s="68"/>
    </row>
    <row r="139" ht="39.95" hidden="1" customHeight="1" collapsed="1" spans="1:16">
      <c r="A139" s="70"/>
      <c r="B139" s="71"/>
      <c r="C139" s="59" t="s">
        <v>56</v>
      </c>
      <c r="D139" s="59" t="s">
        <v>1818</v>
      </c>
      <c r="E139" s="65">
        <v>202</v>
      </c>
      <c r="F139" s="67"/>
      <c r="G139" s="65"/>
      <c r="H139" s="67"/>
      <c r="I139" s="67"/>
      <c r="J139" s="67"/>
      <c r="K139" s="68"/>
      <c r="L139" s="67"/>
      <c r="M139" s="68" t="str">
        <f>INDEX(表结构总览!D:G,MATCH(D139,表结构总览!D:D,0),4)</f>
        <v>个人客户的所有关联关系，包括个人对个人、个人对对公的相关关联关系。本人为本人担保的关系不报送。</v>
      </c>
      <c r="N139" s="68" t="s">
        <v>1583</v>
      </c>
      <c r="O139" s="68" t="s">
        <v>1819</v>
      </c>
      <c r="P139" s="68"/>
    </row>
    <row r="140" ht="39.95" hidden="1" customHeight="1" outlineLevel="1" spans="1:16">
      <c r="A140" s="63"/>
      <c r="B140" s="64"/>
      <c r="C140" s="59" t="s">
        <v>56</v>
      </c>
      <c r="D140" s="59" t="s">
        <v>1818</v>
      </c>
      <c r="E140" s="65">
        <v>202</v>
      </c>
      <c r="F140" s="67" t="s">
        <v>373</v>
      </c>
      <c r="G140" s="65">
        <v>20201</v>
      </c>
      <c r="H140" s="67" t="s">
        <v>1588</v>
      </c>
      <c r="I140" s="67" t="s">
        <v>373</v>
      </c>
      <c r="J140" s="67" t="str">
        <f>INDEX(数据元说明!A:F,MATCH(I140,数据元说明!C:C,0),2)</f>
        <v>001011</v>
      </c>
      <c r="K140" s="68" t="str">
        <f>INDEX(数据元说明!A:F,MATCH(I140,数据元说明!C:C,0),5)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0" s="67" t="str">
        <f>INDEX(数据元说明!A:F,MATCH(I140,数据元说明!C:C,0),6)</f>
        <v>C..30</v>
      </c>
      <c r="M140" s="68" t="s">
        <v>1760</v>
      </c>
      <c r="N140" s="68" t="s">
        <v>1583</v>
      </c>
      <c r="O140" s="68" t="s">
        <v>484</v>
      </c>
      <c r="P140" s="68"/>
    </row>
    <row r="141" ht="39.95" hidden="1" customHeight="1" outlineLevel="1" spans="1:16">
      <c r="A141" s="70"/>
      <c r="B141" s="71"/>
      <c r="C141" s="59" t="s">
        <v>56</v>
      </c>
      <c r="D141" s="59" t="s">
        <v>1818</v>
      </c>
      <c r="E141" s="65">
        <v>202</v>
      </c>
      <c r="F141" s="67" t="s">
        <v>377</v>
      </c>
      <c r="G141" s="65">
        <v>20202</v>
      </c>
      <c r="H141" s="67" t="s">
        <v>1586</v>
      </c>
      <c r="I141" s="67" t="s">
        <v>377</v>
      </c>
      <c r="J141" s="67" t="str">
        <f>INDEX(数据元说明!A:F,MATCH(I141,数据元说明!C:C,0),2)</f>
        <v>001012</v>
      </c>
      <c r="K141" s="68" t="str">
        <f>INDEX(数据元说明!A:F,MATCH(I141,数据元说明!C:C,0),5)</f>
        <v>银行内部机构号。应具有标识机构的唯一性。</v>
      </c>
      <c r="L141" s="67" t="str">
        <f>INDEX(数据元说明!A:F,MATCH(I141,数据元说明!C:C,0),6)</f>
        <v>C..30</v>
      </c>
      <c r="M141" s="68" t="s">
        <v>1820</v>
      </c>
      <c r="N141" s="68"/>
      <c r="O141" s="68"/>
      <c r="P141" s="68"/>
    </row>
    <row r="142" ht="39.95" hidden="1" customHeight="1" outlineLevel="1" spans="1:16">
      <c r="A142" s="70"/>
      <c r="B142" s="71"/>
      <c r="C142" s="59" t="s">
        <v>56</v>
      </c>
      <c r="D142" s="59" t="s">
        <v>1818</v>
      </c>
      <c r="E142" s="65">
        <v>202</v>
      </c>
      <c r="F142" s="67" t="s">
        <v>488</v>
      </c>
      <c r="G142" s="65">
        <v>20203</v>
      </c>
      <c r="H142" s="67" t="s">
        <v>1699</v>
      </c>
      <c r="I142" s="67" t="s">
        <v>488</v>
      </c>
      <c r="J142" s="67" t="str">
        <f>INDEX(数据元说明!A:F,MATCH(I142,数据元说明!C:C,0),2)</f>
        <v>002001</v>
      </c>
      <c r="K142" s="68" t="str">
        <f>INDEX(数据元说明!A:F,MATCH(I142,数据元说明!C:C,0),5)</f>
        <v>银行自定义的唯一识别客户的标识。供应链融资的填写供应链融资编码。</v>
      </c>
      <c r="L142" s="67" t="str">
        <f>INDEX(数据元说明!A:F,MATCH(I142,数据元说明!C:C,0),6)</f>
        <v>C..60</v>
      </c>
      <c r="M142" s="68" t="s">
        <v>1821</v>
      </c>
      <c r="N142" s="68" t="s">
        <v>1583</v>
      </c>
      <c r="O142" s="68"/>
      <c r="P142" s="68" t="s">
        <v>1634</v>
      </c>
    </row>
    <row r="143" ht="39.95" hidden="1" customHeight="1" outlineLevel="1" spans="1:16">
      <c r="A143" s="70"/>
      <c r="B143" s="71"/>
      <c r="C143" s="59" t="s">
        <v>56</v>
      </c>
      <c r="D143" s="59" t="s">
        <v>1818</v>
      </c>
      <c r="E143" s="65">
        <v>202</v>
      </c>
      <c r="F143" s="67" t="s">
        <v>1764</v>
      </c>
      <c r="G143" s="65">
        <v>20204</v>
      </c>
      <c r="H143" s="67" t="s">
        <v>1765</v>
      </c>
      <c r="I143" s="67" t="s">
        <v>393</v>
      </c>
      <c r="J143" s="67" t="str">
        <f>INDEX(数据元说明!A:F,MATCH(I143,数据元说明!C:C,0),2)</f>
        <v>001016</v>
      </c>
      <c r="K143" s="68" t="str">
        <f>INDEX(数据元说明!A:F,MATCH(I143,数据元说明!C:C,0),5)</f>
        <v>姓名。</v>
      </c>
      <c r="L143" s="67" t="str">
        <f>INDEX(数据元说明!A:F,MATCH(I143,数据元说明!C:C,0),6)</f>
        <v>C..150</v>
      </c>
      <c r="M143" s="68" t="s">
        <v>1766</v>
      </c>
      <c r="N143" s="68" t="s">
        <v>1601</v>
      </c>
      <c r="O143" s="68"/>
      <c r="P143" s="68"/>
    </row>
    <row r="144" ht="39.95" hidden="1" customHeight="1" outlineLevel="1" spans="1:16">
      <c r="A144" s="70"/>
      <c r="B144" s="71"/>
      <c r="C144" s="59" t="s">
        <v>56</v>
      </c>
      <c r="D144" s="59" t="s">
        <v>1818</v>
      </c>
      <c r="E144" s="65">
        <v>202</v>
      </c>
      <c r="F144" s="67" t="s">
        <v>492</v>
      </c>
      <c r="G144" s="65">
        <v>20205</v>
      </c>
      <c r="H144" s="67" t="s">
        <v>1639</v>
      </c>
      <c r="I144" s="67" t="s">
        <v>492</v>
      </c>
      <c r="J144" s="67" t="str">
        <f>INDEX(数据元说明!A:F,MATCH(I144,数据元说明!C:C,0),2)</f>
        <v>002002</v>
      </c>
      <c r="K144" s="68" t="str">
        <f>INDEX(数据元说明!A:F,MATCH(I144,数据元说明!C:C,0),5)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44" s="67" t="str">
        <f>INDEX(数据元说明!A:F,MATCH(I144,数据元说明!C:C,0),6)</f>
        <v>C..60</v>
      </c>
      <c r="M144" s="68"/>
      <c r="N144" s="68" t="s">
        <v>1601</v>
      </c>
      <c r="O144" s="68"/>
      <c r="P144" s="68"/>
    </row>
    <row r="145" ht="39.95" hidden="1" customHeight="1" outlineLevel="1" spans="1:16">
      <c r="A145" s="63"/>
      <c r="B145" s="64"/>
      <c r="C145" s="59" t="s">
        <v>56</v>
      </c>
      <c r="D145" s="59" t="s">
        <v>1818</v>
      </c>
      <c r="E145" s="65">
        <v>202</v>
      </c>
      <c r="F145" s="67" t="s">
        <v>496</v>
      </c>
      <c r="G145" s="65">
        <v>20206</v>
      </c>
      <c r="H145" s="67" t="s">
        <v>1640</v>
      </c>
      <c r="I145" s="67" t="s">
        <v>496</v>
      </c>
      <c r="J145" s="67" t="str">
        <f>INDEX(数据元说明!A:F,MATCH(I145,数据元说明!C:C,0),2)</f>
        <v>002003</v>
      </c>
      <c r="K145" s="68" t="str">
        <f>INDEX(数据元说明!A:F,MATCH(I145,数据元说明!C:C,0),5)</f>
        <v>与证件类别对应的证件号码。涉及个人身份证件时需按照本规范给定规则进行脱敏处理。</v>
      </c>
      <c r="L145" s="67" t="str">
        <f>INDEX(数据元说明!A:F,MATCH(I145,数据元说明!C:C,0),6)</f>
        <v>C..70</v>
      </c>
      <c r="M145" s="68" t="s">
        <v>1641</v>
      </c>
      <c r="N145" s="68" t="s">
        <v>1601</v>
      </c>
      <c r="O145" s="68"/>
      <c r="P145" s="68"/>
    </row>
    <row r="146" ht="39.95" hidden="1" customHeight="1" outlineLevel="1" spans="1:16">
      <c r="A146" s="70"/>
      <c r="B146" s="71"/>
      <c r="C146" s="59" t="s">
        <v>56</v>
      </c>
      <c r="D146" s="59" t="s">
        <v>1818</v>
      </c>
      <c r="E146" s="65">
        <v>202</v>
      </c>
      <c r="F146" s="67" t="s">
        <v>560</v>
      </c>
      <c r="G146" s="65">
        <v>20207</v>
      </c>
      <c r="H146" s="67" t="s">
        <v>1718</v>
      </c>
      <c r="I146" s="67" t="s">
        <v>526</v>
      </c>
      <c r="J146" s="67" t="str">
        <f>INDEX(数据元说明!A:F,MATCH(I146,数据元说明!C:C,0),2)</f>
        <v>002010</v>
      </c>
      <c r="K146" s="68" t="str">
        <f>INDEX(数据元说明!A:F,MATCH(I146,数据元说明!C:C,0),5)</f>
        <v>配偶，父母，子女，亲属关系，朋友，同事，合作伙伴，离异原配偶，其他-银行自定义。无法以枚举类型填报的，以“其他-XX”填报，其中“XX”为银行自定义类型。</v>
      </c>
      <c r="L146" s="67" t="str">
        <f>INDEX(数据元说明!A:F,MATCH(I146,数据元说明!C:C,0),6)</f>
        <v>C..60</v>
      </c>
      <c r="M146" s="68" t="s">
        <v>1679</v>
      </c>
      <c r="N146" s="68" t="s">
        <v>1583</v>
      </c>
      <c r="O146" s="68" t="s">
        <v>321</v>
      </c>
      <c r="P146" s="68"/>
    </row>
    <row r="147" ht="39.95" hidden="1" customHeight="1" outlineLevel="1" spans="1:16">
      <c r="A147" s="70"/>
      <c r="B147" s="71"/>
      <c r="C147" s="59" t="s">
        <v>56</v>
      </c>
      <c r="D147" s="59" t="s">
        <v>1818</v>
      </c>
      <c r="E147" s="65">
        <v>202</v>
      </c>
      <c r="F147" s="73" t="s">
        <v>1822</v>
      </c>
      <c r="G147" s="65">
        <v>20208</v>
      </c>
      <c r="H147" s="73" t="s">
        <v>1823</v>
      </c>
      <c r="I147" s="73" t="s">
        <v>488</v>
      </c>
      <c r="J147" s="67" t="str">
        <f>INDEX(数据元说明!A:F,MATCH(I147,数据元说明!C:C,0),2)</f>
        <v>002001</v>
      </c>
      <c r="K147" s="68" t="str">
        <f>INDEX(数据元说明!A:F,MATCH(I147,数据元说明!C:C,0),5)</f>
        <v>银行自定义的唯一识别客户的标识。供应链融资的填写供应链融资编码。</v>
      </c>
      <c r="L147" s="67" t="str">
        <f>INDEX(数据元说明!A:F,MATCH(I147,数据元说明!C:C,0),6)</f>
        <v>C..60</v>
      </c>
      <c r="M147" s="68" t="s">
        <v>1824</v>
      </c>
      <c r="N147" s="68" t="s">
        <v>1583</v>
      </c>
      <c r="O147" s="68" t="s">
        <v>1574</v>
      </c>
      <c r="P147" s="68"/>
    </row>
    <row r="148" ht="39.95" hidden="1" customHeight="1" outlineLevel="1" spans="1:16">
      <c r="A148" s="70"/>
      <c r="B148" s="71"/>
      <c r="C148" s="59" t="s">
        <v>56</v>
      </c>
      <c r="D148" s="59" t="s">
        <v>1818</v>
      </c>
      <c r="E148" s="65">
        <v>202</v>
      </c>
      <c r="F148" s="67" t="s">
        <v>1825</v>
      </c>
      <c r="G148" s="65">
        <v>20209</v>
      </c>
      <c r="H148" s="67" t="s">
        <v>1826</v>
      </c>
      <c r="I148" s="67" t="s">
        <v>325</v>
      </c>
      <c r="J148" s="67" t="str">
        <f>INDEX(数据元说明!A:F,MATCH(I148,数据元说明!C:C,0),2)</f>
        <v>001001</v>
      </c>
      <c r="K148" s="68" t="str">
        <f>INDEX(数据元说明!A:F,MATCH(I148,数据元说明!C:C,0),5)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8" s="67" t="str">
        <f>INDEX(数据元说明!A:F,MATCH(I148,数据元说明!C:C,0),6)</f>
        <v>C..450</v>
      </c>
      <c r="M148" s="68" t="s">
        <v>1766</v>
      </c>
      <c r="N148" s="68" t="s">
        <v>1583</v>
      </c>
      <c r="O148" s="68" t="s">
        <v>484</v>
      </c>
      <c r="P148" s="68"/>
    </row>
    <row r="149" ht="39.95" hidden="1" customHeight="1" outlineLevel="1" spans="1:16">
      <c r="A149" s="70"/>
      <c r="B149" s="71"/>
      <c r="C149" s="59" t="s">
        <v>56</v>
      </c>
      <c r="D149" s="59" t="s">
        <v>1818</v>
      </c>
      <c r="E149" s="65">
        <v>202</v>
      </c>
      <c r="F149" s="67" t="s">
        <v>1827</v>
      </c>
      <c r="G149" s="65">
        <v>20210</v>
      </c>
      <c r="H149" s="67" t="s">
        <v>1828</v>
      </c>
      <c r="I149" s="67" t="s">
        <v>492</v>
      </c>
      <c r="J149" s="67" t="str">
        <f>INDEX(数据元说明!A:F,MATCH(I149,数据元说明!C:C,0),2)</f>
        <v>002002</v>
      </c>
      <c r="K149" s="68" t="str">
        <f>INDEX(数据元说明!A:F,MATCH(I149,数据元说明!C:C,0),5)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49" s="67" t="str">
        <f>INDEX(数据元说明!A:F,MATCH(I149,数据元说明!C:C,0),6)</f>
        <v>C..60</v>
      </c>
      <c r="M149" s="68" t="s">
        <v>1829</v>
      </c>
      <c r="N149" s="68" t="s">
        <v>1601</v>
      </c>
      <c r="O149" s="68"/>
      <c r="P149" s="68"/>
    </row>
    <row r="150" ht="39.95" hidden="1" customHeight="1" outlineLevel="1" spans="1:16">
      <c r="A150" s="70"/>
      <c r="B150" s="71"/>
      <c r="C150" s="59" t="s">
        <v>56</v>
      </c>
      <c r="D150" s="59" t="s">
        <v>1818</v>
      </c>
      <c r="E150" s="65">
        <v>202</v>
      </c>
      <c r="F150" s="67" t="s">
        <v>1830</v>
      </c>
      <c r="G150" s="65">
        <v>20211</v>
      </c>
      <c r="H150" s="67" t="s">
        <v>1831</v>
      </c>
      <c r="I150" s="67" t="s">
        <v>496</v>
      </c>
      <c r="J150" s="67" t="str">
        <f>INDEX(数据元说明!A:F,MATCH(I150,数据元说明!C:C,0),2)</f>
        <v>002003</v>
      </c>
      <c r="K150" s="68" t="str">
        <f>INDEX(数据元说明!A:F,MATCH(I150,数据元说明!C:C,0),5)</f>
        <v>与证件类别对应的证件号码。涉及个人身份证件时需按照本规范给定规则进行脱敏处理。</v>
      </c>
      <c r="L150" s="67" t="str">
        <f>INDEX(数据元说明!A:F,MATCH(I150,数据元说明!C:C,0),6)</f>
        <v>C..70</v>
      </c>
      <c r="M150" s="68" t="s">
        <v>1679</v>
      </c>
      <c r="N150" s="68" t="s">
        <v>1601</v>
      </c>
      <c r="O150" s="68"/>
      <c r="P150" s="68"/>
    </row>
    <row r="151" ht="39.95" hidden="1" customHeight="1" outlineLevel="1" spans="1:16">
      <c r="A151" s="70"/>
      <c r="B151" s="71"/>
      <c r="C151" s="59" t="s">
        <v>56</v>
      </c>
      <c r="D151" s="59" t="s">
        <v>1818</v>
      </c>
      <c r="E151" s="65">
        <v>202</v>
      </c>
      <c r="F151" s="67" t="s">
        <v>1832</v>
      </c>
      <c r="G151" s="65">
        <v>20212</v>
      </c>
      <c r="H151" s="67" t="s">
        <v>1833</v>
      </c>
      <c r="I151" s="67" t="s">
        <v>1045</v>
      </c>
      <c r="J151" s="67" t="str">
        <f>INDEX(数据元说明!A:F,MATCH(I151,数据元说明!C:C,0),2)</f>
        <v>007008</v>
      </c>
      <c r="K151" s="68" t="str">
        <f>INDEX(数据元说明!A:F,MATCH(I151,数据元说明!C:C,0),5)</f>
        <v>有效，无效。</v>
      </c>
      <c r="L151" s="67" t="str">
        <f>INDEX(数据元说明!A:F,MATCH(I151,数据元说明!C:C,0),6)</f>
        <v>C6</v>
      </c>
      <c r="M151" s="68" t="s">
        <v>1834</v>
      </c>
      <c r="N151" s="68" t="s">
        <v>1601</v>
      </c>
      <c r="O151" s="68"/>
      <c r="P151" s="68"/>
    </row>
    <row r="152" ht="39.95" hidden="1" customHeight="1" outlineLevel="1" spans="1:16">
      <c r="A152" s="63"/>
      <c r="B152" s="64"/>
      <c r="C152" s="59" t="s">
        <v>56</v>
      </c>
      <c r="D152" s="59" t="s">
        <v>1818</v>
      </c>
      <c r="E152" s="65">
        <v>202</v>
      </c>
      <c r="F152" s="67" t="s">
        <v>484</v>
      </c>
      <c r="G152" s="65">
        <v>20213</v>
      </c>
      <c r="H152" s="67" t="s">
        <v>1623</v>
      </c>
      <c r="I152" s="67" t="s">
        <v>484</v>
      </c>
      <c r="J152" s="67" t="str">
        <f>INDEX(数据元说明!A:F,MATCH(I152,数据元说明!C:C,0),2)</f>
        <v>001038</v>
      </c>
      <c r="K152" s="68" t="str">
        <f>INDEX(数据元说明!A:F,MATCH(I152,数据元说明!C:C,0),5)</f>
        <v>银行自定义。</v>
      </c>
      <c r="L152" s="67" t="str">
        <f>INDEX(数据元说明!A:F,MATCH(I152,数据元说明!C:C,0),6)</f>
        <v>C..600</v>
      </c>
      <c r="M152" s="68" t="s">
        <v>1624</v>
      </c>
      <c r="N152" s="68" t="s">
        <v>1601</v>
      </c>
      <c r="O152" s="68"/>
      <c r="P152" s="68"/>
    </row>
    <row r="153" ht="39.95" hidden="1" customHeight="1" outlineLevel="1" spans="1:16">
      <c r="A153" s="63"/>
      <c r="B153" s="64"/>
      <c r="C153" s="59" t="s">
        <v>56</v>
      </c>
      <c r="D153" s="59" t="s">
        <v>1818</v>
      </c>
      <c r="E153" s="65">
        <v>202</v>
      </c>
      <c r="F153" s="67" t="s">
        <v>1625</v>
      </c>
      <c r="G153" s="65">
        <v>20214</v>
      </c>
      <c r="H153" s="67" t="s">
        <v>1626</v>
      </c>
      <c r="I153" s="67" t="s">
        <v>345</v>
      </c>
      <c r="J153" s="67" t="str">
        <f>INDEX(数据元说明!A:F,MATCH(I153,数据元说明!C:C,0),2)</f>
        <v>001005</v>
      </c>
      <c r="K153" s="68" t="str">
        <f>INDEX(数据元说明!A:F,MATCH(I153,数据元说明!C:C,0),5)</f>
        <v>YYYYMMDD，默认值99991231。</v>
      </c>
      <c r="L153" s="67" t="str">
        <f>INDEX(数据元说明!A:F,MATCH(I153,数据元说明!C:C,0),6)</f>
        <v>C8</v>
      </c>
      <c r="M153" s="68" t="s">
        <v>1627</v>
      </c>
      <c r="N153" s="68"/>
      <c r="O153" s="68"/>
      <c r="P153" s="68"/>
    </row>
    <row r="154" ht="39.95" hidden="1" customHeight="1" collapsed="1" spans="1:16">
      <c r="A154" s="70"/>
      <c r="B154" s="71"/>
      <c r="C154" s="59" t="s">
        <v>60</v>
      </c>
      <c r="D154" s="59" t="s">
        <v>1835</v>
      </c>
      <c r="E154" s="65">
        <v>203</v>
      </c>
      <c r="F154" s="67"/>
      <c r="G154" s="65"/>
      <c r="H154" s="67"/>
      <c r="I154" s="67"/>
      <c r="J154" s="67"/>
      <c r="K154" s="68"/>
      <c r="L154" s="67"/>
      <c r="M154" s="68" t="str">
        <f>INDEX(表结构总览!D:G,MATCH(D154,表结构总览!D:D,0),4)</f>
        <v>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v>
      </c>
      <c r="N154" s="68" t="s">
        <v>1583</v>
      </c>
      <c r="O154" s="68" t="s">
        <v>1836</v>
      </c>
      <c r="P154" s="68"/>
    </row>
    <row r="155" ht="39.95" hidden="1" customHeight="1" outlineLevel="1" spans="1:16">
      <c r="A155" s="63"/>
      <c r="B155" s="64"/>
      <c r="C155" s="59" t="s">
        <v>60</v>
      </c>
      <c r="D155" s="59" t="s">
        <v>1835</v>
      </c>
      <c r="E155" s="65">
        <v>203</v>
      </c>
      <c r="F155" s="67" t="s">
        <v>373</v>
      </c>
      <c r="G155" s="65">
        <v>20301</v>
      </c>
      <c r="H155" s="67" t="s">
        <v>1588</v>
      </c>
      <c r="I155" s="67" t="s">
        <v>373</v>
      </c>
      <c r="J155" s="67" t="str">
        <f>INDEX(数据元说明!A:F,MATCH(I155,数据元说明!C:C,0),2)</f>
        <v>001011</v>
      </c>
      <c r="K155" s="68" t="str">
        <f>INDEX(数据元说明!A:F,MATCH(I155,数据元说明!C:C,0),5)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5" s="67" t="str">
        <f>INDEX(数据元说明!A:F,MATCH(I155,数据元说明!C:C,0),6)</f>
        <v>C..30</v>
      </c>
      <c r="M155" s="68" t="s">
        <v>1760</v>
      </c>
      <c r="N155" s="68" t="s">
        <v>1583</v>
      </c>
      <c r="O155" s="68" t="s">
        <v>484</v>
      </c>
      <c r="P155" s="68"/>
    </row>
    <row r="156" ht="39.95" hidden="1" customHeight="1" outlineLevel="1" spans="1:16">
      <c r="A156" s="63"/>
      <c r="B156" s="64"/>
      <c r="C156" s="59" t="s">
        <v>60</v>
      </c>
      <c r="D156" s="59" t="s">
        <v>1835</v>
      </c>
      <c r="E156" s="65">
        <v>203</v>
      </c>
      <c r="F156" s="67" t="s">
        <v>377</v>
      </c>
      <c r="G156" s="65">
        <v>20302</v>
      </c>
      <c r="H156" s="67" t="s">
        <v>1586</v>
      </c>
      <c r="I156" s="67" t="s">
        <v>377</v>
      </c>
      <c r="J156" s="67" t="str">
        <f>INDEX(数据元说明!A:F,MATCH(I156,数据元说明!C:C,0),2)</f>
        <v>001012</v>
      </c>
      <c r="K156" s="68" t="str">
        <f>INDEX(数据元说明!A:F,MATCH(I156,数据元说明!C:C,0),5)</f>
        <v>银行内部机构号。应具有标识机构的唯一性。</v>
      </c>
      <c r="L156" s="67" t="str">
        <f>INDEX(数据元说明!A:F,MATCH(I156,数据元说明!C:C,0),6)</f>
        <v>C..30</v>
      </c>
      <c r="M156" s="68" t="s">
        <v>1761</v>
      </c>
      <c r="N156" s="68"/>
      <c r="O156" s="68"/>
      <c r="P156" s="68"/>
    </row>
    <row r="157" ht="39.95" hidden="1" customHeight="1" outlineLevel="1" spans="1:16">
      <c r="A157" s="63"/>
      <c r="B157" s="64"/>
      <c r="C157" s="59" t="s">
        <v>60</v>
      </c>
      <c r="D157" s="59" t="s">
        <v>1835</v>
      </c>
      <c r="E157" s="65">
        <v>203</v>
      </c>
      <c r="F157" s="67" t="s">
        <v>1592</v>
      </c>
      <c r="G157" s="65">
        <v>20303</v>
      </c>
      <c r="H157" s="67" t="s">
        <v>1593</v>
      </c>
      <c r="I157" s="67" t="s">
        <v>325</v>
      </c>
      <c r="J157" s="67" t="str">
        <f>INDEX(数据元说明!A:F,MATCH(I157,数据元说明!C:C,0),2)</f>
        <v>001001</v>
      </c>
      <c r="K157" s="68" t="str">
        <f>INDEX(数据元说明!A:F,MATCH(I157,数据元说明!C:C,0),5)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7" s="67" t="str">
        <f>INDEX(数据元说明!A:F,MATCH(I157,数据元说明!C:C,0),6)</f>
        <v>C..450</v>
      </c>
      <c r="M157" s="68" t="s">
        <v>1762</v>
      </c>
      <c r="N157" s="68" t="s">
        <v>1601</v>
      </c>
      <c r="O157" s="68"/>
      <c r="P157" s="68"/>
    </row>
    <row r="158" ht="39.95" hidden="1" customHeight="1" outlineLevel="1" spans="1:16">
      <c r="A158" s="70"/>
      <c r="B158" s="71"/>
      <c r="C158" s="59" t="s">
        <v>60</v>
      </c>
      <c r="D158" s="59" t="s">
        <v>1835</v>
      </c>
      <c r="E158" s="65">
        <v>203</v>
      </c>
      <c r="F158" s="67" t="s">
        <v>488</v>
      </c>
      <c r="G158" s="65">
        <v>20304</v>
      </c>
      <c r="H158" s="67" t="s">
        <v>1699</v>
      </c>
      <c r="I158" s="67" t="s">
        <v>488</v>
      </c>
      <c r="J158" s="67" t="str">
        <f>INDEX(数据元说明!A:F,MATCH(I158,数据元说明!C:C,0),2)</f>
        <v>002001</v>
      </c>
      <c r="K158" s="68" t="str">
        <f>INDEX(数据元说明!A:F,MATCH(I158,数据元说明!C:C,0),5)</f>
        <v>银行自定义的唯一识别客户的标识。供应链融资的填写供应链融资编码。</v>
      </c>
      <c r="L158" s="67" t="str">
        <f>INDEX(数据元说明!A:F,MATCH(I158,数据元说明!C:C,0),6)</f>
        <v>C..60</v>
      </c>
      <c r="M158" s="68" t="s">
        <v>1763</v>
      </c>
      <c r="N158" s="68" t="s">
        <v>1583</v>
      </c>
      <c r="O158" s="68"/>
      <c r="P158" s="68" t="s">
        <v>1634</v>
      </c>
    </row>
    <row r="159" ht="39.95" hidden="1" customHeight="1" outlineLevel="1" spans="1:16">
      <c r="A159" s="63"/>
      <c r="B159" s="64"/>
      <c r="C159" s="59" t="s">
        <v>60</v>
      </c>
      <c r="D159" s="59" t="s">
        <v>1835</v>
      </c>
      <c r="E159" s="65">
        <v>203</v>
      </c>
      <c r="F159" s="67" t="s">
        <v>1837</v>
      </c>
      <c r="G159" s="65">
        <v>20305</v>
      </c>
      <c r="H159" s="67" t="s">
        <v>1838</v>
      </c>
      <c r="I159" s="67" t="s">
        <v>325</v>
      </c>
      <c r="J159" s="67" t="str">
        <f>INDEX(数据元说明!A:F,MATCH(I159,数据元说明!C:C,0),2)</f>
        <v>001001</v>
      </c>
      <c r="K159" s="68" t="str">
        <f>INDEX(数据元说明!A:F,MATCH(I159,数据元说明!C:C,0),5)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9" s="67" t="str">
        <f>INDEX(数据元说明!A:F,MATCH(I159,数据元说明!C:C,0),6)</f>
        <v>C..450</v>
      </c>
      <c r="M159" s="68" t="s">
        <v>1839</v>
      </c>
      <c r="N159" s="68" t="s">
        <v>1583</v>
      </c>
      <c r="O159" s="68" t="s">
        <v>1695</v>
      </c>
      <c r="P159" s="68"/>
    </row>
    <row r="160" ht="39.95" hidden="1" customHeight="1" outlineLevel="1" spans="1:16">
      <c r="A160" s="70"/>
      <c r="B160" s="71"/>
      <c r="C160" s="59" t="s">
        <v>60</v>
      </c>
      <c r="D160" s="59" t="s">
        <v>1835</v>
      </c>
      <c r="E160" s="65">
        <v>203</v>
      </c>
      <c r="F160" s="67" t="s">
        <v>1767</v>
      </c>
      <c r="G160" s="65">
        <v>20306</v>
      </c>
      <c r="H160" s="67" t="s">
        <v>1840</v>
      </c>
      <c r="I160" s="67" t="s">
        <v>584</v>
      </c>
      <c r="J160" s="67" t="str">
        <f>INDEX(数据元说明!A:F,MATCH(I160,数据元说明!C:C,0),2)</f>
        <v>002024</v>
      </c>
      <c r="K160" s="68" t="str">
        <f>INDEX(数据元说明!A:F,MATCH(I160,数据元说明!C:C,0),5)</f>
        <v>集团客户，单一法人客户，同业客户，政府机关，事业单位，社会团体，境外机构，其他-银行自定义类型。无法以枚举类型填报的，以“其他-XX”填报，其中“XX”为银行自定义类型。</v>
      </c>
      <c r="L160" s="67" t="str">
        <f>INDEX(数据元说明!A:F,MATCH(I160,数据元说明!C:C,0),6)</f>
        <v>C..60</v>
      </c>
      <c r="M160" s="68" t="s">
        <v>1841</v>
      </c>
      <c r="N160" s="68" t="s">
        <v>1583</v>
      </c>
      <c r="O160" s="68" t="s">
        <v>322</v>
      </c>
      <c r="P160" s="68"/>
    </row>
    <row r="161" ht="39.95" hidden="1" customHeight="1" outlineLevel="1" spans="1:16">
      <c r="A161" s="70"/>
      <c r="B161" s="71"/>
      <c r="C161" s="59" t="s">
        <v>60</v>
      </c>
      <c r="D161" s="59" t="s">
        <v>1835</v>
      </c>
      <c r="E161" s="65">
        <v>203</v>
      </c>
      <c r="F161" s="67" t="s">
        <v>492</v>
      </c>
      <c r="G161" s="65">
        <v>20307</v>
      </c>
      <c r="H161" s="67" t="s">
        <v>1639</v>
      </c>
      <c r="I161" s="67" t="s">
        <v>492</v>
      </c>
      <c r="J161" s="67" t="str">
        <f>INDEX(数据元说明!A:F,MATCH(I161,数据元说明!C:C,0),2)</f>
        <v>002002</v>
      </c>
      <c r="K161" s="68" t="str">
        <f>INDEX(数据元说明!A:F,MATCH(I161,数据元说明!C:C,0),5)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61" s="67" t="str">
        <f>INDEX(数据元说明!A:F,MATCH(I161,数据元说明!C:C,0),6)</f>
        <v>C..60</v>
      </c>
      <c r="M161" s="68" t="s">
        <v>1842</v>
      </c>
      <c r="N161" s="68" t="s">
        <v>1601</v>
      </c>
      <c r="O161" s="68"/>
      <c r="P161" s="68"/>
    </row>
    <row r="162" ht="39.95" hidden="1" customHeight="1" outlineLevel="1" spans="1:16">
      <c r="A162" s="70"/>
      <c r="B162" s="71"/>
      <c r="C162" s="59" t="s">
        <v>60</v>
      </c>
      <c r="D162" s="59" t="s">
        <v>1835</v>
      </c>
      <c r="E162" s="65">
        <v>203</v>
      </c>
      <c r="F162" s="67" t="s">
        <v>496</v>
      </c>
      <c r="G162" s="65">
        <v>20308</v>
      </c>
      <c r="H162" s="67" t="s">
        <v>1640</v>
      </c>
      <c r="I162" s="67" t="s">
        <v>496</v>
      </c>
      <c r="J162" s="67" t="str">
        <f>INDEX(数据元说明!A:F,MATCH(I162,数据元说明!C:C,0),2)</f>
        <v>002003</v>
      </c>
      <c r="K162" s="68" t="str">
        <f>INDEX(数据元说明!A:F,MATCH(I162,数据元说明!C:C,0),5)</f>
        <v>与证件类别对应的证件号码。涉及个人身份证件时需按照本规范给定规则进行脱敏处理。</v>
      </c>
      <c r="L162" s="67" t="str">
        <f>INDEX(数据元说明!A:F,MATCH(I162,数据元说明!C:C,0),6)</f>
        <v>C..70</v>
      </c>
      <c r="M162" s="68" t="s">
        <v>1843</v>
      </c>
      <c r="N162" s="68" t="s">
        <v>1583</v>
      </c>
      <c r="O162" s="68" t="s">
        <v>1576</v>
      </c>
      <c r="P162" s="68" t="s">
        <v>1634</v>
      </c>
    </row>
    <row r="163" ht="39.95" hidden="1" customHeight="1" outlineLevel="1" spans="1:16">
      <c r="A163" s="63"/>
      <c r="B163" s="64"/>
      <c r="C163" s="59" t="s">
        <v>60</v>
      </c>
      <c r="D163" s="59" t="s">
        <v>1835</v>
      </c>
      <c r="E163" s="65">
        <v>203</v>
      </c>
      <c r="F163" s="67" t="s">
        <v>530</v>
      </c>
      <c r="G163" s="65">
        <v>20309</v>
      </c>
      <c r="H163" s="67" t="s">
        <v>1844</v>
      </c>
      <c r="I163" s="67" t="s">
        <v>530</v>
      </c>
      <c r="J163" s="67" t="str">
        <f>INDEX(数据元说明!A:F,MATCH(I163,数据元说明!C:C,0),2)</f>
        <v>002011</v>
      </c>
      <c r="K163" s="68" t="str">
        <f>INDEX(数据元说明!A:F,MATCH(I163,数据元说明!C:C,0),5)</f>
        <v>该对公客户法人代表。依照法律或者法人组织章程规定，代表法人行使职权的负责人姓名。</v>
      </c>
      <c r="L163" s="67" t="str">
        <f>INDEX(数据元说明!A:F,MATCH(I163,数据元说明!C:C,0),6)</f>
        <v>C..150</v>
      </c>
      <c r="M163" s="68" t="s">
        <v>1845</v>
      </c>
      <c r="N163" s="68"/>
      <c r="O163" s="68"/>
      <c r="P163" s="68"/>
    </row>
    <row r="164" ht="39.95" hidden="1" customHeight="1" outlineLevel="1" spans="1:16">
      <c r="A164" s="63"/>
      <c r="B164" s="64"/>
      <c r="C164" s="59" t="s">
        <v>60</v>
      </c>
      <c r="D164" s="59" t="s">
        <v>1835</v>
      </c>
      <c r="E164" s="65">
        <v>203</v>
      </c>
      <c r="F164" s="67" t="s">
        <v>1846</v>
      </c>
      <c r="G164" s="65">
        <v>20310</v>
      </c>
      <c r="H164" s="67" t="s">
        <v>1847</v>
      </c>
      <c r="I164" s="67" t="s">
        <v>492</v>
      </c>
      <c r="J164" s="67" t="str">
        <f>INDEX(数据元说明!A:F,MATCH(I164,数据元说明!C:C,0),2)</f>
        <v>002002</v>
      </c>
      <c r="K164" s="68" t="str">
        <f>INDEX(数据元说明!A:F,MATCH(I164,数据元说明!C:C,0),5)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64" s="67" t="str">
        <f>INDEX(数据元说明!A:F,MATCH(I164,数据元说明!C:C,0),6)</f>
        <v>C..60</v>
      </c>
      <c r="M164" s="68" t="s">
        <v>1848</v>
      </c>
      <c r="N164" s="68"/>
      <c r="O164" s="68"/>
      <c r="P164" s="68"/>
    </row>
    <row r="165" ht="39.95" hidden="1" customHeight="1" outlineLevel="1" spans="1:16">
      <c r="A165" s="63"/>
      <c r="B165" s="64"/>
      <c r="C165" s="59" t="s">
        <v>60</v>
      </c>
      <c r="D165" s="59" t="s">
        <v>1835</v>
      </c>
      <c r="E165" s="65">
        <v>203</v>
      </c>
      <c r="F165" s="67" t="s">
        <v>1849</v>
      </c>
      <c r="G165" s="65">
        <v>20311</v>
      </c>
      <c r="H165" s="67" t="s">
        <v>1850</v>
      </c>
      <c r="I165" s="67" t="s">
        <v>496</v>
      </c>
      <c r="J165" s="67" t="str">
        <f>INDEX(数据元说明!A:F,MATCH(I165,数据元说明!C:C,0),2)</f>
        <v>002003</v>
      </c>
      <c r="K165" s="68" t="str">
        <f>INDEX(数据元说明!A:F,MATCH(I165,数据元说明!C:C,0),5)</f>
        <v>与证件类别对应的证件号码。涉及个人身份证件时需按照本规范给定规则进行脱敏处理。</v>
      </c>
      <c r="L165" s="67" t="str">
        <f>INDEX(数据元说明!A:F,MATCH(I165,数据元说明!C:C,0),6)</f>
        <v>C..70</v>
      </c>
      <c r="M165" s="68" t="s">
        <v>1851</v>
      </c>
      <c r="N165" s="68" t="s">
        <v>1583</v>
      </c>
      <c r="O165" s="68" t="s">
        <v>322</v>
      </c>
      <c r="P165" s="68"/>
    </row>
    <row r="166" ht="39.95" hidden="1" customHeight="1" outlineLevel="1" spans="1:16">
      <c r="A166" s="63"/>
      <c r="B166" s="64"/>
      <c r="C166" s="59" t="s">
        <v>60</v>
      </c>
      <c r="D166" s="59" t="s">
        <v>1835</v>
      </c>
      <c r="E166" s="65">
        <v>203</v>
      </c>
      <c r="F166" s="67" t="s">
        <v>1852</v>
      </c>
      <c r="G166" s="65">
        <v>20312</v>
      </c>
      <c r="H166" s="67" t="s">
        <v>1853</v>
      </c>
      <c r="I166" s="67" t="s">
        <v>393</v>
      </c>
      <c r="J166" s="67" t="str">
        <f>INDEX(数据元说明!A:F,MATCH(I166,数据元说明!C:C,0),2)</f>
        <v>001016</v>
      </c>
      <c r="K166" s="68" t="str">
        <f>INDEX(数据元说明!A:F,MATCH(I166,数据元说明!C:C,0),5)</f>
        <v>姓名。</v>
      </c>
      <c r="L166" s="67" t="str">
        <f>INDEX(数据元说明!A:F,MATCH(I166,数据元说明!C:C,0),6)</f>
        <v>C..150</v>
      </c>
      <c r="M166" s="68" t="s">
        <v>1854</v>
      </c>
      <c r="N166" s="68" t="s">
        <v>1583</v>
      </c>
      <c r="O166" s="68" t="s">
        <v>484</v>
      </c>
      <c r="P166" s="68"/>
    </row>
    <row r="167" ht="39.95" hidden="1" customHeight="1" outlineLevel="1" spans="1:16">
      <c r="A167" s="63"/>
      <c r="B167" s="64"/>
      <c r="C167" s="59" t="s">
        <v>60</v>
      </c>
      <c r="D167" s="59" t="s">
        <v>1835</v>
      </c>
      <c r="E167" s="65">
        <v>203</v>
      </c>
      <c r="F167" s="67" t="s">
        <v>1855</v>
      </c>
      <c r="G167" s="65">
        <v>20313</v>
      </c>
      <c r="H167" s="67" t="s">
        <v>1856</v>
      </c>
      <c r="I167" s="67" t="s">
        <v>492</v>
      </c>
      <c r="J167" s="67" t="str">
        <f>INDEX(数据元说明!A:F,MATCH(I167,数据元说明!C:C,0),2)</f>
        <v>002002</v>
      </c>
      <c r="K167" s="68" t="str">
        <f>INDEX(数据元说明!A:F,MATCH(I167,数据元说明!C:C,0),5)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67" s="67" t="str">
        <f>INDEX(数据元说明!A:F,MATCH(I167,数据元说明!C:C,0),6)</f>
        <v>C..60</v>
      </c>
      <c r="M167" s="68" t="s">
        <v>1857</v>
      </c>
      <c r="N167" s="68"/>
      <c r="O167" s="68"/>
      <c r="P167" s="68"/>
    </row>
    <row r="168" ht="39.95" hidden="1" customHeight="1" outlineLevel="1" spans="1:16">
      <c r="A168" s="63"/>
      <c r="B168" s="64"/>
      <c r="C168" s="59" t="s">
        <v>60</v>
      </c>
      <c r="D168" s="59" t="s">
        <v>1835</v>
      </c>
      <c r="E168" s="65">
        <v>203</v>
      </c>
      <c r="F168" s="67" t="s">
        <v>1858</v>
      </c>
      <c r="G168" s="65">
        <v>20314</v>
      </c>
      <c r="H168" s="67" t="s">
        <v>1859</v>
      </c>
      <c r="I168" s="67" t="s">
        <v>496</v>
      </c>
      <c r="J168" s="67" t="str">
        <f>INDEX(数据元说明!A:F,MATCH(I168,数据元说明!C:C,0),2)</f>
        <v>002003</v>
      </c>
      <c r="K168" s="68" t="str">
        <f>INDEX(数据元说明!A:F,MATCH(I168,数据元说明!C:C,0),5)</f>
        <v>与证件类别对应的证件号码。涉及个人身份证件时需按照本规范给定规则进行脱敏处理。</v>
      </c>
      <c r="L168" s="67" t="str">
        <f>INDEX(数据元说明!A:F,MATCH(I168,数据元说明!C:C,0),6)</f>
        <v>C..70</v>
      </c>
      <c r="M168" s="68" t="s">
        <v>1860</v>
      </c>
      <c r="N168" s="68" t="s">
        <v>1583</v>
      </c>
      <c r="O168" s="68" t="s">
        <v>322</v>
      </c>
      <c r="P168" s="68"/>
    </row>
    <row r="169" ht="39.95" hidden="1" customHeight="1" outlineLevel="1" spans="1:16">
      <c r="A169" s="63"/>
      <c r="B169" s="64"/>
      <c r="C169" s="59" t="s">
        <v>60</v>
      </c>
      <c r="D169" s="59" t="s">
        <v>1835</v>
      </c>
      <c r="E169" s="65">
        <v>203</v>
      </c>
      <c r="F169" s="67" t="s">
        <v>1861</v>
      </c>
      <c r="G169" s="65">
        <v>20315</v>
      </c>
      <c r="H169" s="67" t="s">
        <v>1862</v>
      </c>
      <c r="I169" s="67" t="s">
        <v>605</v>
      </c>
      <c r="J169" s="67" t="str">
        <f>INDEX(数据元说明!A:F,MATCH(I169,数据元说明!C:C,0),2)</f>
        <v>003001</v>
      </c>
      <c r="K169" s="68" t="str">
        <f>INDEX(数据元说明!A:F,MATCH(I169,数据元说明!C:C,0),5)</f>
        <v>系统内最细一级的账号，无唯一性约束，不需要和序号、子序号等做拼接。</v>
      </c>
      <c r="L169" s="67" t="str">
        <f>INDEX(数据元说明!A:F,MATCH(I169,数据元说明!C:C,0),6)</f>
        <v>C..60</v>
      </c>
      <c r="M169" s="68" t="s">
        <v>1863</v>
      </c>
      <c r="N169" s="68"/>
      <c r="O169" s="68"/>
      <c r="P169" s="68"/>
    </row>
    <row r="170" ht="39.95" hidden="1" customHeight="1" outlineLevel="1" spans="1:16">
      <c r="A170" s="63"/>
      <c r="B170" s="64"/>
      <c r="C170" s="59" t="s">
        <v>60</v>
      </c>
      <c r="D170" s="59" t="s">
        <v>1835</v>
      </c>
      <c r="E170" s="65">
        <v>203</v>
      </c>
      <c r="F170" s="67" t="s">
        <v>1864</v>
      </c>
      <c r="G170" s="65">
        <v>20316</v>
      </c>
      <c r="H170" s="67" t="s">
        <v>1865</v>
      </c>
      <c r="I170" s="67" t="s">
        <v>369</v>
      </c>
      <c r="J170" s="67" t="str">
        <f>INDEX(数据元说明!A:F,MATCH(I170,数据元说明!C:C,0),2)</f>
        <v>001010</v>
      </c>
      <c r="K170" s="68" t="str">
        <f>INDEX(数据元说明!A:F,MATCH(I170,数据元说明!C:C,0),5)</f>
        <v>12位人行支付行号或SWIFT行号。</v>
      </c>
      <c r="L170" s="67" t="str">
        <f>INDEX(数据元说明!A:F,MATCH(I170,数据元说明!C:C,0),6)</f>
        <v>C..30</v>
      </c>
      <c r="M170" s="68" t="s">
        <v>1866</v>
      </c>
      <c r="N170" s="68" t="s">
        <v>1601</v>
      </c>
      <c r="O170" s="68"/>
      <c r="P170" s="68"/>
    </row>
    <row r="171" ht="39.95" hidden="1" customHeight="1" outlineLevel="1" spans="1:16">
      <c r="A171" s="63"/>
      <c r="B171" s="64"/>
      <c r="C171" s="59" t="s">
        <v>60</v>
      </c>
      <c r="D171" s="59" t="s">
        <v>1835</v>
      </c>
      <c r="E171" s="65">
        <v>203</v>
      </c>
      <c r="F171" s="67" t="s">
        <v>1867</v>
      </c>
      <c r="G171" s="65">
        <v>20317</v>
      </c>
      <c r="H171" s="67" t="s">
        <v>1868</v>
      </c>
      <c r="I171" s="67" t="s">
        <v>325</v>
      </c>
      <c r="J171" s="67" t="str">
        <f>INDEX(数据元说明!A:F,MATCH(I171,数据元说明!C:C,0),2)</f>
        <v>001001</v>
      </c>
      <c r="K171" s="68" t="str">
        <f>INDEX(数据元说明!A:F,MATCH(I171,数据元说明!C:C,0),5)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71" s="67" t="str">
        <f>INDEX(数据元说明!A:F,MATCH(I171,数据元说明!C:C,0),6)</f>
        <v>C..450</v>
      </c>
      <c r="M171" s="68" t="s">
        <v>1869</v>
      </c>
      <c r="N171" s="68" t="s">
        <v>1583</v>
      </c>
      <c r="O171" s="68" t="s">
        <v>322</v>
      </c>
      <c r="P171" s="68"/>
    </row>
    <row r="172" ht="39.95" hidden="1" customHeight="1" outlineLevel="1" spans="1:16">
      <c r="A172" s="63"/>
      <c r="B172" s="64"/>
      <c r="C172" s="59" t="s">
        <v>60</v>
      </c>
      <c r="D172" s="59" t="s">
        <v>1835</v>
      </c>
      <c r="E172" s="65">
        <v>203</v>
      </c>
      <c r="F172" s="67" t="s">
        <v>1870</v>
      </c>
      <c r="G172" s="65">
        <v>20318</v>
      </c>
      <c r="H172" s="67" t="s">
        <v>1871</v>
      </c>
      <c r="I172" s="67" t="s">
        <v>634</v>
      </c>
      <c r="J172" s="67" t="str">
        <f>INDEX(数据元说明!A:F,MATCH(I172,数据元说明!C:C,0),2)</f>
        <v>003008</v>
      </c>
      <c r="K172" s="68" t="str">
        <f>INDEX(数据元说明!A:F,MATCH(I172,数据元说明!C:C,0),5)</f>
        <v>与币种相对应金额。</v>
      </c>
      <c r="L172" s="67" t="str">
        <f>INDEX(数据元说明!A:F,MATCH(I172,数据元说明!C:C,0),6)</f>
        <v>D20.2</v>
      </c>
      <c r="M172" s="68" t="s">
        <v>1872</v>
      </c>
      <c r="N172" s="68"/>
      <c r="O172" s="68"/>
      <c r="P172" s="68"/>
    </row>
    <row r="173" ht="39.95" hidden="1" customHeight="1" outlineLevel="1" spans="1:16">
      <c r="A173" s="70"/>
      <c r="B173" s="71"/>
      <c r="C173" s="59" t="s">
        <v>60</v>
      </c>
      <c r="D173" s="59" t="s">
        <v>1835</v>
      </c>
      <c r="E173" s="65">
        <v>203</v>
      </c>
      <c r="F173" s="67" t="s">
        <v>1873</v>
      </c>
      <c r="G173" s="65">
        <v>20319</v>
      </c>
      <c r="H173" s="67" t="s">
        <v>1874</v>
      </c>
      <c r="I173" s="67" t="s">
        <v>642</v>
      </c>
      <c r="J173" s="67" t="str">
        <f>INDEX(数据元说明!A:F,MATCH(I173,数据元说明!C:C,0),2)</f>
        <v>003010</v>
      </c>
      <c r="K173" s="68" t="str">
        <f>INDEX(数据元说明!A:F,MATCH(I173,数据元说明!C:C,0),5)</f>
        <v>遵循《GB/T 12406 表示货币和资金的代码》的字母代码，如CNY。上述文件所列币种无法涵盖的，允许银行自定义填报。多个币种合计折算为人民币（本外币合计）的，填报为BWB。</v>
      </c>
      <c r="L173" s="67" t="str">
        <f>INDEX(数据元说明!A:F,MATCH(I173,数据元说明!C:C,0),6)</f>
        <v>C3</v>
      </c>
      <c r="M173" s="68" t="s">
        <v>1872</v>
      </c>
      <c r="N173" s="68" t="s">
        <v>1583</v>
      </c>
      <c r="O173" s="68"/>
      <c r="P173" s="68" t="s">
        <v>1634</v>
      </c>
    </row>
    <row r="174" ht="39.95" hidden="1" customHeight="1" outlineLevel="1" spans="1:16">
      <c r="A174" s="70"/>
      <c r="B174" s="71"/>
      <c r="C174" s="59" t="s">
        <v>60</v>
      </c>
      <c r="D174" s="59" t="s">
        <v>1835</v>
      </c>
      <c r="E174" s="65">
        <v>203</v>
      </c>
      <c r="F174" s="67" t="s">
        <v>1875</v>
      </c>
      <c r="G174" s="65">
        <v>20320</v>
      </c>
      <c r="H174" s="67" t="s">
        <v>1876</v>
      </c>
      <c r="I174" s="67" t="s">
        <v>634</v>
      </c>
      <c r="J174" s="67" t="str">
        <f>INDEX(数据元说明!A:F,MATCH(I174,数据元说明!C:C,0),2)</f>
        <v>003008</v>
      </c>
      <c r="K174" s="68" t="str">
        <f>INDEX(数据元说明!A:F,MATCH(I174,数据元说明!C:C,0),5)</f>
        <v>与币种相对应金额。</v>
      </c>
      <c r="L174" s="67" t="str">
        <f>INDEX(数据元说明!A:F,MATCH(I174,数据元说明!C:C,0),6)</f>
        <v>D20.2</v>
      </c>
      <c r="M174" s="68" t="s">
        <v>1872</v>
      </c>
      <c r="N174" s="68" t="s">
        <v>1583</v>
      </c>
      <c r="O174" s="68"/>
      <c r="P174" s="68" t="s">
        <v>1634</v>
      </c>
    </row>
    <row r="175" ht="39.95" hidden="1" customHeight="1" outlineLevel="1" spans="1:16">
      <c r="A175" s="70"/>
      <c r="B175" s="71"/>
      <c r="C175" s="59" t="s">
        <v>60</v>
      </c>
      <c r="D175" s="59" t="s">
        <v>1835</v>
      </c>
      <c r="E175" s="65">
        <v>203</v>
      </c>
      <c r="F175" s="67" t="s">
        <v>1877</v>
      </c>
      <c r="G175" s="65">
        <v>20321</v>
      </c>
      <c r="H175" s="67" t="s">
        <v>1878</v>
      </c>
      <c r="I175" s="67" t="s">
        <v>642</v>
      </c>
      <c r="J175" s="67" t="str">
        <f>INDEX(数据元说明!A:F,MATCH(I175,数据元说明!C:C,0),2)</f>
        <v>003010</v>
      </c>
      <c r="K175" s="68" t="str">
        <f>INDEX(数据元说明!A:F,MATCH(I175,数据元说明!C:C,0),5)</f>
        <v>遵循《GB/T 12406 表示货币和资金的代码》的字母代码，如CNY。上述文件所列币种无法涵盖的，允许银行自定义填报。多个币种合计折算为人民币（本外币合计）的，填报为BWB。</v>
      </c>
      <c r="L175" s="67" t="str">
        <f>INDEX(数据元说明!A:F,MATCH(I175,数据元说明!C:C,0),6)</f>
        <v>C3</v>
      </c>
      <c r="M175" s="68" t="s">
        <v>1879</v>
      </c>
      <c r="N175" s="68" t="s">
        <v>1583</v>
      </c>
      <c r="O175" s="68"/>
      <c r="P175" s="68" t="s">
        <v>1634</v>
      </c>
    </row>
    <row r="176" ht="39.95" hidden="1" customHeight="1" outlineLevel="1" spans="1:16">
      <c r="A176" s="63"/>
      <c r="B176" s="64"/>
      <c r="C176" s="59" t="s">
        <v>60</v>
      </c>
      <c r="D176" s="59" t="s">
        <v>1835</v>
      </c>
      <c r="E176" s="65">
        <v>203</v>
      </c>
      <c r="F176" s="67" t="s">
        <v>1880</v>
      </c>
      <c r="G176" s="65">
        <v>20322</v>
      </c>
      <c r="H176" s="67" t="s">
        <v>1881</v>
      </c>
      <c r="I176" s="67" t="s">
        <v>359</v>
      </c>
      <c r="J176" s="67" t="str">
        <f>INDEX(数据元说明!A:F,MATCH(I176,数据元说明!C:C,0),2)</f>
        <v>001008</v>
      </c>
      <c r="K176" s="68" t="str">
        <f>INDEX(数据元说明!A:F,MATCH(I176,数据元说明!C:C,0),5)</f>
        <v>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v>
      </c>
      <c r="L176" s="67" t="str">
        <f>INDEX(数据元说明!A:F,MATCH(I176,数据元说明!C:C,0),6)</f>
        <v>C..600</v>
      </c>
      <c r="M176" s="68" t="s">
        <v>1882</v>
      </c>
      <c r="N176" s="68"/>
      <c r="O176" s="68"/>
      <c r="P176" s="68"/>
    </row>
    <row r="177" ht="39.95" hidden="1" customHeight="1" outlineLevel="1" spans="1:16">
      <c r="A177" s="63"/>
      <c r="B177" s="64"/>
      <c r="C177" s="59" t="s">
        <v>60</v>
      </c>
      <c r="D177" s="59" t="s">
        <v>1835</v>
      </c>
      <c r="E177" s="65">
        <v>203</v>
      </c>
      <c r="F177" s="67" t="s">
        <v>1642</v>
      </c>
      <c r="G177" s="65">
        <v>20323</v>
      </c>
      <c r="H177" s="67" t="s">
        <v>1643</v>
      </c>
      <c r="I177" s="67" t="s">
        <v>364</v>
      </c>
      <c r="J177" s="67" t="str">
        <f>INDEX(数据元说明!A:F,MATCH(I177,数据元说明!C:C,0),2)</f>
        <v>001009</v>
      </c>
      <c r="K177" s="68" t="str">
        <f>INDEX(数据元说明!A:F,MATCH(I177,数据元说明!C:C,0),5)</f>
        <v>手机号码或者区号-固定电话号码。</v>
      </c>
      <c r="L177" s="67" t="str">
        <f>INDEX(数据元说明!A:F,MATCH(I177,数据元说明!C:C,0),6)</f>
        <v>C..30</v>
      </c>
      <c r="M177" s="68" t="s">
        <v>1883</v>
      </c>
      <c r="N177" s="68"/>
      <c r="O177" s="68"/>
      <c r="P177" s="68"/>
    </row>
    <row r="178" ht="39.95" hidden="1" customHeight="1" outlineLevel="1" spans="1:16">
      <c r="A178" s="63"/>
      <c r="B178" s="64"/>
      <c r="C178" s="59" t="s">
        <v>60</v>
      </c>
      <c r="D178" s="59" t="s">
        <v>1835</v>
      </c>
      <c r="E178" s="65">
        <v>203</v>
      </c>
      <c r="F178" s="67" t="s">
        <v>538</v>
      </c>
      <c r="G178" s="65">
        <v>20324</v>
      </c>
      <c r="H178" s="67" t="s">
        <v>1884</v>
      </c>
      <c r="I178" s="67" t="s">
        <v>538</v>
      </c>
      <c r="J178" s="67" t="str">
        <f>INDEX(数据元说明!A:F,MATCH(I178,数据元说明!C:C,0),2)</f>
        <v>002013</v>
      </c>
      <c r="K178" s="68" t="str">
        <f>INDEX(数据元说明!A:F,MATCH(I178,数据元说明!C:C,0),5)</f>
        <v>营业执照登记的业务范围全文。</v>
      </c>
      <c r="L178" s="67" t="str">
        <f>INDEX(数据元说明!A:F,MATCH(I178,数据元说明!C:C,0),6)</f>
        <v>C..1500</v>
      </c>
      <c r="M178" s="68" t="s">
        <v>1885</v>
      </c>
      <c r="N178" s="68" t="s">
        <v>1583</v>
      </c>
      <c r="O178" s="68" t="s">
        <v>322</v>
      </c>
      <c r="P178" s="68"/>
    </row>
    <row r="179" ht="39.95" hidden="1" customHeight="1" outlineLevel="1" spans="1:16">
      <c r="A179" s="63"/>
      <c r="B179" s="64"/>
      <c r="C179" s="59" t="s">
        <v>60</v>
      </c>
      <c r="D179" s="59" t="s">
        <v>1835</v>
      </c>
      <c r="E179" s="65">
        <v>203</v>
      </c>
      <c r="F179" s="67" t="s">
        <v>1604</v>
      </c>
      <c r="G179" s="65">
        <v>20325</v>
      </c>
      <c r="H179" s="67" t="s">
        <v>1605</v>
      </c>
      <c r="I179" s="67" t="s">
        <v>345</v>
      </c>
      <c r="J179" s="67" t="str">
        <f>INDEX(数据元说明!A:F,MATCH(I179,数据元说明!C:C,0),2)</f>
        <v>001005</v>
      </c>
      <c r="K179" s="68" t="str">
        <f>INDEX(数据元说明!A:F,MATCH(I179,数据元说明!C:C,0),5)</f>
        <v>YYYYMMDD，默认值99991231。</v>
      </c>
      <c r="L179" s="67" t="str">
        <f>INDEX(数据元说明!A:F,MATCH(I179,数据元说明!C:C,0),6)</f>
        <v>C8</v>
      </c>
      <c r="M179" s="68" t="s">
        <v>1886</v>
      </c>
      <c r="N179" s="68" t="s">
        <v>1583</v>
      </c>
      <c r="O179" s="68" t="s">
        <v>484</v>
      </c>
      <c r="P179" s="68"/>
    </row>
    <row r="180" ht="39.95" hidden="1" customHeight="1" outlineLevel="1" spans="1:16">
      <c r="A180" s="63"/>
      <c r="B180" s="64"/>
      <c r="C180" s="59" t="s">
        <v>60</v>
      </c>
      <c r="D180" s="59" t="s">
        <v>1835</v>
      </c>
      <c r="E180" s="65">
        <v>203</v>
      </c>
      <c r="F180" s="67" t="s">
        <v>543</v>
      </c>
      <c r="G180" s="65">
        <v>20326</v>
      </c>
      <c r="H180" s="67" t="s">
        <v>1713</v>
      </c>
      <c r="I180" s="67" t="s">
        <v>543</v>
      </c>
      <c r="J180" s="67" t="str">
        <f>INDEX(数据元说明!A:F,MATCH(I180,数据元说明!C:C,0),2)</f>
        <v>002014</v>
      </c>
      <c r="K180" s="68" t="str">
        <f>INDEX(数据元说明!A:F,MATCH(I180,数据元说明!C:C,0),5)</f>
        <v>行业分类按《GB/T 4754 国民经济行业分类》执行。填报至该客户所属行业的小类代码，如：所属行业为“稻谷种植”填报“A0111”。境外机构按“境外”填报。</v>
      </c>
      <c r="L180" s="67" t="str">
        <f>INDEX(数据元说明!A:F,MATCH(I180,数据元说明!C:C,0),6)</f>
        <v>C..90</v>
      </c>
      <c r="M180" s="68" t="s">
        <v>1887</v>
      </c>
      <c r="N180" s="68" t="s">
        <v>1583</v>
      </c>
      <c r="O180" s="68" t="s">
        <v>484</v>
      </c>
      <c r="P180" s="68"/>
    </row>
    <row r="181" ht="39.95" hidden="1" customHeight="1" outlineLevel="1" spans="1:16">
      <c r="A181" s="70"/>
      <c r="B181" s="71"/>
      <c r="C181" s="59" t="s">
        <v>60</v>
      </c>
      <c r="D181" s="59" t="s">
        <v>1835</v>
      </c>
      <c r="E181" s="65">
        <v>203</v>
      </c>
      <c r="F181" s="67" t="s">
        <v>576</v>
      </c>
      <c r="G181" s="65">
        <v>20327</v>
      </c>
      <c r="H181" s="67" t="s">
        <v>1888</v>
      </c>
      <c r="I181" s="67" t="s">
        <v>576</v>
      </c>
      <c r="J181" s="67" t="str">
        <f>INDEX(数据元说明!A:F,MATCH(I181,数据元说明!C:C,0),2)</f>
        <v>002022</v>
      </c>
      <c r="K181" s="68" t="str">
        <f>INDEX(数据元说明!A:F,MATCH(I181,数据元说明!C:C,0),5)</f>
        <v>分为以下枚举类型：大型企业，中型企业，小型企业，微型企业，政府机关，事业单位，社会团体，境外机构，其他组织机构。大型企业、中型企业、小型企业、微型企业参照《中小企业划型标准规定》（工信部联企业〔2011〕300号）、《统计上大中小微型企业划分办法（2017）》（国统字〔2017〕213号）和《金融业企业划型标准规定》（银发〔2015〕309号）划分。</v>
      </c>
      <c r="L181" s="67" t="str">
        <f>INDEX(数据元说明!A:F,MATCH(I181,数据元说明!C:C,0),6)</f>
        <v>C..30</v>
      </c>
      <c r="M181" s="68" t="s">
        <v>1889</v>
      </c>
      <c r="N181" s="68" t="s">
        <v>1601</v>
      </c>
      <c r="O181" s="68"/>
      <c r="P181" s="68"/>
    </row>
    <row r="182" ht="39.95" hidden="1" customHeight="1" outlineLevel="1" spans="1:16">
      <c r="A182" s="70"/>
      <c r="B182" s="71"/>
      <c r="C182" s="59" t="s">
        <v>60</v>
      </c>
      <c r="D182" s="59" t="s">
        <v>1835</v>
      </c>
      <c r="E182" s="65">
        <v>203</v>
      </c>
      <c r="F182" s="67" t="s">
        <v>1802</v>
      </c>
      <c r="G182" s="65">
        <v>20328</v>
      </c>
      <c r="H182" s="67" t="s">
        <v>1803</v>
      </c>
      <c r="I182" s="67" t="s">
        <v>330</v>
      </c>
      <c r="J182" s="67" t="str">
        <f>INDEX(数据元说明!A:F,MATCH(I182,数据元说明!C:C,0),2)</f>
        <v>001002</v>
      </c>
      <c r="K182" s="68" t="str">
        <f>INDEX(数据元说明!A:F,MATCH(I182,数据元说明!C:C,0),5)</f>
        <v>是，否。</v>
      </c>
      <c r="L182" s="67" t="str">
        <f>INDEX(数据元说明!A:F,MATCH(I182,数据元说明!C:C,0),6)</f>
        <v>C3</v>
      </c>
      <c r="M182" s="68" t="s">
        <v>1890</v>
      </c>
      <c r="N182" s="68" t="s">
        <v>1601</v>
      </c>
      <c r="O182" s="68"/>
      <c r="P182" s="68"/>
    </row>
    <row r="183" ht="39.95" hidden="1" customHeight="1" outlineLevel="1" spans="1:16">
      <c r="A183" s="70"/>
      <c r="B183" s="71"/>
      <c r="C183" s="59" t="s">
        <v>60</v>
      </c>
      <c r="D183" s="59" t="s">
        <v>1835</v>
      </c>
      <c r="E183" s="65">
        <v>203</v>
      </c>
      <c r="F183" s="67" t="s">
        <v>1805</v>
      </c>
      <c r="G183" s="65">
        <v>20329</v>
      </c>
      <c r="H183" s="67" t="s">
        <v>1806</v>
      </c>
      <c r="I183" s="67" t="s">
        <v>350</v>
      </c>
      <c r="J183" s="67" t="str">
        <f>INDEX(数据元说明!A:F,MATCH(I183,数据元说明!C:C,0),2)</f>
        <v>001006</v>
      </c>
      <c r="K183" s="68" t="str">
        <f>INDEX(数据元说明!A:F,MATCH(I183,数据元说明!C:C,0),5)</f>
        <v>YYYYMM，默认值999912。</v>
      </c>
      <c r="L183" s="67" t="str">
        <f>INDEX(数据元说明!A:F,MATCH(I183,数据元说明!C:C,0),6)</f>
        <v>C6</v>
      </c>
      <c r="M183" s="68" t="s">
        <v>1807</v>
      </c>
      <c r="N183" s="68" t="s">
        <v>1583</v>
      </c>
      <c r="O183" s="68" t="s">
        <v>484</v>
      </c>
      <c r="P183" s="68"/>
    </row>
    <row r="184" ht="39.95" hidden="1" customHeight="1" outlineLevel="1" spans="1:16">
      <c r="A184" s="70"/>
      <c r="B184" s="71"/>
      <c r="C184" s="59" t="s">
        <v>60</v>
      </c>
      <c r="D184" s="59" t="s">
        <v>1835</v>
      </c>
      <c r="E184" s="65">
        <v>203</v>
      </c>
      <c r="F184" s="67" t="s">
        <v>1891</v>
      </c>
      <c r="G184" s="65">
        <v>20330</v>
      </c>
      <c r="H184" s="67" t="s">
        <v>1892</v>
      </c>
      <c r="I184" s="67" t="s">
        <v>330</v>
      </c>
      <c r="J184" s="67" t="str">
        <f>INDEX(数据元说明!A:F,MATCH(I184,数据元说明!C:C,0),2)</f>
        <v>001002</v>
      </c>
      <c r="K184" s="68" t="str">
        <f>INDEX(数据元说明!A:F,MATCH(I184,数据元说明!C:C,0),5)</f>
        <v>是，否。</v>
      </c>
      <c r="L184" s="67" t="str">
        <f>INDEX(数据元说明!A:F,MATCH(I184,数据元说明!C:C,0),6)</f>
        <v>C3</v>
      </c>
      <c r="M184" s="68" t="s">
        <v>1893</v>
      </c>
      <c r="N184" s="68"/>
      <c r="O184" s="68"/>
      <c r="P184" s="68"/>
    </row>
    <row r="185" ht="39.95" hidden="1" customHeight="1" outlineLevel="1" spans="1:16">
      <c r="A185" s="70"/>
      <c r="B185" s="71"/>
      <c r="C185" s="59" t="s">
        <v>60</v>
      </c>
      <c r="D185" s="59" t="s">
        <v>1835</v>
      </c>
      <c r="E185" s="65">
        <v>203</v>
      </c>
      <c r="F185" s="67" t="s">
        <v>1168</v>
      </c>
      <c r="G185" s="65">
        <v>20331</v>
      </c>
      <c r="H185" s="67" t="s">
        <v>1894</v>
      </c>
      <c r="I185" s="67" t="s">
        <v>1168</v>
      </c>
      <c r="J185" s="144" t="str">
        <f>INDEX(数据元说明!A:F,MATCH(I185,数据元说明!C:C,0),2)</f>
        <v>010010</v>
      </c>
      <c r="K185" s="68" t="str">
        <f>INDEX(数据元说明!A:F,MATCH(I185,数据元说明!C:C,0),5)</f>
        <v>优先填报外部专业性的评级公司对融资人主体或资产的信用评级结果，如无，则由填报机构内部对融资人主体或资产的信用评级结果。</v>
      </c>
      <c r="L185" s="67" t="str">
        <f>INDEX(数据元说明!A:F,MATCH(I185,数据元说明!C:C,0),6)</f>
        <v>C..30</v>
      </c>
      <c r="M185" s="68" t="s">
        <v>1895</v>
      </c>
      <c r="N185" s="68" t="s">
        <v>1583</v>
      </c>
      <c r="O185" s="68" t="s">
        <v>321</v>
      </c>
      <c r="P185" s="68"/>
    </row>
    <row r="186" ht="39.95" hidden="1" customHeight="1" outlineLevel="1" spans="1:16">
      <c r="A186" s="70"/>
      <c r="B186" s="71"/>
      <c r="C186" s="59" t="s">
        <v>60</v>
      </c>
      <c r="D186" s="59" t="s">
        <v>1835</v>
      </c>
      <c r="E186" s="65">
        <v>203</v>
      </c>
      <c r="F186" s="67" t="s">
        <v>1896</v>
      </c>
      <c r="G186" s="65">
        <v>20332</v>
      </c>
      <c r="H186" s="67" t="s">
        <v>1897</v>
      </c>
      <c r="I186" s="67" t="s">
        <v>547</v>
      </c>
      <c r="J186" s="67" t="str">
        <f>INDEX(数据元说明!A:F,MATCH(I186,数据元说明!C:C,0),2)</f>
        <v>002015</v>
      </c>
      <c r="K186" s="68" t="str">
        <f>INDEX(数据元说明!A:F,MATCH(I186,数据元说明!C:C,0),5)</f>
        <v>人。</v>
      </c>
      <c r="L186" s="67" t="str">
        <f>INDEX(数据元说明!A:F,MATCH(I186,数据元说明!C:C,0),6)</f>
        <v>I</v>
      </c>
      <c r="M186" s="68" t="s">
        <v>1898</v>
      </c>
      <c r="N186" s="68" t="s">
        <v>1583</v>
      </c>
      <c r="O186" s="68" t="s">
        <v>484</v>
      </c>
      <c r="P186" s="68"/>
    </row>
    <row r="187" ht="39.95" hidden="1" customHeight="1" outlineLevel="1" spans="1:16">
      <c r="A187" s="70"/>
      <c r="B187" s="71"/>
      <c r="C187" s="59" t="s">
        <v>60</v>
      </c>
      <c r="D187" s="59" t="s">
        <v>1835</v>
      </c>
      <c r="E187" s="65">
        <v>203</v>
      </c>
      <c r="F187" s="67" t="s">
        <v>1598</v>
      </c>
      <c r="G187" s="65">
        <v>20333</v>
      </c>
      <c r="H187" s="67" t="s">
        <v>1599</v>
      </c>
      <c r="I187" s="67" t="s">
        <v>440</v>
      </c>
      <c r="J187" s="67" t="str">
        <f>INDEX(数据元说明!A:F,MATCH(I187,数据元说明!C:C,0),2)</f>
        <v>001028</v>
      </c>
      <c r="K187" s="68" t="str">
        <f>INDEX(数据元说明!A:F,MATCH(I187,数据元说明!C:C,0),5)</f>
        <v>境内地区参照《GB/T 2260 中华人民共和国行政区划代码》填写国内行政区划代码，填写至二级分类，如110100。境外地区参照《GB/T 2659 世界各国和地区名称代码》定义的三字符代码，如USA。</v>
      </c>
      <c r="L187" s="67" t="str">
        <f>INDEX(数据元说明!A:F,MATCH(I187,数据元说明!C:C,0),6)</f>
        <v>C..6</v>
      </c>
      <c r="M187" s="68"/>
      <c r="N187" s="68"/>
      <c r="O187" s="68"/>
      <c r="P187" s="68"/>
    </row>
    <row r="188" ht="39.95" hidden="1" customHeight="1" outlineLevel="1" spans="1:16">
      <c r="A188" s="70"/>
      <c r="B188" s="71"/>
      <c r="C188" s="59" t="s">
        <v>60</v>
      </c>
      <c r="D188" s="59" t="s">
        <v>1835</v>
      </c>
      <c r="E188" s="65">
        <v>203</v>
      </c>
      <c r="F188" s="67" t="s">
        <v>1121</v>
      </c>
      <c r="G188" s="65">
        <v>20334</v>
      </c>
      <c r="H188" s="67" t="s">
        <v>1899</v>
      </c>
      <c r="I188" s="67" t="s">
        <v>1121</v>
      </c>
      <c r="J188" s="67" t="str">
        <f>INDEX(数据元说明!A:F,MATCH(I188,数据元说明!C:C,0),2)</f>
        <v>009002</v>
      </c>
      <c r="K188" s="68" t="str">
        <f>INDEX(数据元说明!A:F,MATCH(I188,数据元说明!C:C,0),5)</f>
        <v>根据客户类型，以银保监会客户风险统计报表的《集团风险预警代码及预警信号对照表》、《单一法人风险预警代码及预警信号对照表》对应的预警信号代码，填报至二级指标。同一客户涉及多项预警的，应将多个代码一并填报，中间英文半角分号隔开，如：A01;B02。</v>
      </c>
      <c r="L188" s="67" t="str">
        <f>INDEX(数据元说明!A:F,MATCH(I188,数据元说明!C:C,0),6)</f>
        <v>C..500</v>
      </c>
      <c r="M188" s="68" t="s">
        <v>1900</v>
      </c>
      <c r="N188" s="68" t="s">
        <v>1583</v>
      </c>
      <c r="O188" s="68" t="s">
        <v>1901</v>
      </c>
      <c r="P188" s="68"/>
    </row>
    <row r="189" ht="39.95" hidden="1" customHeight="1" outlineLevel="1" spans="1:16">
      <c r="A189" s="70"/>
      <c r="B189" s="71"/>
      <c r="C189" s="59" t="s">
        <v>60</v>
      </c>
      <c r="D189" s="59" t="s">
        <v>1835</v>
      </c>
      <c r="E189" s="65">
        <v>203</v>
      </c>
      <c r="F189" s="67" t="s">
        <v>1126</v>
      </c>
      <c r="G189" s="65">
        <v>20335</v>
      </c>
      <c r="H189" s="67" t="s">
        <v>1902</v>
      </c>
      <c r="I189" s="67" t="s">
        <v>1126</v>
      </c>
      <c r="J189" s="67" t="str">
        <f>INDEX(数据元说明!A:F,MATCH(I189,数据元说明!C:C,0),2)</f>
        <v>009003</v>
      </c>
      <c r="K189" s="68" t="str">
        <f>INDEX(数据元说明!A:F,MATCH(I189,数据元说明!C:C,0),5)</f>
        <v>根据客户类型，以银保监会客户风险统计报表的《集团关注事件及代码对照表》、《单一法人关注事件及代码对照表》对应的预警信号代码，填报至二级指标。同一客户涉及多项关注事件的，应将多个代码一并填报，中间用英文半角分号隔开，如：A01;B02。</v>
      </c>
      <c r="L189" s="67" t="str">
        <f>INDEX(数据元说明!A:F,MATCH(I189,数据元说明!C:C,0),6)</f>
        <v>C..500</v>
      </c>
      <c r="M189" s="68" t="s">
        <v>1903</v>
      </c>
      <c r="N189" s="68" t="s">
        <v>1601</v>
      </c>
      <c r="O189" s="68"/>
      <c r="P189" s="68"/>
    </row>
    <row r="190" ht="39.95" hidden="1" customHeight="1" outlineLevel="1" spans="1:16">
      <c r="A190" s="63"/>
      <c r="B190" s="64"/>
      <c r="C190" s="59" t="s">
        <v>60</v>
      </c>
      <c r="D190" s="59" t="s">
        <v>1835</v>
      </c>
      <c r="E190" s="65">
        <v>203</v>
      </c>
      <c r="F190" s="67" t="s">
        <v>484</v>
      </c>
      <c r="G190" s="65">
        <v>20336</v>
      </c>
      <c r="H190" s="67" t="s">
        <v>1623</v>
      </c>
      <c r="I190" s="67" t="s">
        <v>484</v>
      </c>
      <c r="J190" s="67" t="str">
        <f>INDEX(数据元说明!A:F,MATCH(I190,数据元说明!C:C,0),2)</f>
        <v>001038</v>
      </c>
      <c r="K190" s="68" t="str">
        <f>INDEX(数据元说明!A:F,MATCH(I190,数据元说明!C:C,0),5)</f>
        <v>银行自定义。</v>
      </c>
      <c r="L190" s="67" t="str">
        <f>INDEX(数据元说明!A:F,MATCH(I190,数据元说明!C:C,0),6)</f>
        <v>C..600</v>
      </c>
      <c r="M190" s="68" t="s">
        <v>1624</v>
      </c>
      <c r="N190" s="68" t="s">
        <v>1601</v>
      </c>
      <c r="O190" s="68"/>
      <c r="P190" s="68"/>
    </row>
    <row r="191" ht="39.95" hidden="1" customHeight="1" outlineLevel="1" spans="1:16">
      <c r="A191" s="63"/>
      <c r="B191" s="64"/>
      <c r="C191" s="59" t="s">
        <v>60</v>
      </c>
      <c r="D191" s="59" t="s">
        <v>1835</v>
      </c>
      <c r="E191" s="65">
        <v>203</v>
      </c>
      <c r="F191" s="67" t="s">
        <v>1625</v>
      </c>
      <c r="G191" s="65">
        <v>20337</v>
      </c>
      <c r="H191" s="67" t="s">
        <v>1626</v>
      </c>
      <c r="I191" s="67" t="s">
        <v>345</v>
      </c>
      <c r="J191" s="67" t="str">
        <f>INDEX(数据元说明!A:F,MATCH(I191,数据元说明!C:C,0),2)</f>
        <v>001005</v>
      </c>
      <c r="K191" s="68" t="str">
        <f>INDEX(数据元说明!A:F,MATCH(I191,数据元说明!C:C,0),5)</f>
        <v>YYYYMMDD，默认值99991231。</v>
      </c>
      <c r="L191" s="67" t="str">
        <f>INDEX(数据元说明!A:F,MATCH(I191,数据元说明!C:C,0),6)</f>
        <v>C8</v>
      </c>
      <c r="M191" s="68" t="s">
        <v>1627</v>
      </c>
      <c r="N191" s="68"/>
      <c r="O191" s="68"/>
      <c r="P191" s="68"/>
    </row>
    <row r="192" ht="39.95" hidden="1" customHeight="1" collapsed="1" spans="1:16">
      <c r="A192" s="63"/>
      <c r="B192" s="64"/>
      <c r="C192" s="59" t="s">
        <v>64</v>
      </c>
      <c r="D192" s="59" t="s">
        <v>1904</v>
      </c>
      <c r="E192" s="65">
        <v>204</v>
      </c>
      <c r="F192" s="67"/>
      <c r="G192" s="65"/>
      <c r="H192" s="67"/>
      <c r="I192" s="67"/>
      <c r="J192" s="67"/>
      <c r="K192" s="68"/>
      <c r="L192" s="67"/>
      <c r="M192" s="68" t="str">
        <f>INDEX(表结构总览!D:G,MATCH(D192,表结构总览!D:D,0),4)</f>
        <v>报送本月源系统中新收集的对公客户财务信息。对于非授信客户、负债类客户、离岸对公客户、机关事业单位、未达到税务部门建账标准的个体工商户等无需报送。</v>
      </c>
      <c r="N192" s="68" t="s">
        <v>1601</v>
      </c>
      <c r="O192" s="68"/>
      <c r="P192" s="68"/>
    </row>
    <row r="193" ht="39.95" hidden="1" customHeight="1" outlineLevel="1" spans="1:16">
      <c r="A193" s="63"/>
      <c r="B193" s="64"/>
      <c r="C193" s="59" t="s">
        <v>64</v>
      </c>
      <c r="D193" s="59" t="s">
        <v>1904</v>
      </c>
      <c r="E193" s="65">
        <v>204</v>
      </c>
      <c r="F193" s="67" t="s">
        <v>373</v>
      </c>
      <c r="G193" s="65">
        <v>20401</v>
      </c>
      <c r="H193" s="67" t="s">
        <v>1588</v>
      </c>
      <c r="I193" s="67" t="s">
        <v>373</v>
      </c>
      <c r="J193" s="67" t="str">
        <f>INDEX(数据元说明!A:F,MATCH(I193,数据元说明!C:C,0),2)</f>
        <v>001011</v>
      </c>
      <c r="K193" s="68" t="str">
        <f>INDEX(数据元说明!A:F,MATCH(I193,数据元说明!C:C,0),5)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93" s="67" t="str">
        <f>INDEX(数据元说明!A:F,MATCH(I193,数据元说明!C:C,0),6)</f>
        <v>C..30</v>
      </c>
      <c r="M193" s="68" t="s">
        <v>1760</v>
      </c>
      <c r="N193" s="68" t="s">
        <v>1583</v>
      </c>
      <c r="O193" s="68" t="s">
        <v>484</v>
      </c>
      <c r="P193" s="68"/>
    </row>
    <row r="194" ht="39.95" hidden="1" customHeight="1" outlineLevel="1" spans="1:16">
      <c r="A194" s="63"/>
      <c r="B194" s="64"/>
      <c r="C194" s="59" t="s">
        <v>64</v>
      </c>
      <c r="D194" s="59" t="s">
        <v>1904</v>
      </c>
      <c r="E194" s="65">
        <v>204</v>
      </c>
      <c r="F194" s="67" t="s">
        <v>377</v>
      </c>
      <c r="G194" s="65">
        <v>20402</v>
      </c>
      <c r="H194" s="67" t="s">
        <v>1586</v>
      </c>
      <c r="I194" s="67" t="s">
        <v>377</v>
      </c>
      <c r="J194" s="67" t="str">
        <f>INDEX(数据元说明!A:F,MATCH(I194,数据元说明!C:C,0),2)</f>
        <v>001012</v>
      </c>
      <c r="K194" s="68" t="str">
        <f>INDEX(数据元说明!A:F,MATCH(I194,数据元说明!C:C,0),5)</f>
        <v>银行内部机构号。应具有标识机构的唯一性。</v>
      </c>
      <c r="L194" s="67" t="str">
        <f>INDEX(数据元说明!A:F,MATCH(I194,数据元说明!C:C,0),6)</f>
        <v>C..30</v>
      </c>
      <c r="M194" s="68" t="s">
        <v>1761</v>
      </c>
      <c r="N194" s="68" t="s">
        <v>1601</v>
      </c>
      <c r="O194" s="68"/>
      <c r="P194" s="68"/>
    </row>
    <row r="195" ht="39.95" hidden="1" customHeight="1" outlineLevel="1" spans="1:16">
      <c r="A195" s="63"/>
      <c r="B195" s="64"/>
      <c r="C195" s="59" t="s">
        <v>64</v>
      </c>
      <c r="D195" s="59" t="s">
        <v>1904</v>
      </c>
      <c r="E195" s="65">
        <v>204</v>
      </c>
      <c r="F195" s="67" t="s">
        <v>1592</v>
      </c>
      <c r="G195" s="65">
        <v>20403</v>
      </c>
      <c r="H195" s="67" t="s">
        <v>1593</v>
      </c>
      <c r="I195" s="67" t="s">
        <v>325</v>
      </c>
      <c r="J195" s="67" t="str">
        <f>INDEX(数据元说明!A:F,MATCH(I195,数据元说明!C:C,0),2)</f>
        <v>001001</v>
      </c>
      <c r="K195" s="68" t="str">
        <f>INDEX(数据元说明!A:F,MATCH(I195,数据元说明!C:C,0),5)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95" s="67" t="str">
        <f>INDEX(数据元说明!A:F,MATCH(I195,数据元说明!C:C,0),6)</f>
        <v>C..450</v>
      </c>
      <c r="M195" s="68" t="s">
        <v>1762</v>
      </c>
      <c r="N195" s="68" t="s">
        <v>1601</v>
      </c>
      <c r="O195" s="68"/>
      <c r="P195" s="68"/>
    </row>
    <row r="196" ht="39.95" hidden="1" customHeight="1" outlineLevel="1" spans="1:16">
      <c r="A196" s="63"/>
      <c r="B196" s="64"/>
      <c r="C196" s="59" t="s">
        <v>64</v>
      </c>
      <c r="D196" s="59" t="s">
        <v>1904</v>
      </c>
      <c r="E196" s="65">
        <v>204</v>
      </c>
      <c r="F196" s="67" t="s">
        <v>600</v>
      </c>
      <c r="G196" s="65">
        <v>20404</v>
      </c>
      <c r="H196" s="67" t="s">
        <v>1905</v>
      </c>
      <c r="I196" s="67" t="s">
        <v>600</v>
      </c>
      <c r="J196" s="67" t="str">
        <f>INDEX(数据元说明!A:F,MATCH(I196,数据元说明!C:C,0),2)</f>
        <v>002028</v>
      </c>
      <c r="K196" s="68" t="str">
        <f>INDEX(数据元说明!A:F,MATCH(I196,数据元说明!C:C,0),5)</f>
        <v>唯一标识财务报表的编号，银行自定义。</v>
      </c>
      <c r="L196" s="67" t="str">
        <f>INDEX(数据元说明!A:F,MATCH(I196,数据元说明!C:C,0),6)</f>
        <v>C..30</v>
      </c>
      <c r="M196" s="68" t="s">
        <v>1679</v>
      </c>
      <c r="N196" s="68" t="s">
        <v>1601</v>
      </c>
      <c r="O196" s="68"/>
      <c r="P196" s="68"/>
    </row>
    <row r="197" ht="39.95" hidden="1" customHeight="1" outlineLevel="1" spans="1:16">
      <c r="A197" s="63"/>
      <c r="B197" s="64"/>
      <c r="C197" s="59" t="s">
        <v>64</v>
      </c>
      <c r="D197" s="59" t="s">
        <v>1904</v>
      </c>
      <c r="E197" s="65">
        <v>204</v>
      </c>
      <c r="F197" s="67" t="s">
        <v>488</v>
      </c>
      <c r="G197" s="65">
        <v>20405</v>
      </c>
      <c r="H197" s="67" t="s">
        <v>1699</v>
      </c>
      <c r="I197" s="67" t="s">
        <v>488</v>
      </c>
      <c r="J197" s="67" t="str">
        <f>INDEX(数据元说明!A:F,MATCH(I197,数据元说明!C:C,0),2)</f>
        <v>002001</v>
      </c>
      <c r="K197" s="68" t="str">
        <f>INDEX(数据元说明!A:F,MATCH(I197,数据元说明!C:C,0),5)</f>
        <v>银行自定义的唯一识别客户的标识。供应链融资的填写供应链融资编码。</v>
      </c>
      <c r="L197" s="67" t="str">
        <f>INDEX(数据元说明!A:F,MATCH(I197,数据元说明!C:C,0),6)</f>
        <v>C..60</v>
      </c>
      <c r="M197" s="68" t="s">
        <v>1763</v>
      </c>
      <c r="N197" s="68" t="s">
        <v>1601</v>
      </c>
      <c r="O197" s="68"/>
      <c r="P197" s="68"/>
    </row>
    <row r="198" ht="39.95" hidden="1" customHeight="1" outlineLevel="1" spans="1:16">
      <c r="A198" s="63"/>
      <c r="B198" s="64"/>
      <c r="C198" s="59" t="s">
        <v>64</v>
      </c>
      <c r="D198" s="59" t="s">
        <v>1904</v>
      </c>
      <c r="E198" s="65">
        <v>204</v>
      </c>
      <c r="F198" s="67" t="s">
        <v>1837</v>
      </c>
      <c r="G198" s="65">
        <v>20406</v>
      </c>
      <c r="H198" s="67" t="s">
        <v>1838</v>
      </c>
      <c r="I198" s="67" t="s">
        <v>325</v>
      </c>
      <c r="J198" s="67" t="str">
        <f>INDEX(数据元说明!A:F,MATCH(I198,数据元说明!C:C,0),2)</f>
        <v>001001</v>
      </c>
      <c r="K198" s="68" t="str">
        <f>INDEX(数据元说明!A:F,MATCH(I198,数据元说明!C:C,0),5)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98" s="67" t="str">
        <f>INDEX(数据元说明!A:F,MATCH(I198,数据元说明!C:C,0),6)</f>
        <v>C..450</v>
      </c>
      <c r="M198" s="68" t="s">
        <v>1644</v>
      </c>
      <c r="N198" s="68" t="s">
        <v>1601</v>
      </c>
      <c r="O198" s="68"/>
      <c r="P198" s="68"/>
    </row>
    <row r="199" ht="39.95" hidden="1" customHeight="1" outlineLevel="1" spans="1:16">
      <c r="A199" s="63"/>
      <c r="B199" s="64"/>
      <c r="C199" s="59" t="s">
        <v>64</v>
      </c>
      <c r="D199" s="59" t="s">
        <v>1904</v>
      </c>
      <c r="E199" s="65">
        <v>204</v>
      </c>
      <c r="F199" s="67" t="s">
        <v>1906</v>
      </c>
      <c r="G199" s="65">
        <v>20407</v>
      </c>
      <c r="H199" s="67" t="s">
        <v>1907</v>
      </c>
      <c r="I199" s="67" t="s">
        <v>345</v>
      </c>
      <c r="J199" s="67" t="str">
        <f>INDEX(数据元说明!A:F,MATCH(I199,数据元说明!C:C,0),2)</f>
        <v>001005</v>
      </c>
      <c r="K199" s="68" t="str">
        <f>INDEX(数据元说明!A:F,MATCH(I199,数据元说明!C:C,0),5)</f>
        <v>YYYYMMDD，默认值99991231。</v>
      </c>
      <c r="L199" s="67" t="str">
        <f>INDEX(数据元说明!A:F,MATCH(I199,数据元说明!C:C,0),6)</f>
        <v>C8</v>
      </c>
      <c r="M199" s="68" t="s">
        <v>1679</v>
      </c>
      <c r="N199" s="68" t="s">
        <v>1601</v>
      </c>
      <c r="O199" s="68"/>
      <c r="P199" s="68"/>
    </row>
    <row r="200" ht="39.95" hidden="1" customHeight="1" outlineLevel="1" spans="1:16">
      <c r="A200" s="63"/>
      <c r="B200" s="64"/>
      <c r="C200" s="59" t="s">
        <v>64</v>
      </c>
      <c r="D200" s="59" t="s">
        <v>1904</v>
      </c>
      <c r="E200" s="65">
        <v>204</v>
      </c>
      <c r="F200" s="67" t="s">
        <v>1908</v>
      </c>
      <c r="G200" s="65">
        <v>20408</v>
      </c>
      <c r="H200" s="67" t="s">
        <v>1909</v>
      </c>
      <c r="I200" s="67" t="s">
        <v>330</v>
      </c>
      <c r="J200" s="67" t="str">
        <f>INDEX(数据元说明!A:F,MATCH(I200,数据元说明!C:C,0),2)</f>
        <v>001002</v>
      </c>
      <c r="K200" s="68" t="str">
        <f>INDEX(数据元说明!A:F,MATCH(I200,数据元说明!C:C,0),5)</f>
        <v>是，否。</v>
      </c>
      <c r="L200" s="67" t="str">
        <f>INDEX(数据元说明!A:F,MATCH(I200,数据元说明!C:C,0),6)</f>
        <v>C3</v>
      </c>
      <c r="M200" s="68"/>
      <c r="N200" s="68" t="s">
        <v>1601</v>
      </c>
      <c r="O200" s="68"/>
      <c r="P200" s="68"/>
    </row>
    <row r="201" ht="39.95" hidden="1" customHeight="1" outlineLevel="1" spans="1:16">
      <c r="A201" s="63"/>
      <c r="B201" s="64"/>
      <c r="C201" s="59" t="s">
        <v>64</v>
      </c>
      <c r="D201" s="59" t="s">
        <v>1904</v>
      </c>
      <c r="E201" s="65">
        <v>204</v>
      </c>
      <c r="F201" s="67" t="s">
        <v>1910</v>
      </c>
      <c r="G201" s="65">
        <v>20409</v>
      </c>
      <c r="H201" s="67" t="s">
        <v>1911</v>
      </c>
      <c r="I201" s="67" t="s">
        <v>325</v>
      </c>
      <c r="J201" s="67" t="str">
        <f>INDEX(数据元说明!A:F,MATCH(I201,数据元说明!C:C,0),2)</f>
        <v>001001</v>
      </c>
      <c r="K201" s="68" t="str">
        <f>INDEX(数据元说明!A:F,MATCH(I201,数据元说明!C:C,0),5)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01" s="67" t="str">
        <f>INDEX(数据元说明!A:F,MATCH(I201,数据元说明!C:C,0),6)</f>
        <v>C..450</v>
      </c>
      <c r="M201" s="68" t="s">
        <v>1912</v>
      </c>
      <c r="N201" s="68" t="s">
        <v>1601</v>
      </c>
      <c r="O201" s="68"/>
      <c r="P201" s="68"/>
    </row>
    <row r="202" ht="39.95" hidden="1" customHeight="1" outlineLevel="1" spans="1:16">
      <c r="A202" s="63"/>
      <c r="B202" s="64"/>
      <c r="C202" s="59" t="s">
        <v>64</v>
      </c>
      <c r="D202" s="59" t="s">
        <v>1904</v>
      </c>
      <c r="E202" s="65">
        <v>204</v>
      </c>
      <c r="F202" s="67" t="s">
        <v>588</v>
      </c>
      <c r="G202" s="65">
        <v>20410</v>
      </c>
      <c r="H202" s="67" t="s">
        <v>1913</v>
      </c>
      <c r="I202" s="67" t="s">
        <v>588</v>
      </c>
      <c r="J202" s="67" t="str">
        <f>INDEX(数据元说明!A:F,MATCH(I202,数据元说明!C:C,0),2)</f>
        <v>002025</v>
      </c>
      <c r="K202" s="68" t="str">
        <f>INDEX(数据元说明!A:F,MATCH(I202,数据元说明!C:C,0),5)</f>
        <v>本部报表，合并报表，其他-银行自定义。无法以枚举类型填报的，以“其他-XX”填报，其中“XX”为银行自定义类型。</v>
      </c>
      <c r="L202" s="67" t="str">
        <f>INDEX(数据元说明!A:F,MATCH(I202,数据元说明!C:C,0),6)</f>
        <v>C..30</v>
      </c>
      <c r="M202" s="68"/>
      <c r="N202" s="68" t="s">
        <v>1601</v>
      </c>
      <c r="O202" s="68"/>
      <c r="P202" s="68"/>
    </row>
    <row r="203" ht="39.95" hidden="1" customHeight="1" outlineLevel="1" spans="1:16">
      <c r="A203" s="63"/>
      <c r="B203" s="64"/>
      <c r="C203" s="59" t="s">
        <v>64</v>
      </c>
      <c r="D203" s="59" t="s">
        <v>1904</v>
      </c>
      <c r="E203" s="65">
        <v>204</v>
      </c>
      <c r="F203" s="67" t="s">
        <v>642</v>
      </c>
      <c r="G203" s="65">
        <v>20411</v>
      </c>
      <c r="H203" s="67" t="s">
        <v>1914</v>
      </c>
      <c r="I203" s="67" t="s">
        <v>642</v>
      </c>
      <c r="J203" s="67" t="str">
        <f>INDEX(数据元说明!A:F,MATCH(I203,数据元说明!C:C,0),2)</f>
        <v>003010</v>
      </c>
      <c r="K203" s="68" t="str">
        <f>INDEX(数据元说明!A:F,MATCH(I203,数据元说明!C:C,0),5)</f>
        <v>遵循《GB/T 12406 表示货币和资金的代码》的字母代码，如CNY。上述文件所列币种无法涵盖的，允许银行自定义填报。多个币种合计折算为人民币（本外币合计）的，填报为BWB。</v>
      </c>
      <c r="L203" s="67" t="str">
        <f>INDEX(数据元说明!A:F,MATCH(I203,数据元说明!C:C,0),6)</f>
        <v>C3</v>
      </c>
      <c r="M203" s="68"/>
      <c r="N203" s="68" t="s">
        <v>1601</v>
      </c>
      <c r="O203" s="68"/>
      <c r="P203" s="68"/>
    </row>
    <row r="204" ht="39.95" hidden="1" customHeight="1" outlineLevel="1" spans="1:16">
      <c r="A204" s="63"/>
      <c r="B204" s="64"/>
      <c r="C204" s="59" t="s">
        <v>64</v>
      </c>
      <c r="D204" s="59" t="s">
        <v>1904</v>
      </c>
      <c r="E204" s="65">
        <v>204</v>
      </c>
      <c r="F204" s="67" t="s">
        <v>1915</v>
      </c>
      <c r="G204" s="65">
        <v>20412</v>
      </c>
      <c r="H204" s="67" t="s">
        <v>1916</v>
      </c>
      <c r="I204" s="67" t="s">
        <v>634</v>
      </c>
      <c r="J204" s="67" t="str">
        <f>INDEX(数据元说明!A:F,MATCH(I204,数据元说明!C:C,0),2)</f>
        <v>003008</v>
      </c>
      <c r="K204" s="68" t="str">
        <f>INDEX(数据元说明!A:F,MATCH(I204,数据元说明!C:C,0),5)</f>
        <v>与币种相对应金额。</v>
      </c>
      <c r="L204" s="67" t="str">
        <f>INDEX(数据元说明!A:F,MATCH(I204,数据元说明!C:C,0),6)</f>
        <v>D20.2</v>
      </c>
      <c r="M204" s="68"/>
      <c r="N204" s="68" t="s">
        <v>1601</v>
      </c>
      <c r="O204" s="68"/>
      <c r="P204" s="68"/>
    </row>
    <row r="205" ht="39.95" hidden="1" customHeight="1" outlineLevel="1" spans="1:16">
      <c r="A205" s="63"/>
      <c r="B205" s="64"/>
      <c r="C205" s="59" t="s">
        <v>64</v>
      </c>
      <c r="D205" s="59" t="s">
        <v>1904</v>
      </c>
      <c r="E205" s="65">
        <v>204</v>
      </c>
      <c r="F205" s="67" t="s">
        <v>1917</v>
      </c>
      <c r="G205" s="65">
        <v>20413</v>
      </c>
      <c r="H205" s="67" t="s">
        <v>1918</v>
      </c>
      <c r="I205" s="67" t="s">
        <v>634</v>
      </c>
      <c r="J205" s="67" t="str">
        <f>INDEX(数据元说明!A:F,MATCH(I205,数据元说明!C:C,0),2)</f>
        <v>003008</v>
      </c>
      <c r="K205" s="68" t="str">
        <f>INDEX(数据元说明!A:F,MATCH(I205,数据元说明!C:C,0),5)</f>
        <v>与币种相对应金额。</v>
      </c>
      <c r="L205" s="67" t="str">
        <f>INDEX(数据元说明!A:F,MATCH(I205,数据元说明!C:C,0),6)</f>
        <v>D20.2</v>
      </c>
      <c r="M205" s="68"/>
      <c r="N205" s="68" t="s">
        <v>1601</v>
      </c>
      <c r="O205" s="68"/>
      <c r="P205" s="68"/>
    </row>
    <row r="206" ht="39.95" hidden="1" customHeight="1" outlineLevel="1" spans="1:16">
      <c r="A206" s="63"/>
      <c r="B206" s="64"/>
      <c r="C206" s="59" t="s">
        <v>64</v>
      </c>
      <c r="D206" s="59" t="s">
        <v>1904</v>
      </c>
      <c r="E206" s="65">
        <v>204</v>
      </c>
      <c r="F206" s="67" t="s">
        <v>1919</v>
      </c>
      <c r="G206" s="65">
        <v>20414</v>
      </c>
      <c r="H206" s="67" t="s">
        <v>1920</v>
      </c>
      <c r="I206" s="67" t="s">
        <v>634</v>
      </c>
      <c r="J206" s="67" t="str">
        <f>INDEX(数据元说明!A:F,MATCH(I206,数据元说明!C:C,0),2)</f>
        <v>003008</v>
      </c>
      <c r="K206" s="68" t="str">
        <f>INDEX(数据元说明!A:F,MATCH(I206,数据元说明!C:C,0),5)</f>
        <v>与币种相对应金额。</v>
      </c>
      <c r="L206" s="67" t="str">
        <f>INDEX(数据元说明!A:F,MATCH(I206,数据元说明!C:C,0),6)</f>
        <v>D20.2</v>
      </c>
      <c r="M206" s="68"/>
      <c r="N206" s="68" t="s">
        <v>1601</v>
      </c>
      <c r="O206" s="68"/>
      <c r="P206" s="68"/>
    </row>
    <row r="207" ht="39.95" hidden="1" customHeight="1" outlineLevel="1" spans="1:16">
      <c r="A207" s="63"/>
      <c r="B207" s="64"/>
      <c r="C207" s="59" t="s">
        <v>64</v>
      </c>
      <c r="D207" s="59" t="s">
        <v>1904</v>
      </c>
      <c r="E207" s="65">
        <v>204</v>
      </c>
      <c r="F207" s="67" t="s">
        <v>1921</v>
      </c>
      <c r="G207" s="65">
        <v>20415</v>
      </c>
      <c r="H207" s="67" t="s">
        <v>1922</v>
      </c>
      <c r="I207" s="67" t="s">
        <v>634</v>
      </c>
      <c r="J207" s="67" t="str">
        <f>INDEX(数据元说明!A:F,MATCH(I207,数据元说明!C:C,0),2)</f>
        <v>003008</v>
      </c>
      <c r="K207" s="68" t="str">
        <f>INDEX(数据元说明!A:F,MATCH(I207,数据元说明!C:C,0),5)</f>
        <v>与币种相对应金额。</v>
      </c>
      <c r="L207" s="67" t="str">
        <f>INDEX(数据元说明!A:F,MATCH(I207,数据元说明!C:C,0),6)</f>
        <v>D20.2</v>
      </c>
      <c r="M207" s="68"/>
      <c r="N207" s="68" t="s">
        <v>1601</v>
      </c>
      <c r="O207" s="68"/>
      <c r="P207" s="68"/>
    </row>
    <row r="208" ht="39.95" hidden="1" customHeight="1" outlineLevel="1" spans="1:16">
      <c r="A208" s="63"/>
      <c r="B208" s="64"/>
      <c r="C208" s="59" t="s">
        <v>64</v>
      </c>
      <c r="D208" s="59" t="s">
        <v>1904</v>
      </c>
      <c r="E208" s="65">
        <v>204</v>
      </c>
      <c r="F208" s="67" t="s">
        <v>1923</v>
      </c>
      <c r="G208" s="65">
        <v>20416</v>
      </c>
      <c r="H208" s="67" t="s">
        <v>1924</v>
      </c>
      <c r="I208" s="67" t="s">
        <v>634</v>
      </c>
      <c r="J208" s="67" t="str">
        <f>INDEX(数据元说明!A:F,MATCH(I208,数据元说明!C:C,0),2)</f>
        <v>003008</v>
      </c>
      <c r="K208" s="68" t="str">
        <f>INDEX(数据元说明!A:F,MATCH(I208,数据元说明!C:C,0),5)</f>
        <v>与币种相对应金额。</v>
      </c>
      <c r="L208" s="67" t="str">
        <f>INDEX(数据元说明!A:F,MATCH(I208,数据元说明!C:C,0),6)</f>
        <v>D20.2</v>
      </c>
      <c r="M208" s="68"/>
      <c r="N208" s="68" t="s">
        <v>1601</v>
      </c>
      <c r="O208" s="68"/>
      <c r="P208" s="68"/>
    </row>
    <row r="209" ht="39.95" hidden="1" customHeight="1" outlineLevel="1" spans="1:16">
      <c r="A209" s="63"/>
      <c r="B209" s="64"/>
      <c r="C209" s="59" t="s">
        <v>64</v>
      </c>
      <c r="D209" s="59" t="s">
        <v>1904</v>
      </c>
      <c r="E209" s="65">
        <v>204</v>
      </c>
      <c r="F209" s="67" t="s">
        <v>1925</v>
      </c>
      <c r="G209" s="65">
        <v>20417</v>
      </c>
      <c r="H209" s="67" t="s">
        <v>1926</v>
      </c>
      <c r="I209" s="67" t="s">
        <v>634</v>
      </c>
      <c r="J209" s="67" t="str">
        <f>INDEX(数据元说明!A:F,MATCH(I209,数据元说明!C:C,0),2)</f>
        <v>003008</v>
      </c>
      <c r="K209" s="68" t="str">
        <f>INDEX(数据元说明!A:F,MATCH(I209,数据元说明!C:C,0),5)</f>
        <v>与币种相对应金额。</v>
      </c>
      <c r="L209" s="67" t="str">
        <f>INDEX(数据元说明!A:F,MATCH(I209,数据元说明!C:C,0),6)</f>
        <v>D20.2</v>
      </c>
      <c r="M209" s="68"/>
      <c r="N209" s="68" t="s">
        <v>1601</v>
      </c>
      <c r="O209" s="68"/>
      <c r="P209" s="68"/>
    </row>
    <row r="210" ht="39.95" hidden="1" customHeight="1" outlineLevel="1" spans="1:16">
      <c r="A210" s="63"/>
      <c r="B210" s="64"/>
      <c r="C210" s="59" t="s">
        <v>64</v>
      </c>
      <c r="D210" s="59" t="s">
        <v>1904</v>
      </c>
      <c r="E210" s="65">
        <v>204</v>
      </c>
      <c r="F210" s="67" t="s">
        <v>1927</v>
      </c>
      <c r="G210" s="65">
        <v>20418</v>
      </c>
      <c r="H210" s="67" t="s">
        <v>1928</v>
      </c>
      <c r="I210" s="67" t="s">
        <v>634</v>
      </c>
      <c r="J210" s="67" t="str">
        <f>INDEX(数据元说明!A:F,MATCH(I210,数据元说明!C:C,0),2)</f>
        <v>003008</v>
      </c>
      <c r="K210" s="68" t="str">
        <f>INDEX(数据元说明!A:F,MATCH(I210,数据元说明!C:C,0),5)</f>
        <v>与币种相对应金额。</v>
      </c>
      <c r="L210" s="67" t="str">
        <f>INDEX(数据元说明!A:F,MATCH(I210,数据元说明!C:C,0),6)</f>
        <v>D20.2</v>
      </c>
      <c r="M210" s="68"/>
      <c r="N210" s="68" t="s">
        <v>1601</v>
      </c>
      <c r="O210" s="68"/>
      <c r="P210" s="68"/>
    </row>
    <row r="211" ht="39.95" hidden="1" customHeight="1" outlineLevel="1" spans="1:16">
      <c r="A211" s="63"/>
      <c r="B211" s="64"/>
      <c r="C211" s="59" t="s">
        <v>64</v>
      </c>
      <c r="D211" s="59" t="s">
        <v>1904</v>
      </c>
      <c r="E211" s="65">
        <v>204</v>
      </c>
      <c r="F211" s="67" t="s">
        <v>1929</v>
      </c>
      <c r="G211" s="65">
        <v>20419</v>
      </c>
      <c r="H211" s="67" t="s">
        <v>1930</v>
      </c>
      <c r="I211" s="67" t="s">
        <v>634</v>
      </c>
      <c r="J211" s="67" t="str">
        <f>INDEX(数据元说明!A:F,MATCH(I211,数据元说明!C:C,0),2)</f>
        <v>003008</v>
      </c>
      <c r="K211" s="68" t="str">
        <f>INDEX(数据元说明!A:F,MATCH(I211,数据元说明!C:C,0),5)</f>
        <v>与币种相对应金额。</v>
      </c>
      <c r="L211" s="67" t="str">
        <f>INDEX(数据元说明!A:F,MATCH(I211,数据元说明!C:C,0),6)</f>
        <v>D20.2</v>
      </c>
      <c r="M211" s="68"/>
      <c r="N211" s="68" t="s">
        <v>1601</v>
      </c>
      <c r="O211" s="68"/>
      <c r="P211" s="68"/>
    </row>
    <row r="212" ht="39.95" hidden="1" customHeight="1" outlineLevel="1" spans="1:16">
      <c r="A212" s="63"/>
      <c r="B212" s="64"/>
      <c r="C212" s="59" t="s">
        <v>64</v>
      </c>
      <c r="D212" s="59" t="s">
        <v>1904</v>
      </c>
      <c r="E212" s="65">
        <v>204</v>
      </c>
      <c r="F212" s="67" t="s">
        <v>1931</v>
      </c>
      <c r="G212" s="65">
        <v>20420</v>
      </c>
      <c r="H212" s="67" t="s">
        <v>1932</v>
      </c>
      <c r="I212" s="67" t="s">
        <v>634</v>
      </c>
      <c r="J212" s="67" t="str">
        <f>INDEX(数据元说明!A:F,MATCH(I212,数据元说明!C:C,0),2)</f>
        <v>003008</v>
      </c>
      <c r="K212" s="68" t="str">
        <f>INDEX(数据元说明!A:F,MATCH(I212,数据元说明!C:C,0),5)</f>
        <v>与币种相对应金额。</v>
      </c>
      <c r="L212" s="67" t="str">
        <f>INDEX(数据元说明!A:F,MATCH(I212,数据元说明!C:C,0),6)</f>
        <v>D20.2</v>
      </c>
      <c r="M212" s="68"/>
      <c r="N212" s="68" t="s">
        <v>1601</v>
      </c>
      <c r="O212" s="68"/>
      <c r="P212" s="68"/>
    </row>
    <row r="213" ht="39.95" hidden="1" customHeight="1" outlineLevel="1" spans="1:16">
      <c r="A213" s="63"/>
      <c r="B213" s="64"/>
      <c r="C213" s="59" t="s">
        <v>64</v>
      </c>
      <c r="D213" s="59" t="s">
        <v>1904</v>
      </c>
      <c r="E213" s="65">
        <v>204</v>
      </c>
      <c r="F213" s="67" t="s">
        <v>1933</v>
      </c>
      <c r="G213" s="65">
        <v>20421</v>
      </c>
      <c r="H213" s="67" t="s">
        <v>1934</v>
      </c>
      <c r="I213" s="67" t="s">
        <v>695</v>
      </c>
      <c r="J213" s="67" t="str">
        <f>INDEX(数据元说明!A:F,MATCH(I213,数据元说明!C:C,0),2)</f>
        <v>003023</v>
      </c>
      <c r="K213" s="68" t="str">
        <f>INDEX(数据元说明!A:F,MATCH(I213,数据元说明!C:C,0),5)</f>
        <v>日报，月报，季报，半年报，年报，其他-银行自定义。无法以枚举类型填报的，以“其他-XX”填报，其中“XX”为银行自定义类型。</v>
      </c>
      <c r="L213" s="67" t="str">
        <f>INDEX(数据元说明!A:F,MATCH(I213,数据元说明!C:C,0),6)</f>
        <v>C..20</v>
      </c>
      <c r="M213" s="68"/>
      <c r="N213" s="68" t="s">
        <v>1601</v>
      </c>
      <c r="O213" s="68"/>
      <c r="P213" s="68"/>
    </row>
    <row r="214" ht="39.95" hidden="1" customHeight="1" outlineLevel="1" spans="1:16">
      <c r="A214" s="63"/>
      <c r="B214" s="64"/>
      <c r="C214" s="59" t="s">
        <v>64</v>
      </c>
      <c r="D214" s="59" t="s">
        <v>1904</v>
      </c>
      <c r="E214" s="65">
        <v>204</v>
      </c>
      <c r="F214" s="67" t="s">
        <v>484</v>
      </c>
      <c r="G214" s="65">
        <v>20422</v>
      </c>
      <c r="H214" s="67" t="s">
        <v>1623</v>
      </c>
      <c r="I214" s="67" t="s">
        <v>484</v>
      </c>
      <c r="J214" s="67" t="str">
        <f>INDEX(数据元说明!A:F,MATCH(I214,数据元说明!C:C,0),2)</f>
        <v>001038</v>
      </c>
      <c r="K214" s="68" t="str">
        <f>INDEX(数据元说明!A:F,MATCH(I214,数据元说明!C:C,0),5)</f>
        <v>银行自定义。</v>
      </c>
      <c r="L214" s="67" t="str">
        <f>INDEX(数据元说明!A:F,MATCH(I214,数据元说明!C:C,0),6)</f>
        <v>C..600</v>
      </c>
      <c r="M214" s="68" t="s">
        <v>1624</v>
      </c>
      <c r="N214" s="68" t="s">
        <v>1601</v>
      </c>
      <c r="O214" s="68"/>
      <c r="P214" s="68"/>
    </row>
    <row r="215" ht="39.95" hidden="1" customHeight="1" outlineLevel="1" spans="1:16">
      <c r="A215" s="63"/>
      <c r="B215" s="64"/>
      <c r="C215" s="59" t="s">
        <v>64</v>
      </c>
      <c r="D215" s="59" t="s">
        <v>1904</v>
      </c>
      <c r="E215" s="65">
        <v>204</v>
      </c>
      <c r="F215" s="67" t="s">
        <v>1625</v>
      </c>
      <c r="G215" s="65">
        <v>20423</v>
      </c>
      <c r="H215" s="67" t="s">
        <v>1626</v>
      </c>
      <c r="I215" s="67" t="s">
        <v>345</v>
      </c>
      <c r="J215" s="67" t="str">
        <f>INDEX(数据元说明!A:F,MATCH(I215,数据元说明!C:C,0),2)</f>
        <v>001005</v>
      </c>
      <c r="K215" s="68" t="str">
        <f>INDEX(数据元说明!A:F,MATCH(I215,数据元说明!C:C,0),5)</f>
        <v>YYYYMMDD，默认值99991231。</v>
      </c>
      <c r="L215" s="67" t="str">
        <f>INDEX(数据元说明!A:F,MATCH(I215,数据元说明!C:C,0),6)</f>
        <v>C8</v>
      </c>
      <c r="M215" s="68" t="s">
        <v>1627</v>
      </c>
      <c r="N215" s="68" t="s">
        <v>1601</v>
      </c>
      <c r="O215" s="68"/>
      <c r="P215" s="68"/>
    </row>
    <row r="216" ht="39.95" hidden="1" customHeight="1" outlineLevel="1" spans="1:16">
      <c r="A216" s="63"/>
      <c r="B216" s="59"/>
      <c r="C216" s="59" t="s">
        <v>70</v>
      </c>
      <c r="D216" s="59" t="s">
        <v>1935</v>
      </c>
      <c r="E216" s="65">
        <v>205</v>
      </c>
      <c r="F216" s="59"/>
      <c r="G216" s="64"/>
      <c r="H216" s="59"/>
      <c r="I216" s="59"/>
      <c r="J216" s="59"/>
      <c r="K216" s="59"/>
      <c r="L216" s="59"/>
      <c r="M216" s="68" t="str">
        <f>INDEX(表结构总览!D:G,MATCH(D216,表结构总览!D:D,0),4)</f>
        <v>报送在本行纳入集团授信的客户信息，包括供应链客户信息。以集团成员为最小粒度报送。同业集团客户信息无需报送。</v>
      </c>
      <c r="N216" s="59" t="s">
        <v>1601</v>
      </c>
      <c r="O216" s="59"/>
      <c r="P216" s="59"/>
    </row>
    <row r="217" ht="39.95" hidden="1" customHeight="1" outlineLevel="1" spans="1:16">
      <c r="A217" s="63"/>
      <c r="B217" s="64"/>
      <c r="C217" s="59" t="s">
        <v>70</v>
      </c>
      <c r="D217" s="59" t="s">
        <v>1935</v>
      </c>
      <c r="E217" s="65">
        <v>205</v>
      </c>
      <c r="F217" s="67" t="s">
        <v>373</v>
      </c>
      <c r="G217" s="65">
        <v>20501</v>
      </c>
      <c r="H217" s="67" t="s">
        <v>1588</v>
      </c>
      <c r="I217" s="67" t="s">
        <v>373</v>
      </c>
      <c r="J217" s="67" t="str">
        <f>INDEX(数据元说明!A:F,MATCH(I217,数据元说明!C:C,0),2)</f>
        <v>001011</v>
      </c>
      <c r="K217" s="68" t="str">
        <f>INDEX(数据元说明!A:F,MATCH(I217,数据元说明!C:C,0),5)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17" s="67" t="str">
        <f>INDEX(数据元说明!A:F,MATCH(I217,数据元说明!C:C,0),6)</f>
        <v>C..30</v>
      </c>
      <c r="M217" s="68" t="s">
        <v>1760</v>
      </c>
      <c r="N217" s="68" t="s">
        <v>1583</v>
      </c>
      <c r="O217" s="68" t="s">
        <v>484</v>
      </c>
      <c r="P217" s="68"/>
    </row>
    <row r="218" ht="39.95" hidden="1" customHeight="1" outlineLevel="1" spans="1:16">
      <c r="A218" s="63"/>
      <c r="B218" s="64"/>
      <c r="C218" s="59" t="s">
        <v>70</v>
      </c>
      <c r="D218" s="59" t="s">
        <v>1935</v>
      </c>
      <c r="E218" s="65">
        <v>205</v>
      </c>
      <c r="F218" s="67" t="s">
        <v>377</v>
      </c>
      <c r="G218" s="65">
        <v>20502</v>
      </c>
      <c r="H218" s="67" t="s">
        <v>1586</v>
      </c>
      <c r="I218" s="67" t="s">
        <v>377</v>
      </c>
      <c r="J218" s="67" t="str">
        <f>INDEX(数据元说明!A:F,MATCH(I218,数据元说明!C:C,0),2)</f>
        <v>001012</v>
      </c>
      <c r="K218" s="68" t="str">
        <f>INDEX(数据元说明!A:F,MATCH(I218,数据元说明!C:C,0),5)</f>
        <v>银行内部机构号。应具有标识机构的唯一性。</v>
      </c>
      <c r="L218" s="67" t="str">
        <f>INDEX(数据元说明!A:F,MATCH(I218,数据元说明!C:C,0),6)</f>
        <v>C..30</v>
      </c>
      <c r="M218" s="68" t="s">
        <v>1761</v>
      </c>
      <c r="N218" s="68" t="s">
        <v>1601</v>
      </c>
      <c r="O218" s="67"/>
      <c r="P218" s="68"/>
    </row>
    <row r="219" ht="39.95" hidden="1" customHeight="1" outlineLevel="1" spans="1:16">
      <c r="A219" s="63"/>
      <c r="B219" s="64"/>
      <c r="C219" s="59" t="s">
        <v>70</v>
      </c>
      <c r="D219" s="59" t="s">
        <v>1935</v>
      </c>
      <c r="E219" s="65">
        <v>205</v>
      </c>
      <c r="F219" s="67" t="s">
        <v>1592</v>
      </c>
      <c r="G219" s="65">
        <v>20503</v>
      </c>
      <c r="H219" s="67" t="s">
        <v>1593</v>
      </c>
      <c r="I219" s="67" t="s">
        <v>325</v>
      </c>
      <c r="J219" s="67" t="str">
        <f>INDEX(数据元说明!A:F,MATCH(I219,数据元说明!C:C,0),2)</f>
        <v>001001</v>
      </c>
      <c r="K219" s="68" t="str">
        <f>INDEX(数据元说明!A:F,MATCH(I219,数据元说明!C:C,0),5)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19" s="67" t="str">
        <f>INDEX(数据元说明!A:F,MATCH(I219,数据元说明!C:C,0),6)</f>
        <v>C..450</v>
      </c>
      <c r="M219" s="68" t="s">
        <v>1762</v>
      </c>
      <c r="N219" s="68" t="s">
        <v>1601</v>
      </c>
      <c r="O219" s="67"/>
      <c r="P219" s="68"/>
    </row>
    <row r="220" ht="39.95" hidden="1" customHeight="1" outlineLevel="1" spans="1:16">
      <c r="A220" s="63"/>
      <c r="B220" s="64"/>
      <c r="C220" s="59" t="s">
        <v>70</v>
      </c>
      <c r="D220" s="59" t="s">
        <v>1935</v>
      </c>
      <c r="E220" s="65">
        <v>205</v>
      </c>
      <c r="F220" s="67" t="s">
        <v>592</v>
      </c>
      <c r="G220" s="65">
        <v>20504</v>
      </c>
      <c r="H220" s="67" t="s">
        <v>1936</v>
      </c>
      <c r="I220" s="67" t="s">
        <v>592</v>
      </c>
      <c r="J220" s="67" t="str">
        <f>INDEX(数据元说明!A:F,MATCH(I220,数据元说明!C:C,0),2)</f>
        <v>002026</v>
      </c>
      <c r="K220" s="68" t="str">
        <f>INDEX(数据元说明!A:F,MATCH(I220,数据元说明!C:C,0),5)</f>
        <v>银行为统一管理，根据既定规则生成并分配给集团客户作为唯一识别的编号。</v>
      </c>
      <c r="L220" s="67" t="str">
        <f>INDEX(数据元说明!A:F,MATCH(I220,数据元说明!C:C,0),6)</f>
        <v>C..60</v>
      </c>
      <c r="M220" s="68" t="s">
        <v>1679</v>
      </c>
      <c r="N220" s="68" t="s">
        <v>1601</v>
      </c>
      <c r="O220" s="67"/>
      <c r="P220" s="68"/>
    </row>
    <row r="221" ht="39.95" hidden="1" customHeight="1" outlineLevel="1" spans="1:16">
      <c r="A221" s="63"/>
      <c r="B221" s="64"/>
      <c r="C221" s="59" t="s">
        <v>70</v>
      </c>
      <c r="D221" s="59" t="s">
        <v>1935</v>
      </c>
      <c r="E221" s="65">
        <v>205</v>
      </c>
      <c r="F221" s="67" t="s">
        <v>1937</v>
      </c>
      <c r="G221" s="65">
        <v>20505</v>
      </c>
      <c r="H221" s="67" t="s">
        <v>1938</v>
      </c>
      <c r="I221" s="67" t="s">
        <v>325</v>
      </c>
      <c r="J221" s="67" t="str">
        <f>INDEX(数据元说明!A:F,MATCH(I221,数据元说明!C:C,0),2)</f>
        <v>001001</v>
      </c>
      <c r="K221" s="68" t="str">
        <f>INDEX(数据元说明!A:F,MATCH(I221,数据元说明!C:C,0),5)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21" s="67" t="str">
        <f>INDEX(数据元说明!A:F,MATCH(I221,数据元说明!C:C,0),6)</f>
        <v>C..450</v>
      </c>
      <c r="M221" s="68"/>
      <c r="N221" s="68" t="s">
        <v>1601</v>
      </c>
      <c r="O221" s="67"/>
      <c r="P221" s="68"/>
    </row>
    <row r="222" ht="39.95" hidden="1" customHeight="1" outlineLevel="1" spans="1:16">
      <c r="A222" s="63"/>
      <c r="B222" s="64"/>
      <c r="C222" s="59" t="s">
        <v>70</v>
      </c>
      <c r="D222" s="59" t="s">
        <v>1935</v>
      </c>
      <c r="E222" s="65">
        <v>205</v>
      </c>
      <c r="F222" s="67" t="s">
        <v>1939</v>
      </c>
      <c r="G222" s="65">
        <v>20506</v>
      </c>
      <c r="H222" s="67" t="s">
        <v>1940</v>
      </c>
      <c r="I222" s="67" t="s">
        <v>488</v>
      </c>
      <c r="J222" s="67" t="str">
        <f>INDEX(数据元说明!A:F,MATCH(I222,数据元说明!C:C,0),2)</f>
        <v>002001</v>
      </c>
      <c r="K222" s="68" t="str">
        <f>INDEX(数据元说明!A:F,MATCH(I222,数据元说明!C:C,0),5)</f>
        <v>银行自定义的唯一识别客户的标识。供应链融资的填写供应链融资编码。</v>
      </c>
      <c r="L222" s="67" t="str">
        <f>INDEX(数据元说明!A:F,MATCH(I222,数据元说明!C:C,0),6)</f>
        <v>C..60</v>
      </c>
      <c r="M222" s="68" t="s">
        <v>1941</v>
      </c>
      <c r="N222" s="68" t="s">
        <v>1601</v>
      </c>
      <c r="O222" s="67"/>
      <c r="P222" s="68"/>
    </row>
    <row r="223" ht="39.95" hidden="1" customHeight="1" outlineLevel="1" spans="1:16">
      <c r="A223" s="63"/>
      <c r="B223" s="64"/>
      <c r="C223" s="59" t="s">
        <v>70</v>
      </c>
      <c r="D223" s="59" t="s">
        <v>1935</v>
      </c>
      <c r="E223" s="65">
        <v>205</v>
      </c>
      <c r="F223" s="67" t="s">
        <v>1942</v>
      </c>
      <c r="G223" s="65">
        <v>20507</v>
      </c>
      <c r="H223" s="67" t="s">
        <v>1943</v>
      </c>
      <c r="I223" s="67" t="s">
        <v>325</v>
      </c>
      <c r="J223" s="67" t="str">
        <f>INDEX(数据元说明!A:F,MATCH(I223,数据元说明!C:C,0),2)</f>
        <v>001001</v>
      </c>
      <c r="K223" s="68" t="str">
        <f>INDEX(数据元说明!A:F,MATCH(I223,数据元说明!C:C,0),5)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23" s="67" t="str">
        <f>INDEX(数据元说明!A:F,MATCH(I223,数据元说明!C:C,0),6)</f>
        <v>C..450</v>
      </c>
      <c r="M223" s="68" t="s">
        <v>1944</v>
      </c>
      <c r="N223" s="68" t="s">
        <v>1601</v>
      </c>
      <c r="O223" s="67"/>
      <c r="P223" s="68"/>
    </row>
    <row r="224" ht="39.95" hidden="1" customHeight="1" outlineLevel="1" spans="1:16">
      <c r="A224" s="63"/>
      <c r="B224" s="64"/>
      <c r="C224" s="59" t="s">
        <v>70</v>
      </c>
      <c r="D224" s="59" t="s">
        <v>1935</v>
      </c>
      <c r="E224" s="65">
        <v>205</v>
      </c>
      <c r="F224" s="67" t="s">
        <v>1945</v>
      </c>
      <c r="G224" s="65">
        <v>20508</v>
      </c>
      <c r="H224" s="67" t="s">
        <v>1946</v>
      </c>
      <c r="I224" s="67" t="s">
        <v>325</v>
      </c>
      <c r="J224" s="67" t="str">
        <f>INDEX(数据元说明!A:F,MATCH(I224,数据元说明!C:C,0),2)</f>
        <v>001001</v>
      </c>
      <c r="K224" s="68" t="str">
        <f>INDEX(数据元说明!A:F,MATCH(I224,数据元说明!C:C,0),5)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24" s="67" t="str">
        <f>INDEX(数据元说明!A:F,MATCH(I224,数据元说明!C:C,0),6)</f>
        <v>C..450</v>
      </c>
      <c r="M224" s="68" t="s">
        <v>1947</v>
      </c>
      <c r="N224" s="68" t="s">
        <v>1601</v>
      </c>
      <c r="O224" s="67"/>
      <c r="P224" s="68"/>
    </row>
    <row r="225" ht="39.95" hidden="1" customHeight="1" outlineLevel="1" spans="1:16">
      <c r="A225" s="63"/>
      <c r="B225" s="64"/>
      <c r="C225" s="59" t="s">
        <v>70</v>
      </c>
      <c r="D225" s="59" t="s">
        <v>1935</v>
      </c>
      <c r="E225" s="65">
        <v>205</v>
      </c>
      <c r="F225" s="67" t="s">
        <v>1948</v>
      </c>
      <c r="G225" s="65">
        <v>20509</v>
      </c>
      <c r="H225" s="67" t="s">
        <v>1949</v>
      </c>
      <c r="I225" s="67" t="s">
        <v>596</v>
      </c>
      <c r="J225" s="67" t="str">
        <f>INDEX(数据元说明!A:F,MATCH(I225,数据元说明!C:C,0),2)</f>
        <v>002027</v>
      </c>
      <c r="K225" s="68" t="str">
        <f>INDEX(数据元说明!A:F,MATCH(I225,数据元说明!C:C,0),5)</f>
        <v>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v>
      </c>
      <c r="L225" s="67" t="str">
        <f>INDEX(数据元说明!A:F,MATCH(I225,数据元说明!C:C,0),6)</f>
        <v>C..60</v>
      </c>
      <c r="M225" s="68"/>
      <c r="N225" s="68" t="s">
        <v>1601</v>
      </c>
      <c r="O225" s="67"/>
      <c r="P225" s="68"/>
    </row>
    <row r="226" ht="39.95" hidden="1" customHeight="1" outlineLevel="1" spans="1:16">
      <c r="A226" s="63"/>
      <c r="B226" s="64"/>
      <c r="C226" s="59" t="s">
        <v>70</v>
      </c>
      <c r="D226" s="59" t="s">
        <v>1935</v>
      </c>
      <c r="E226" s="65">
        <v>205</v>
      </c>
      <c r="F226" s="67" t="s">
        <v>642</v>
      </c>
      <c r="G226" s="65">
        <v>20510</v>
      </c>
      <c r="H226" s="67" t="s">
        <v>1914</v>
      </c>
      <c r="I226" s="67" t="s">
        <v>642</v>
      </c>
      <c r="J226" s="67" t="str">
        <f>INDEX(数据元说明!A:F,MATCH(I226,数据元说明!C:C,0),2)</f>
        <v>003010</v>
      </c>
      <c r="K226" s="68" t="str">
        <f>INDEX(数据元说明!A:F,MATCH(I226,数据元说明!C:C,0),5)</f>
        <v>遵循《GB/T 12406 表示货币和资金的代码》的字母代码，如CNY。上述文件所列币种无法涵盖的，允许银行自定义填报。多个币种合计折算为人民币（本外币合计）的，填报为BWB。</v>
      </c>
      <c r="L226" s="67" t="str">
        <f>INDEX(数据元说明!A:F,MATCH(I226,数据元说明!C:C,0),6)</f>
        <v>C3</v>
      </c>
      <c r="M226" s="68"/>
      <c r="N226" s="68" t="s">
        <v>1601</v>
      </c>
      <c r="O226" s="67"/>
      <c r="P226" s="68"/>
    </row>
    <row r="227" ht="39.95" hidden="1" customHeight="1" outlineLevel="1" spans="1:16">
      <c r="A227" s="63"/>
      <c r="B227" s="64"/>
      <c r="C227" s="59" t="s">
        <v>70</v>
      </c>
      <c r="D227" s="59" t="s">
        <v>1935</v>
      </c>
      <c r="E227" s="65">
        <v>205</v>
      </c>
      <c r="F227" s="67" t="s">
        <v>1950</v>
      </c>
      <c r="G227" s="65">
        <v>20511</v>
      </c>
      <c r="H227" s="67" t="s">
        <v>1951</v>
      </c>
      <c r="I227" s="67" t="s">
        <v>634</v>
      </c>
      <c r="J227" s="67" t="str">
        <f>INDEX(数据元说明!A:F,MATCH(I227,数据元说明!C:C,0),2)</f>
        <v>003008</v>
      </c>
      <c r="K227" s="68" t="str">
        <f>INDEX(数据元说明!A:F,MATCH(I227,数据元说明!C:C,0),5)</f>
        <v>与币种相对应金额。</v>
      </c>
      <c r="L227" s="67" t="str">
        <f>INDEX(数据元说明!A:F,MATCH(I227,数据元说明!C:C,0),6)</f>
        <v>D20.2</v>
      </c>
      <c r="M227" s="68" t="s">
        <v>1952</v>
      </c>
      <c r="N227" s="68" t="s">
        <v>1601</v>
      </c>
      <c r="O227" s="67"/>
      <c r="P227" s="68"/>
    </row>
    <row r="228" ht="39.95" hidden="1" customHeight="1" outlineLevel="1" spans="1:16">
      <c r="A228" s="63"/>
      <c r="B228" s="64"/>
      <c r="C228" s="59" t="s">
        <v>70</v>
      </c>
      <c r="D228" s="59" t="s">
        <v>1935</v>
      </c>
      <c r="E228" s="65">
        <v>205</v>
      </c>
      <c r="F228" s="67" t="s">
        <v>1953</v>
      </c>
      <c r="G228" s="65">
        <v>20512</v>
      </c>
      <c r="H228" s="67" t="s">
        <v>1954</v>
      </c>
      <c r="I228" s="67" t="s">
        <v>634</v>
      </c>
      <c r="J228" s="67" t="str">
        <f>INDEX(数据元说明!A:F,MATCH(I228,数据元说明!C:C,0),2)</f>
        <v>003008</v>
      </c>
      <c r="K228" s="68" t="str">
        <f>INDEX(数据元说明!A:F,MATCH(I228,数据元说明!C:C,0),5)</f>
        <v>与币种相对应金额。</v>
      </c>
      <c r="L228" s="67" t="str">
        <f>INDEX(数据元说明!A:F,MATCH(I228,数据元说明!C:C,0),6)</f>
        <v>D20.2</v>
      </c>
      <c r="M228" s="68" t="s">
        <v>1955</v>
      </c>
      <c r="N228" s="68" t="s">
        <v>1601</v>
      </c>
      <c r="O228" s="67"/>
      <c r="P228" s="68"/>
    </row>
    <row r="229" ht="39.95" hidden="1" customHeight="1" outlineLevel="1" spans="1:16">
      <c r="A229" s="63"/>
      <c r="B229" s="64"/>
      <c r="C229" s="59" t="s">
        <v>70</v>
      </c>
      <c r="D229" s="59" t="s">
        <v>1935</v>
      </c>
      <c r="E229" s="65">
        <v>205</v>
      </c>
      <c r="F229" s="67" t="s">
        <v>1956</v>
      </c>
      <c r="G229" s="65">
        <v>20513</v>
      </c>
      <c r="H229" s="67" t="s">
        <v>1957</v>
      </c>
      <c r="I229" s="67" t="s">
        <v>634</v>
      </c>
      <c r="J229" s="67" t="str">
        <f>INDEX(数据元说明!A:F,MATCH(I229,数据元说明!C:C,0),2)</f>
        <v>003008</v>
      </c>
      <c r="K229" s="68" t="str">
        <f>INDEX(数据元说明!A:F,MATCH(I229,数据元说明!C:C,0),5)</f>
        <v>与币种相对应金额。</v>
      </c>
      <c r="L229" s="67" t="str">
        <f>INDEX(数据元说明!A:F,MATCH(I229,数据元说明!C:C,0),6)</f>
        <v>D20.2</v>
      </c>
      <c r="M229" s="68" t="s">
        <v>1958</v>
      </c>
      <c r="N229" s="68" t="s">
        <v>1601</v>
      </c>
      <c r="O229" s="67"/>
      <c r="P229" s="68"/>
    </row>
    <row r="230" ht="39.95" hidden="1" customHeight="1" outlineLevel="1" spans="1:16">
      <c r="A230" s="63"/>
      <c r="B230" s="64"/>
      <c r="C230" s="59" t="s">
        <v>70</v>
      </c>
      <c r="D230" s="59" t="s">
        <v>1935</v>
      </c>
      <c r="E230" s="65">
        <v>205</v>
      </c>
      <c r="F230" s="67" t="s">
        <v>1959</v>
      </c>
      <c r="G230" s="65">
        <v>20514</v>
      </c>
      <c r="H230" s="67" t="s">
        <v>1960</v>
      </c>
      <c r="I230" s="67" t="s">
        <v>634</v>
      </c>
      <c r="J230" s="67" t="str">
        <f>INDEX(数据元说明!A:F,MATCH(I230,数据元说明!C:C,0),2)</f>
        <v>003008</v>
      </c>
      <c r="K230" s="68" t="str">
        <f>INDEX(数据元说明!A:F,MATCH(I230,数据元说明!C:C,0),5)</f>
        <v>与币种相对应金额。</v>
      </c>
      <c r="L230" s="67" t="str">
        <f>INDEX(数据元说明!A:F,MATCH(I230,数据元说明!C:C,0),6)</f>
        <v>D20.2</v>
      </c>
      <c r="M230" s="68" t="s">
        <v>1961</v>
      </c>
      <c r="N230" s="68" t="s">
        <v>1601</v>
      </c>
      <c r="O230" s="67"/>
      <c r="P230" s="68"/>
    </row>
    <row r="231" ht="39.95" hidden="1" customHeight="1" outlineLevel="1" spans="1:16">
      <c r="A231" s="63"/>
      <c r="B231" s="64"/>
      <c r="C231" s="59" t="s">
        <v>70</v>
      </c>
      <c r="D231" s="59" t="s">
        <v>1935</v>
      </c>
      <c r="E231" s="65">
        <v>205</v>
      </c>
      <c r="F231" s="67" t="s">
        <v>1962</v>
      </c>
      <c r="G231" s="65">
        <v>20515</v>
      </c>
      <c r="H231" s="67" t="s">
        <v>1963</v>
      </c>
      <c r="I231" s="67" t="s">
        <v>488</v>
      </c>
      <c r="J231" s="67" t="str">
        <f>INDEX(数据元说明!A:F,MATCH(I231,数据元说明!C:C,0),2)</f>
        <v>002001</v>
      </c>
      <c r="K231" s="68" t="str">
        <f>INDEX(数据元说明!A:F,MATCH(I231,数据元说明!C:C,0),5)</f>
        <v>银行自定义的唯一识别客户的标识。供应链融资的填写供应链融资编码。</v>
      </c>
      <c r="L231" s="67" t="str">
        <f>INDEX(数据元说明!A:F,MATCH(I231,数据元说明!C:C,0),6)</f>
        <v>C..60</v>
      </c>
      <c r="M231" s="68" t="s">
        <v>1964</v>
      </c>
      <c r="N231" s="68" t="s">
        <v>1601</v>
      </c>
      <c r="O231" s="67"/>
      <c r="P231" s="68"/>
    </row>
    <row r="232" ht="39.95" hidden="1" customHeight="1" outlineLevel="1" spans="1:16">
      <c r="A232" s="63"/>
      <c r="B232" s="64"/>
      <c r="C232" s="59" t="s">
        <v>70</v>
      </c>
      <c r="D232" s="59" t="s">
        <v>1935</v>
      </c>
      <c r="E232" s="65">
        <v>205</v>
      </c>
      <c r="F232" s="67" t="s">
        <v>1965</v>
      </c>
      <c r="G232" s="65">
        <v>20516</v>
      </c>
      <c r="H232" s="67" t="s">
        <v>1966</v>
      </c>
      <c r="I232" s="67" t="s">
        <v>325</v>
      </c>
      <c r="J232" s="67" t="str">
        <f>INDEX(数据元说明!A:F,MATCH(I232,数据元说明!C:C,0),2)</f>
        <v>001001</v>
      </c>
      <c r="K232" s="68" t="str">
        <f>INDEX(数据元说明!A:F,MATCH(I232,数据元说明!C:C,0),5)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32" s="67" t="str">
        <f>INDEX(数据元说明!A:F,MATCH(I232,数据元说明!C:C,0),6)</f>
        <v>C..450</v>
      </c>
      <c r="M232" s="68" t="s">
        <v>1967</v>
      </c>
      <c r="N232" s="68" t="s">
        <v>1601</v>
      </c>
      <c r="O232" s="67"/>
      <c r="P232" s="68"/>
    </row>
    <row r="233" ht="39.95" hidden="1" customHeight="1" outlineLevel="1" spans="1:16">
      <c r="A233" s="63"/>
      <c r="B233" s="64"/>
      <c r="C233" s="59" t="s">
        <v>70</v>
      </c>
      <c r="D233" s="59" t="s">
        <v>1935</v>
      </c>
      <c r="E233" s="65">
        <v>205</v>
      </c>
      <c r="F233" s="67" t="s">
        <v>1968</v>
      </c>
      <c r="G233" s="65">
        <v>20517</v>
      </c>
      <c r="H233" s="67" t="s">
        <v>1969</v>
      </c>
      <c r="I233" s="67" t="s">
        <v>634</v>
      </c>
      <c r="J233" s="67" t="str">
        <f>INDEX(数据元说明!A:F,MATCH(I233,数据元说明!C:C,0),2)</f>
        <v>003008</v>
      </c>
      <c r="K233" s="68" t="str">
        <f>INDEX(数据元说明!A:F,MATCH(I233,数据元说明!C:C,0),5)</f>
        <v>与币种相对应金额。</v>
      </c>
      <c r="L233" s="67" t="str">
        <f>INDEX(数据元说明!A:F,MATCH(I233,数据元说明!C:C,0),6)</f>
        <v>D20.2</v>
      </c>
      <c r="M233" s="68"/>
      <c r="N233" s="68" t="s">
        <v>1601</v>
      </c>
      <c r="O233" s="67"/>
      <c r="P233" s="68"/>
    </row>
    <row r="234" ht="39.95" hidden="1" customHeight="1" outlineLevel="1" spans="1:16">
      <c r="A234" s="63"/>
      <c r="B234" s="64"/>
      <c r="C234" s="59" t="s">
        <v>70</v>
      </c>
      <c r="D234" s="59" t="s">
        <v>1935</v>
      </c>
      <c r="E234" s="65">
        <v>205</v>
      </c>
      <c r="F234" s="67" t="s">
        <v>484</v>
      </c>
      <c r="G234" s="65">
        <v>20518</v>
      </c>
      <c r="H234" s="67" t="s">
        <v>1623</v>
      </c>
      <c r="I234" s="67" t="s">
        <v>484</v>
      </c>
      <c r="J234" s="67" t="str">
        <f>INDEX(数据元说明!A:F,MATCH(I234,数据元说明!C:C,0),2)</f>
        <v>001038</v>
      </c>
      <c r="K234" s="68" t="str">
        <f>INDEX(数据元说明!A:F,MATCH(I234,数据元说明!C:C,0),5)</f>
        <v>银行自定义。</v>
      </c>
      <c r="L234" s="67" t="str">
        <f>INDEX(数据元说明!A:F,MATCH(I234,数据元说明!C:C,0),6)</f>
        <v>C..600</v>
      </c>
      <c r="M234" s="68" t="s">
        <v>1624</v>
      </c>
      <c r="N234" s="68" t="s">
        <v>1601</v>
      </c>
      <c r="O234" s="68"/>
      <c r="P234" s="68"/>
    </row>
    <row r="235" ht="39.95" hidden="1" customHeight="1" outlineLevel="1" spans="1:16">
      <c r="A235" s="63"/>
      <c r="B235" s="64"/>
      <c r="C235" s="59" t="s">
        <v>70</v>
      </c>
      <c r="D235" s="59" t="s">
        <v>1935</v>
      </c>
      <c r="E235" s="65">
        <v>205</v>
      </c>
      <c r="F235" s="67" t="s">
        <v>1625</v>
      </c>
      <c r="G235" s="65">
        <v>20519</v>
      </c>
      <c r="H235" s="67" t="s">
        <v>1626</v>
      </c>
      <c r="I235" s="67" t="s">
        <v>345</v>
      </c>
      <c r="J235" s="67" t="str">
        <f>INDEX(数据元说明!A:F,MATCH(I235,数据元说明!C:C,0),2)</f>
        <v>001005</v>
      </c>
      <c r="K235" s="68" t="str">
        <f>INDEX(数据元说明!A:F,MATCH(I235,数据元说明!C:C,0),5)</f>
        <v>YYYYMMDD，默认值99991231。</v>
      </c>
      <c r="L235" s="67" t="str">
        <f>INDEX(数据元说明!A:F,MATCH(I235,数据元说明!C:C,0),6)</f>
        <v>C8</v>
      </c>
      <c r="M235" s="68" t="s">
        <v>1627</v>
      </c>
      <c r="N235" s="68" t="s">
        <v>1601</v>
      </c>
      <c r="O235" s="67"/>
      <c r="P235" s="68"/>
    </row>
    <row r="236" ht="39.95" customHeight="1" collapsed="1" spans="1:16">
      <c r="A236" s="63"/>
      <c r="B236" s="64"/>
      <c r="C236" s="59" t="s">
        <v>74</v>
      </c>
      <c r="D236" s="59" t="s">
        <v>1970</v>
      </c>
      <c r="E236" s="65">
        <v>206</v>
      </c>
      <c r="F236" s="67"/>
      <c r="G236" s="65"/>
      <c r="H236" s="67"/>
      <c r="I236" s="67"/>
      <c r="J236" s="67"/>
      <c r="K236" s="68"/>
      <c r="L236" s="67"/>
      <c r="M236" s="68" t="str">
        <f>INDEX(表结构总览!D:G,MATCH(D236,表结构总览!D:D,0),4)</f>
        <v>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v>
      </c>
      <c r="N236" s="68" t="s">
        <v>1583</v>
      </c>
      <c r="O236" s="68" t="s">
        <v>484</v>
      </c>
      <c r="P236" s="68"/>
    </row>
    <row r="237" ht="39.95" customHeight="1" outlineLevel="1" spans="1:16">
      <c r="A237" s="63"/>
      <c r="B237" s="64"/>
      <c r="C237" s="59" t="s">
        <v>74</v>
      </c>
      <c r="D237" s="59" t="s">
        <v>1970</v>
      </c>
      <c r="E237" s="65">
        <v>206</v>
      </c>
      <c r="F237" s="67" t="s">
        <v>373</v>
      </c>
      <c r="G237" s="65">
        <v>20601</v>
      </c>
      <c r="H237" s="67" t="s">
        <v>1588</v>
      </c>
      <c r="I237" s="67" t="s">
        <v>373</v>
      </c>
      <c r="J237" s="67" t="str">
        <f>INDEX(数据元说明!A:F,MATCH(I237,数据元说明!C:C,0),2)</f>
        <v>001011</v>
      </c>
      <c r="K237" s="68" t="str">
        <f>INDEX(数据元说明!A:F,MATCH(I237,数据元说明!C:C,0),5)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37" s="67" t="str">
        <f>INDEX(数据元说明!A:F,MATCH(I237,数据元说明!C:C,0),6)</f>
        <v>C..30</v>
      </c>
      <c r="M237" s="68" t="s">
        <v>1760</v>
      </c>
      <c r="N237" s="68" t="s">
        <v>1583</v>
      </c>
      <c r="O237" s="68" t="s">
        <v>484</v>
      </c>
      <c r="P237" s="68"/>
    </row>
    <row r="238" ht="39.95" customHeight="1" outlineLevel="1" spans="1:16">
      <c r="A238" s="63"/>
      <c r="B238" s="64"/>
      <c r="C238" s="59" t="s">
        <v>74</v>
      </c>
      <c r="D238" s="59" t="s">
        <v>1970</v>
      </c>
      <c r="E238" s="65">
        <v>206</v>
      </c>
      <c r="F238" s="67" t="s">
        <v>377</v>
      </c>
      <c r="G238" s="65">
        <v>20602</v>
      </c>
      <c r="H238" s="67" t="s">
        <v>1586</v>
      </c>
      <c r="I238" s="67" t="s">
        <v>377</v>
      </c>
      <c r="J238" s="67" t="str">
        <f>INDEX(数据元说明!A:F,MATCH(I238,数据元说明!C:C,0),2)</f>
        <v>001012</v>
      </c>
      <c r="K238" s="68" t="str">
        <f>INDEX(数据元说明!A:F,MATCH(I238,数据元说明!C:C,0),5)</f>
        <v>银行内部机构号。应具有标识机构的唯一性。</v>
      </c>
      <c r="L238" s="67" t="str">
        <f>INDEX(数据元说明!A:F,MATCH(I238,数据元说明!C:C,0),6)</f>
        <v>C..30</v>
      </c>
      <c r="M238" s="68" t="s">
        <v>1761</v>
      </c>
      <c r="N238" s="68"/>
      <c r="O238" s="68"/>
      <c r="P238" s="68"/>
    </row>
    <row r="239" ht="39.95" customHeight="1" outlineLevel="1" spans="1:16">
      <c r="A239" s="70"/>
      <c r="B239" s="71"/>
      <c r="C239" s="59" t="s">
        <v>74</v>
      </c>
      <c r="D239" s="59" t="s">
        <v>1970</v>
      </c>
      <c r="E239" s="65">
        <v>206</v>
      </c>
      <c r="F239" s="67" t="s">
        <v>488</v>
      </c>
      <c r="G239" s="65">
        <v>20603</v>
      </c>
      <c r="H239" s="67" t="s">
        <v>1699</v>
      </c>
      <c r="I239" s="67" t="s">
        <v>488</v>
      </c>
      <c r="J239" s="67" t="str">
        <f>INDEX(数据元说明!A:F,MATCH(I239,数据元说明!C:C,0),2)</f>
        <v>002001</v>
      </c>
      <c r="K239" s="68" t="str">
        <f>INDEX(数据元说明!A:F,MATCH(I239,数据元说明!C:C,0),5)</f>
        <v>银行自定义的唯一识别客户的标识。供应链融资的填写供应链融资编码。</v>
      </c>
      <c r="L239" s="67" t="str">
        <f>INDEX(数据元说明!A:F,MATCH(I239,数据元说明!C:C,0),6)</f>
        <v>C..60</v>
      </c>
      <c r="M239" s="68" t="s">
        <v>1824</v>
      </c>
      <c r="N239" s="68" t="s">
        <v>1583</v>
      </c>
      <c r="O239" s="68" t="s">
        <v>484</v>
      </c>
      <c r="P239" s="68" t="s">
        <v>1971</v>
      </c>
    </row>
    <row r="240" ht="39.95" customHeight="1" outlineLevel="1" spans="1:16">
      <c r="A240" s="70"/>
      <c r="B240" s="71"/>
      <c r="C240" s="59" t="s">
        <v>74</v>
      </c>
      <c r="D240" s="59" t="s">
        <v>1970</v>
      </c>
      <c r="E240" s="65">
        <v>206</v>
      </c>
      <c r="F240" s="67" t="s">
        <v>1837</v>
      </c>
      <c r="G240" s="65">
        <v>20604</v>
      </c>
      <c r="H240" s="67" t="s">
        <v>1838</v>
      </c>
      <c r="I240" s="67" t="s">
        <v>325</v>
      </c>
      <c r="J240" s="67" t="str">
        <f>INDEX(数据元说明!A:F,MATCH(I240,数据元说明!C:C,0),2)</f>
        <v>001001</v>
      </c>
      <c r="K240" s="68" t="str">
        <f>INDEX(数据元说明!A:F,MATCH(I240,数据元说明!C:C,0),5)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40" s="67" t="str">
        <f>INDEX(数据元说明!A:F,MATCH(I240,数据元说明!C:C,0),6)</f>
        <v>C..450</v>
      </c>
      <c r="M240" s="68" t="s">
        <v>1644</v>
      </c>
      <c r="N240" s="68" t="s">
        <v>1601</v>
      </c>
      <c r="O240" s="68"/>
      <c r="P240" s="68"/>
    </row>
    <row r="241" ht="39.95" customHeight="1" outlineLevel="1" spans="1:16">
      <c r="A241" s="63"/>
      <c r="B241" s="64"/>
      <c r="C241" s="59" t="s">
        <v>74</v>
      </c>
      <c r="D241" s="59" t="s">
        <v>1970</v>
      </c>
      <c r="E241" s="65">
        <v>206</v>
      </c>
      <c r="F241" s="67" t="s">
        <v>1972</v>
      </c>
      <c r="G241" s="65">
        <v>20605</v>
      </c>
      <c r="H241" s="67" t="s">
        <v>1973</v>
      </c>
      <c r="I241" s="67" t="s">
        <v>492</v>
      </c>
      <c r="J241" s="67" t="str">
        <f>INDEX(数据元说明!A:F,MATCH(I241,数据元说明!C:C,0),2)</f>
        <v>002002</v>
      </c>
      <c r="K241" s="68" t="str">
        <f>INDEX(数据元说明!A:F,MATCH(I241,数据元说明!C:C,0),5)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241" s="67" t="str">
        <f>INDEX(数据元说明!A:F,MATCH(I241,数据元说明!C:C,0),6)</f>
        <v>C..60</v>
      </c>
      <c r="M241" s="68"/>
      <c r="N241" s="68" t="s">
        <v>1601</v>
      </c>
      <c r="O241" s="68"/>
      <c r="P241" s="68"/>
    </row>
    <row r="242" ht="39.95" customHeight="1" outlineLevel="1" spans="1:16">
      <c r="A242" s="63"/>
      <c r="B242" s="64"/>
      <c r="C242" s="59" t="s">
        <v>74</v>
      </c>
      <c r="D242" s="59" t="s">
        <v>1970</v>
      </c>
      <c r="E242" s="65">
        <v>206</v>
      </c>
      <c r="F242" s="67" t="s">
        <v>1974</v>
      </c>
      <c r="G242" s="65">
        <v>20606</v>
      </c>
      <c r="H242" s="67" t="s">
        <v>1975</v>
      </c>
      <c r="I242" s="67" t="s">
        <v>496</v>
      </c>
      <c r="J242" s="67" t="str">
        <f>INDEX(数据元说明!A:F,MATCH(I242,数据元说明!C:C,0),2)</f>
        <v>002003</v>
      </c>
      <c r="K242" s="68" t="str">
        <f>INDEX(数据元说明!A:F,MATCH(I242,数据元说明!C:C,0),5)</f>
        <v>与证件类别对应的证件号码。涉及个人身份证件时需按照本规范给定规则进行脱敏处理。</v>
      </c>
      <c r="L242" s="67" t="str">
        <f>INDEX(数据元说明!A:F,MATCH(I242,数据元说明!C:C,0),6)</f>
        <v>C..70</v>
      </c>
      <c r="M242" s="68" t="s">
        <v>1976</v>
      </c>
      <c r="N242" s="68" t="s">
        <v>1583</v>
      </c>
      <c r="O242" s="68" t="s">
        <v>484</v>
      </c>
      <c r="P242" s="68" t="s">
        <v>1977</v>
      </c>
    </row>
    <row r="243" ht="39.95" customHeight="1" outlineLevel="1" spans="1:16">
      <c r="A243" s="63"/>
      <c r="B243" s="64"/>
      <c r="C243" s="59" t="s">
        <v>74</v>
      </c>
      <c r="D243" s="59" t="s">
        <v>1970</v>
      </c>
      <c r="E243" s="65">
        <v>206</v>
      </c>
      <c r="F243" s="67" t="s">
        <v>560</v>
      </c>
      <c r="G243" s="65">
        <v>20607</v>
      </c>
      <c r="H243" s="67" t="s">
        <v>1718</v>
      </c>
      <c r="I243" s="67" t="s">
        <v>560</v>
      </c>
      <c r="J243" s="67" t="str">
        <f>INDEX(数据元说明!A:F,MATCH(I243,数据元说明!C:C,0),2)</f>
        <v>002018</v>
      </c>
      <c r="K243" s="68" t="str">
        <f>INDEX(数据元说明!A:F,MATCH(I243,数据元说明!C:C,0),5)</f>
        <v>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v>
      </c>
      <c r="L243" s="67" t="str">
        <f>INDEX(数据元说明!A:F,MATCH(I243,数据元说明!C:C,0),6)</f>
        <v>C..300</v>
      </c>
      <c r="M243" s="68" t="s">
        <v>1978</v>
      </c>
      <c r="N243" s="68" t="s">
        <v>1583</v>
      </c>
      <c r="O243" s="68" t="s">
        <v>1597</v>
      </c>
      <c r="P243" s="68"/>
    </row>
    <row r="244" ht="39.95" customHeight="1" outlineLevel="1" spans="1:16">
      <c r="A244" s="63"/>
      <c r="B244" s="64"/>
      <c r="C244" s="59" t="s">
        <v>74</v>
      </c>
      <c r="D244" s="59" t="s">
        <v>1970</v>
      </c>
      <c r="E244" s="65">
        <v>206</v>
      </c>
      <c r="F244" s="67" t="s">
        <v>1979</v>
      </c>
      <c r="G244" s="65">
        <v>20608</v>
      </c>
      <c r="H244" s="67" t="s">
        <v>1980</v>
      </c>
      <c r="I244" s="67" t="s">
        <v>488</v>
      </c>
      <c r="J244" s="67" t="str">
        <f>INDEX(数据元说明!A:F,MATCH(I244,数据元说明!C:C,0),2)</f>
        <v>002001</v>
      </c>
      <c r="K244" s="68" t="str">
        <f>INDEX(数据元说明!A:F,MATCH(I244,数据元说明!C:C,0),5)</f>
        <v>银行自定义的唯一识别客户的标识。供应链融资的填写供应链融资编码。</v>
      </c>
      <c r="L244" s="67" t="str">
        <f>INDEX(数据元说明!A:F,MATCH(I244,数据元说明!C:C,0),6)</f>
        <v>C..60</v>
      </c>
      <c r="M244" s="68" t="s">
        <v>1981</v>
      </c>
      <c r="N244" s="68" t="s">
        <v>1583</v>
      </c>
      <c r="O244" s="68" t="s">
        <v>484</v>
      </c>
      <c r="P244" s="68" t="s">
        <v>1634</v>
      </c>
    </row>
    <row r="245" ht="39.95" customHeight="1" outlineLevel="1" spans="1:16">
      <c r="A245" s="63"/>
      <c r="B245" s="64"/>
      <c r="C245" s="59" t="s">
        <v>74</v>
      </c>
      <c r="D245" s="59" t="s">
        <v>1970</v>
      </c>
      <c r="E245" s="65">
        <v>206</v>
      </c>
      <c r="F245" s="67" t="s">
        <v>1982</v>
      </c>
      <c r="G245" s="65">
        <v>20609</v>
      </c>
      <c r="H245" s="67" t="s">
        <v>1983</v>
      </c>
      <c r="I245" s="67" t="s">
        <v>325</v>
      </c>
      <c r="J245" s="67" t="str">
        <f>INDEX(数据元说明!A:F,MATCH(I245,数据元说明!C:C,0),2)</f>
        <v>001001</v>
      </c>
      <c r="K245" s="68" t="str">
        <f>INDEX(数据元说明!A:F,MATCH(I245,数据元说明!C:C,0),5)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45" s="67" t="str">
        <f>INDEX(数据元说明!A:F,MATCH(I245,数据元说明!C:C,0),6)</f>
        <v>C..450</v>
      </c>
      <c r="M245" s="68" t="s">
        <v>1984</v>
      </c>
      <c r="N245" s="68" t="s">
        <v>1583</v>
      </c>
      <c r="O245" s="68" t="s">
        <v>1695</v>
      </c>
      <c r="P245" s="68" t="s">
        <v>1985</v>
      </c>
    </row>
    <row r="246" ht="39.95" customHeight="1" outlineLevel="1" spans="1:16">
      <c r="A246" s="63"/>
      <c r="B246" s="64"/>
      <c r="C246" s="59" t="s">
        <v>74</v>
      </c>
      <c r="D246" s="59" t="s">
        <v>1970</v>
      </c>
      <c r="E246" s="65">
        <v>206</v>
      </c>
      <c r="F246" s="67" t="s">
        <v>556</v>
      </c>
      <c r="G246" s="65">
        <v>20610</v>
      </c>
      <c r="H246" s="67" t="s">
        <v>1986</v>
      </c>
      <c r="I246" s="67" t="s">
        <v>556</v>
      </c>
      <c r="J246" s="67" t="str">
        <f>INDEX(数据元说明!A:F,MATCH(I246,数据元说明!C:C,0),2)</f>
        <v>002017</v>
      </c>
      <c r="K246" s="68" t="str">
        <f>INDEX(数据元说明!A:F,MATCH(I246,数据元说明!C:C,0),5)</f>
        <v>自然人，国有企业，民营企业，政府机关，事业单位，社会团体，境外机构，其他-银行自定义。无法以枚举类型填报的，以“其他-XX”填报，其中“XX”为银行自定义类型。</v>
      </c>
      <c r="L246" s="67" t="str">
        <f>INDEX(数据元说明!A:F,MATCH(I246,数据元说明!C:C,0),6)</f>
        <v>C..30</v>
      </c>
      <c r="M246" s="68"/>
      <c r="N246" s="68" t="s">
        <v>1583</v>
      </c>
      <c r="O246" s="68" t="s">
        <v>321</v>
      </c>
      <c r="P246" s="68"/>
    </row>
    <row r="247" ht="39.95" customHeight="1" outlineLevel="1" spans="1:16">
      <c r="A247" s="63"/>
      <c r="B247" s="64"/>
      <c r="C247" s="59" t="s">
        <v>74</v>
      </c>
      <c r="D247" s="59" t="s">
        <v>1970</v>
      </c>
      <c r="E247" s="65">
        <v>206</v>
      </c>
      <c r="F247" s="67" t="s">
        <v>1987</v>
      </c>
      <c r="G247" s="65">
        <v>20611</v>
      </c>
      <c r="H247" s="67" t="s">
        <v>1988</v>
      </c>
      <c r="I247" s="67" t="s">
        <v>492</v>
      </c>
      <c r="J247" s="67" t="str">
        <f>INDEX(数据元说明!A:F,MATCH(I247,数据元说明!C:C,0),2)</f>
        <v>002002</v>
      </c>
      <c r="K247" s="68" t="str">
        <f>INDEX(数据元说明!A:F,MATCH(I247,数据元说明!C:C,0),5)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247" s="67" t="str">
        <f>INDEX(数据元说明!A:F,MATCH(I247,数据元说明!C:C,0),6)</f>
        <v>C..60</v>
      </c>
      <c r="M247" s="68" t="s">
        <v>1989</v>
      </c>
      <c r="N247" s="68" t="s">
        <v>1601</v>
      </c>
      <c r="O247" s="68"/>
      <c r="P247" s="68"/>
    </row>
    <row r="248" ht="39.95" customHeight="1" outlineLevel="1" spans="1:16">
      <c r="A248" s="63"/>
      <c r="B248" s="64"/>
      <c r="C248" s="59" t="s">
        <v>74</v>
      </c>
      <c r="D248" s="59" t="s">
        <v>1970</v>
      </c>
      <c r="E248" s="65">
        <v>206</v>
      </c>
      <c r="F248" s="67" t="s">
        <v>1990</v>
      </c>
      <c r="G248" s="65">
        <v>20612</v>
      </c>
      <c r="H248" s="67" t="s">
        <v>1991</v>
      </c>
      <c r="I248" s="67" t="s">
        <v>496</v>
      </c>
      <c r="J248" s="67" t="str">
        <f>INDEX(数据元说明!A:F,MATCH(I248,数据元说明!C:C,0),2)</f>
        <v>002003</v>
      </c>
      <c r="K248" s="68" t="str">
        <f>INDEX(数据元说明!A:F,MATCH(I248,数据元说明!C:C,0),5)</f>
        <v>与证件类别对应的证件号码。涉及个人身份证件时需按照本规范给定规则进行脱敏处理。</v>
      </c>
      <c r="L248" s="67" t="str">
        <f>INDEX(数据元说明!A:F,MATCH(I248,数据元说明!C:C,0),6)</f>
        <v>C..70</v>
      </c>
      <c r="M248" s="73" t="s">
        <v>1763</v>
      </c>
      <c r="N248" s="68" t="s">
        <v>1583</v>
      </c>
      <c r="O248" s="68" t="s">
        <v>484</v>
      </c>
      <c r="P248" s="68" t="s">
        <v>1977</v>
      </c>
    </row>
    <row r="249" ht="39.95" customHeight="1" outlineLevel="1" spans="1:16">
      <c r="A249" s="63"/>
      <c r="B249" s="64"/>
      <c r="C249" s="59" t="s">
        <v>74</v>
      </c>
      <c r="D249" s="59" t="s">
        <v>1970</v>
      </c>
      <c r="E249" s="65">
        <v>206</v>
      </c>
      <c r="F249" s="67" t="s">
        <v>1832</v>
      </c>
      <c r="G249" s="65">
        <v>20613</v>
      </c>
      <c r="H249" s="67" t="s">
        <v>1833</v>
      </c>
      <c r="I249" s="67" t="s">
        <v>1045</v>
      </c>
      <c r="J249" s="67" t="str">
        <f>INDEX(数据元说明!A:F,MATCH(I249,数据元说明!C:C,0),2)</f>
        <v>007008</v>
      </c>
      <c r="K249" s="68" t="str">
        <f>INDEX(数据元说明!A:F,MATCH(I249,数据元说明!C:C,0),5)</f>
        <v>有效，无效。</v>
      </c>
      <c r="L249" s="67" t="str">
        <f>INDEX(数据元说明!A:F,MATCH(I249,数据元说明!C:C,0),6)</f>
        <v>C6</v>
      </c>
      <c r="M249" s="68" t="s">
        <v>1992</v>
      </c>
      <c r="N249" s="68" t="s">
        <v>1583</v>
      </c>
      <c r="O249" s="68" t="s">
        <v>321</v>
      </c>
      <c r="P249" s="68"/>
    </row>
    <row r="250" ht="39.95" customHeight="1" outlineLevel="1" spans="1:16">
      <c r="A250" s="63"/>
      <c r="B250" s="64"/>
      <c r="C250" s="59" t="s">
        <v>74</v>
      </c>
      <c r="D250" s="59" t="s">
        <v>1970</v>
      </c>
      <c r="E250" s="65">
        <v>206</v>
      </c>
      <c r="F250" s="67" t="s">
        <v>484</v>
      </c>
      <c r="G250" s="65">
        <v>20614</v>
      </c>
      <c r="H250" s="67" t="s">
        <v>1623</v>
      </c>
      <c r="I250" s="67" t="s">
        <v>484</v>
      </c>
      <c r="J250" s="67" t="str">
        <f>INDEX(数据元说明!A:F,MATCH(I250,数据元说明!C:C,0),2)</f>
        <v>001038</v>
      </c>
      <c r="K250" s="68" t="str">
        <f>INDEX(数据元说明!A:F,MATCH(I250,数据元说明!C:C,0),5)</f>
        <v>银行自定义。</v>
      </c>
      <c r="L250" s="67" t="str">
        <f>INDEX(数据元说明!A:F,MATCH(I250,数据元说明!C:C,0),6)</f>
        <v>C..600</v>
      </c>
      <c r="M250" s="68" t="s">
        <v>1624</v>
      </c>
      <c r="N250" s="68" t="s">
        <v>1601</v>
      </c>
      <c r="O250" s="68"/>
      <c r="P250" s="68"/>
    </row>
    <row r="251" ht="39.95" customHeight="1" outlineLevel="1" spans="1:16">
      <c r="A251" s="63"/>
      <c r="B251" s="64"/>
      <c r="C251" s="59" t="s">
        <v>74</v>
      </c>
      <c r="D251" s="59" t="s">
        <v>1970</v>
      </c>
      <c r="E251" s="65">
        <v>206</v>
      </c>
      <c r="F251" s="67" t="s">
        <v>1625</v>
      </c>
      <c r="G251" s="65">
        <v>20615</v>
      </c>
      <c r="H251" s="67" t="s">
        <v>1626</v>
      </c>
      <c r="I251" s="67" t="s">
        <v>345</v>
      </c>
      <c r="J251" s="67" t="str">
        <f>INDEX(数据元说明!A:F,MATCH(I251,数据元说明!C:C,0),2)</f>
        <v>001005</v>
      </c>
      <c r="K251" s="68" t="str">
        <f>INDEX(数据元说明!A:F,MATCH(I251,数据元说明!C:C,0),5)</f>
        <v>YYYYMMDD，默认值99991231。</v>
      </c>
      <c r="L251" s="67" t="str">
        <f>INDEX(数据元说明!A:F,MATCH(I251,数据元说明!C:C,0),6)</f>
        <v>C8</v>
      </c>
      <c r="M251" s="68" t="s">
        <v>1627</v>
      </c>
      <c r="N251" s="68"/>
      <c r="O251" s="68"/>
      <c r="P251" s="68"/>
    </row>
    <row r="252" ht="39.95" hidden="1" customHeight="1" spans="1:16">
      <c r="A252" s="63" t="s">
        <v>1993</v>
      </c>
      <c r="B252" s="64" t="s">
        <v>79</v>
      </c>
      <c r="C252" s="74"/>
      <c r="D252" s="74"/>
      <c r="E252" s="75"/>
      <c r="F252" s="67"/>
      <c r="G252" s="65"/>
      <c r="H252" s="67"/>
      <c r="I252" s="67"/>
      <c r="J252" s="67"/>
      <c r="K252" s="68"/>
      <c r="L252" s="67"/>
      <c r="M252" s="68"/>
      <c r="N252" s="68"/>
      <c r="O252" s="68"/>
      <c r="P252" s="69"/>
    </row>
    <row r="253" ht="39.95" hidden="1" customHeight="1" spans="1:16">
      <c r="A253" s="63"/>
      <c r="B253" s="64"/>
      <c r="C253" s="59" t="s">
        <v>80</v>
      </c>
      <c r="D253" s="59" t="s">
        <v>1994</v>
      </c>
      <c r="E253" s="65">
        <v>301</v>
      </c>
      <c r="F253" s="67"/>
      <c r="G253" s="65"/>
      <c r="H253" s="67"/>
      <c r="I253" s="67"/>
      <c r="J253" s="67"/>
      <c r="K253" s="68"/>
      <c r="L253" s="67"/>
      <c r="M253" s="68" t="str">
        <f>INDEX(表结构总览!D:G,MATCH(D253,表结构总览!D:D,0),4)</f>
        <v>个人和对公客户在银行机构开办的借记卡信息，指只能存取款而无法透支的卡片信息。当卡片状态为“注销”时，可在报送最后状态的次月不再报送。</v>
      </c>
      <c r="N253" s="68" t="s">
        <v>1583</v>
      </c>
      <c r="O253" s="68" t="s">
        <v>484</v>
      </c>
      <c r="P253" s="69"/>
    </row>
    <row r="254" ht="39.95" hidden="1" customHeight="1" outlineLevel="1" spans="1:16">
      <c r="A254" s="63"/>
      <c r="B254" s="64"/>
      <c r="C254" s="59" t="s">
        <v>80</v>
      </c>
      <c r="D254" s="59" t="s">
        <v>1994</v>
      </c>
      <c r="E254" s="65">
        <v>301</v>
      </c>
      <c r="F254" s="67" t="s">
        <v>373</v>
      </c>
      <c r="G254" s="65">
        <v>30101</v>
      </c>
      <c r="H254" s="67" t="s">
        <v>1588</v>
      </c>
      <c r="I254" s="67" t="s">
        <v>373</v>
      </c>
      <c r="J254" s="67" t="str">
        <f>INDEX(数据元说明!A:F,MATCH(I254,数据元说明!C:C,0),2)</f>
        <v>001011</v>
      </c>
      <c r="K254" s="68" t="str">
        <f>INDEX(数据元说明!A:F,MATCH(I254,数据元说明!C:C,0),5)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54" s="67" t="str">
        <f>INDEX(数据元说明!A:F,MATCH(I254,数据元说明!C:C,0),6)</f>
        <v>C..30</v>
      </c>
      <c r="M254" s="68" t="s">
        <v>1995</v>
      </c>
      <c r="N254" s="68" t="s">
        <v>1583</v>
      </c>
      <c r="O254" s="68" t="s">
        <v>484</v>
      </c>
      <c r="P254" s="68"/>
    </row>
    <row r="255" ht="39.95" hidden="1" customHeight="1" outlineLevel="1" spans="1:16">
      <c r="A255" s="63"/>
      <c r="B255" s="64"/>
      <c r="C255" s="59" t="s">
        <v>80</v>
      </c>
      <c r="D255" s="59" t="s">
        <v>1994</v>
      </c>
      <c r="E255" s="65">
        <v>301</v>
      </c>
      <c r="F255" s="67" t="s">
        <v>377</v>
      </c>
      <c r="G255" s="65">
        <v>30102</v>
      </c>
      <c r="H255" s="67" t="s">
        <v>1586</v>
      </c>
      <c r="I255" s="67" t="s">
        <v>377</v>
      </c>
      <c r="J255" s="67" t="str">
        <f>INDEX(数据元说明!A:F,MATCH(I255,数据元说明!C:C,0),2)</f>
        <v>001012</v>
      </c>
      <c r="K255" s="68" t="str">
        <f>INDEX(数据元说明!A:F,MATCH(I255,数据元说明!C:C,0),5)</f>
        <v>银行内部机构号。应具有标识机构的唯一性。</v>
      </c>
      <c r="L255" s="67" t="str">
        <f>INDEX(数据元说明!A:F,MATCH(I255,数据元说明!C:C,0),6)</f>
        <v>C..30</v>
      </c>
      <c r="M255" s="68" t="s">
        <v>1996</v>
      </c>
      <c r="N255" s="68"/>
      <c r="O255" s="68"/>
      <c r="P255" s="69"/>
    </row>
    <row r="256" ht="39.95" hidden="1" customHeight="1" outlineLevel="1" spans="1:16">
      <c r="A256" s="63"/>
      <c r="B256" s="64"/>
      <c r="C256" s="59" t="s">
        <v>80</v>
      </c>
      <c r="D256" s="59" t="s">
        <v>1994</v>
      </c>
      <c r="E256" s="65">
        <v>301</v>
      </c>
      <c r="F256" s="67" t="s">
        <v>488</v>
      </c>
      <c r="G256" s="65">
        <v>30103</v>
      </c>
      <c r="H256" s="67" t="s">
        <v>1699</v>
      </c>
      <c r="I256" s="67" t="s">
        <v>488</v>
      </c>
      <c r="J256" s="67" t="str">
        <f>INDEX(数据元说明!A:F,MATCH(I256,数据元说明!C:C,0),2)</f>
        <v>002001</v>
      </c>
      <c r="K256" s="68" t="str">
        <f>INDEX(数据元说明!A:F,MATCH(I256,数据元说明!C:C,0),5)</f>
        <v>银行自定义的唯一识别客户的标识。供应链融资的填写供应链融资编码。</v>
      </c>
      <c r="L256" s="67" t="str">
        <f>INDEX(数据元说明!A:F,MATCH(I256,数据元说明!C:C,0),6)</f>
        <v>C..60</v>
      </c>
      <c r="M256" s="68" t="s">
        <v>1711</v>
      </c>
      <c r="N256" s="68" t="s">
        <v>1583</v>
      </c>
      <c r="O256" s="68"/>
      <c r="P256" s="69" t="s">
        <v>1634</v>
      </c>
    </row>
    <row r="257" ht="39.95" hidden="1" customHeight="1" outlineLevel="1" spans="1:16">
      <c r="A257" s="70"/>
      <c r="B257" s="71"/>
      <c r="C257" s="59" t="s">
        <v>80</v>
      </c>
      <c r="D257" s="59" t="s">
        <v>1994</v>
      </c>
      <c r="E257" s="65">
        <v>301</v>
      </c>
      <c r="F257" s="67" t="s">
        <v>1837</v>
      </c>
      <c r="G257" s="65">
        <v>30104</v>
      </c>
      <c r="H257" s="67" t="s">
        <v>1838</v>
      </c>
      <c r="I257" s="67" t="s">
        <v>325</v>
      </c>
      <c r="J257" s="67" t="str">
        <f>INDEX(数据元说明!A:F,MATCH(I257,数据元说明!C:C,0),2)</f>
        <v>001001</v>
      </c>
      <c r="K257" s="68" t="str">
        <f>INDEX(数据元说明!A:F,MATCH(I257,数据元说明!C:C,0),5)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57" s="67" t="str">
        <f>INDEX(数据元说明!A:F,MATCH(I257,数据元说明!C:C,0),6)</f>
        <v>C..450</v>
      </c>
      <c r="M257" s="68" t="s">
        <v>1997</v>
      </c>
      <c r="N257" s="68" t="s">
        <v>1601</v>
      </c>
      <c r="O257" s="68"/>
      <c r="P257" s="68"/>
    </row>
    <row r="258" ht="39.95" hidden="1" customHeight="1" outlineLevel="1" spans="1:16">
      <c r="A258" s="63"/>
      <c r="B258" s="64"/>
      <c r="C258" s="59" t="s">
        <v>80</v>
      </c>
      <c r="D258" s="59" t="s">
        <v>1994</v>
      </c>
      <c r="E258" s="65">
        <v>301</v>
      </c>
      <c r="F258" s="67" t="s">
        <v>492</v>
      </c>
      <c r="G258" s="65">
        <v>30105</v>
      </c>
      <c r="H258" s="67" t="s">
        <v>1639</v>
      </c>
      <c r="I258" s="67" t="s">
        <v>492</v>
      </c>
      <c r="J258" s="67" t="str">
        <f>INDEX(数据元说明!A:F,MATCH(I258,数据元说明!C:C,0),2)</f>
        <v>002002</v>
      </c>
      <c r="K258" s="68" t="str">
        <f>INDEX(数据元说明!A:F,MATCH(I258,数据元说明!C:C,0),5)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258" s="67" t="str">
        <f>INDEX(数据元说明!A:F,MATCH(I258,数据元说明!C:C,0),6)</f>
        <v>C..60</v>
      </c>
      <c r="M258" s="68"/>
      <c r="N258" s="68"/>
      <c r="O258" s="68"/>
      <c r="P258" s="69"/>
    </row>
    <row r="259" ht="39.95" hidden="1" customHeight="1" outlineLevel="1" spans="1:16">
      <c r="A259" s="63"/>
      <c r="B259" s="64"/>
      <c r="C259" s="59" t="s">
        <v>80</v>
      </c>
      <c r="D259" s="59" t="s">
        <v>1994</v>
      </c>
      <c r="E259" s="65">
        <v>301</v>
      </c>
      <c r="F259" s="67" t="s">
        <v>496</v>
      </c>
      <c r="G259" s="65">
        <v>30106</v>
      </c>
      <c r="H259" s="67" t="s">
        <v>1640</v>
      </c>
      <c r="I259" s="67" t="s">
        <v>496</v>
      </c>
      <c r="J259" s="67" t="str">
        <f>INDEX(数据元说明!A:F,MATCH(I259,数据元说明!C:C,0),2)</f>
        <v>002003</v>
      </c>
      <c r="K259" s="68" t="str">
        <f>INDEX(数据元说明!A:F,MATCH(I259,数据元说明!C:C,0),5)</f>
        <v>与证件类别对应的证件号码。涉及个人身份证件时需按照本规范给定规则进行脱敏处理。</v>
      </c>
      <c r="L259" s="67" t="str">
        <f>INDEX(数据元说明!A:F,MATCH(I259,数据元说明!C:C,0),6)</f>
        <v>C..70</v>
      </c>
      <c r="M259" s="68" t="s">
        <v>1998</v>
      </c>
      <c r="N259" s="68" t="s">
        <v>1583</v>
      </c>
      <c r="O259" s="68" t="s">
        <v>322</v>
      </c>
      <c r="P259" s="69"/>
    </row>
    <row r="260" ht="39.95" hidden="1" customHeight="1" outlineLevel="1" spans="1:16">
      <c r="A260" s="63"/>
      <c r="B260" s="64"/>
      <c r="C260" s="59" t="s">
        <v>80</v>
      </c>
      <c r="D260" s="59" t="s">
        <v>1994</v>
      </c>
      <c r="E260" s="65">
        <v>301</v>
      </c>
      <c r="F260" s="67" t="s">
        <v>942</v>
      </c>
      <c r="G260" s="65">
        <v>30107</v>
      </c>
      <c r="H260" s="67" t="s">
        <v>1999</v>
      </c>
      <c r="I260" s="67" t="s">
        <v>942</v>
      </c>
      <c r="J260" s="67" t="str">
        <f>INDEX(数据元说明!A:F,MATCH(I260,数据元说明!C:C,0),2)</f>
        <v>006001</v>
      </c>
      <c r="K260" s="68" t="str">
        <f>INDEX(数据元说明!A:F,MATCH(I260,数据元说明!C:C,0),5)</f>
        <v>卡号，可以是借记卡号，贷记卡号等。</v>
      </c>
      <c r="L260" s="67" t="str">
        <f>INDEX(数据元说明!A:F,MATCH(I260,数据元说明!C:C,0),6)</f>
        <v>C..60</v>
      </c>
      <c r="M260" s="68" t="s">
        <v>1587</v>
      </c>
      <c r="N260" s="68" t="s">
        <v>1583</v>
      </c>
      <c r="O260" s="68"/>
      <c r="P260" s="69" t="s">
        <v>1634</v>
      </c>
    </row>
    <row r="261" ht="39.95" hidden="1" customHeight="1" outlineLevel="1" spans="1:16">
      <c r="A261" s="63"/>
      <c r="B261" s="64"/>
      <c r="C261" s="59" t="s">
        <v>80</v>
      </c>
      <c r="D261" s="59" t="s">
        <v>1994</v>
      </c>
      <c r="E261" s="65">
        <v>301</v>
      </c>
      <c r="F261" s="67" t="s">
        <v>2000</v>
      </c>
      <c r="G261" s="65">
        <v>30108</v>
      </c>
      <c r="H261" s="67" t="s">
        <v>2001</v>
      </c>
      <c r="I261" s="67" t="s">
        <v>605</v>
      </c>
      <c r="J261" s="67" t="str">
        <f>INDEX(数据元说明!A:F,MATCH(I261,数据元说明!C:C,0),2)</f>
        <v>003001</v>
      </c>
      <c r="K261" s="68" t="str">
        <f>INDEX(数据元说明!A:F,MATCH(I261,数据元说明!C:C,0),5)</f>
        <v>系统内最细一级的账号，无唯一性约束，不需要和序号、子序号等做拼接。</v>
      </c>
      <c r="L261" s="67" t="str">
        <f>INDEX(数据元说明!A:F,MATCH(I261,数据元说明!C:C,0),6)</f>
        <v>C..60</v>
      </c>
      <c r="M261" s="68" t="s">
        <v>2002</v>
      </c>
      <c r="N261" s="68" t="s">
        <v>1583</v>
      </c>
      <c r="O261" s="68"/>
      <c r="P261" s="69" t="s">
        <v>1634</v>
      </c>
    </row>
    <row r="262" ht="39.95" hidden="1" customHeight="1" outlineLevel="1" spans="1:16">
      <c r="A262" s="63"/>
      <c r="B262" s="64"/>
      <c r="C262" s="59" t="s">
        <v>80</v>
      </c>
      <c r="D262" s="59" t="s">
        <v>1994</v>
      </c>
      <c r="E262" s="65">
        <v>301</v>
      </c>
      <c r="F262" s="67" t="s">
        <v>946</v>
      </c>
      <c r="G262" s="65">
        <v>30109</v>
      </c>
      <c r="H262" s="67" t="s">
        <v>2003</v>
      </c>
      <c r="I262" s="67" t="s">
        <v>946</v>
      </c>
      <c r="J262" s="67" t="str">
        <f>INDEX(数据元说明!A:F,MATCH(I262,数据元说明!C:C,0),2)</f>
        <v>006002</v>
      </c>
      <c r="K262" s="68" t="str">
        <f>INDEX(数据元说明!A:F,MATCH(I262,数据元说明!C:C,0),5)</f>
        <v>借记卡产品名称，中文字典或中文描述，银行自定义。</v>
      </c>
      <c r="L262" s="67" t="str">
        <f>INDEX(数据元说明!A:F,MATCH(I262,数据元说明!C:C,0),6)</f>
        <v>C..150</v>
      </c>
      <c r="M262" s="68"/>
      <c r="N262" s="68" t="s">
        <v>1583</v>
      </c>
      <c r="O262" s="68" t="s">
        <v>1577</v>
      </c>
      <c r="P262" s="69"/>
    </row>
    <row r="263" ht="39.95" hidden="1" customHeight="1" outlineLevel="1" spans="1:16">
      <c r="A263" s="63"/>
      <c r="B263" s="64"/>
      <c r="C263" s="59" t="s">
        <v>80</v>
      </c>
      <c r="D263" s="59" t="s">
        <v>1994</v>
      </c>
      <c r="E263" s="65">
        <v>301</v>
      </c>
      <c r="F263" s="67" t="s">
        <v>2004</v>
      </c>
      <c r="G263" s="65">
        <v>30110</v>
      </c>
      <c r="H263" s="67" t="s">
        <v>2005</v>
      </c>
      <c r="I263" s="67" t="s">
        <v>330</v>
      </c>
      <c r="J263" s="67" t="str">
        <f>INDEX(数据元说明!A:F,MATCH(I263,数据元说明!C:C,0),2)</f>
        <v>001002</v>
      </c>
      <c r="K263" s="68" t="str">
        <f>INDEX(数据元说明!A:F,MATCH(I263,数据元说明!C:C,0),5)</f>
        <v>是，否。</v>
      </c>
      <c r="L263" s="67" t="str">
        <f>INDEX(数据元说明!A:F,MATCH(I263,数据元说明!C:C,0),6)</f>
        <v>C3</v>
      </c>
      <c r="M263" s="68" t="s">
        <v>2006</v>
      </c>
      <c r="N263" s="68" t="s">
        <v>1601</v>
      </c>
      <c r="O263" s="68"/>
      <c r="P263" s="69"/>
    </row>
    <row r="264" ht="39.95" hidden="1" customHeight="1" outlineLevel="1" spans="1:16">
      <c r="A264" s="63"/>
      <c r="B264" s="64"/>
      <c r="C264" s="59" t="s">
        <v>80</v>
      </c>
      <c r="D264" s="59" t="s">
        <v>1994</v>
      </c>
      <c r="E264" s="65">
        <v>301</v>
      </c>
      <c r="F264" s="67" t="s">
        <v>2007</v>
      </c>
      <c r="G264" s="65">
        <v>30111</v>
      </c>
      <c r="H264" s="67" t="s">
        <v>2008</v>
      </c>
      <c r="I264" s="67" t="s">
        <v>330</v>
      </c>
      <c r="J264" s="67" t="str">
        <f>INDEX(数据元说明!A:F,MATCH(I264,数据元说明!C:C,0),2)</f>
        <v>001002</v>
      </c>
      <c r="K264" s="68" t="str">
        <f>INDEX(数据元说明!A:F,MATCH(I264,数据元说明!C:C,0),5)</f>
        <v>是，否。</v>
      </c>
      <c r="L264" s="67" t="str">
        <f>INDEX(数据元说明!A:F,MATCH(I264,数据元说明!C:C,0),6)</f>
        <v>C3</v>
      </c>
      <c r="M264" s="68" t="s">
        <v>2009</v>
      </c>
      <c r="N264" s="68"/>
      <c r="O264" s="68"/>
      <c r="P264" s="69"/>
    </row>
    <row r="265" ht="39.95" hidden="1" customHeight="1" outlineLevel="1" spans="1:16">
      <c r="A265" s="63"/>
      <c r="B265" s="64"/>
      <c r="C265" s="59" t="s">
        <v>80</v>
      </c>
      <c r="D265" s="59" t="s">
        <v>1994</v>
      </c>
      <c r="E265" s="65">
        <v>301</v>
      </c>
      <c r="F265" s="67" t="s">
        <v>2010</v>
      </c>
      <c r="G265" s="65">
        <v>30112</v>
      </c>
      <c r="H265" s="67" t="s">
        <v>2011</v>
      </c>
      <c r="I265" s="67" t="s">
        <v>345</v>
      </c>
      <c r="J265" s="67" t="str">
        <f>INDEX(数据元说明!A:F,MATCH(I265,数据元说明!C:C,0),2)</f>
        <v>001005</v>
      </c>
      <c r="K265" s="68" t="str">
        <f>INDEX(数据元说明!A:F,MATCH(I265,数据元说明!C:C,0),5)</f>
        <v>YYYYMMDD，默认值99991231。</v>
      </c>
      <c r="L265" s="67" t="str">
        <f>INDEX(数据元说明!A:F,MATCH(I265,数据元说明!C:C,0),6)</f>
        <v>C8</v>
      </c>
      <c r="M265" s="68"/>
      <c r="N265" s="68"/>
      <c r="O265" s="68"/>
      <c r="P265" s="69"/>
    </row>
    <row r="266" ht="39.95" hidden="1" customHeight="1" outlineLevel="1" spans="1:16">
      <c r="A266" s="63"/>
      <c r="B266" s="76"/>
      <c r="C266" s="59" t="s">
        <v>80</v>
      </c>
      <c r="D266" s="59" t="s">
        <v>1994</v>
      </c>
      <c r="E266" s="65">
        <v>301</v>
      </c>
      <c r="F266" s="68" t="s">
        <v>2012</v>
      </c>
      <c r="G266" s="65">
        <v>30113</v>
      </c>
      <c r="H266" s="68" t="s">
        <v>2013</v>
      </c>
      <c r="I266" s="68" t="s">
        <v>409</v>
      </c>
      <c r="J266" s="68" t="str">
        <f>INDEX(数据元说明!A:F,MATCH(I266,数据元说明!C:C,0),2)</f>
        <v>001020</v>
      </c>
      <c r="K266" s="68" t="str">
        <f>INDEX(数据元说明!A:F,MATCH(I266,数据元说明!C:C,0),5)</f>
        <v>柜员编号，银行自定义。</v>
      </c>
      <c r="L266" s="68" t="str">
        <f>INDEX(数据元说明!A:F,MATCH(I266,数据元说明!C:C,0),6)</f>
        <v>C..30</v>
      </c>
      <c r="M266" s="68" t="s">
        <v>2014</v>
      </c>
      <c r="N266" s="69"/>
      <c r="O266" s="69"/>
      <c r="P266" s="75"/>
    </row>
    <row r="267" ht="39.95" hidden="1" customHeight="1" outlineLevel="1" spans="1:16">
      <c r="A267" s="63"/>
      <c r="B267" s="64"/>
      <c r="C267" s="59" t="s">
        <v>80</v>
      </c>
      <c r="D267" s="59" t="s">
        <v>1994</v>
      </c>
      <c r="E267" s="65">
        <v>301</v>
      </c>
      <c r="F267" s="67" t="s">
        <v>950</v>
      </c>
      <c r="G267" s="65">
        <v>30114</v>
      </c>
      <c r="H267" s="67" t="s">
        <v>2015</v>
      </c>
      <c r="I267" s="67" t="s">
        <v>950</v>
      </c>
      <c r="J267" s="67" t="str">
        <f>INDEX(数据元说明!A:F,MATCH(I267,数据元说明!C:C,0),2)</f>
        <v>006003</v>
      </c>
      <c r="K267" s="68" t="str">
        <f>INDEX(数据元说明!A:F,MATCH(I267,数据元说明!C:C,0),5)</f>
        <v>未激活，正常，注销，冻结，睡眠，挂失，其他-银行自定义。以枚举类型填报，如果无法以枚举类型填报的，以“其他-XX”填报，其中XX为银行自定义的卡片状态。</v>
      </c>
      <c r="L267" s="67" t="str">
        <f>INDEX(数据元说明!A:F,MATCH(I267,数据元说明!C:C,0),6)</f>
        <v>C..30</v>
      </c>
      <c r="M267" s="68" t="s">
        <v>2016</v>
      </c>
      <c r="N267" s="68" t="s">
        <v>1583</v>
      </c>
      <c r="O267" s="68" t="s">
        <v>321</v>
      </c>
      <c r="P267" s="69" t="s">
        <v>1648</v>
      </c>
    </row>
    <row r="268" ht="39.95" hidden="1" customHeight="1" outlineLevel="1" spans="1:16">
      <c r="A268" s="63"/>
      <c r="B268" s="64"/>
      <c r="C268" s="59" t="s">
        <v>80</v>
      </c>
      <c r="D268" s="59" t="s">
        <v>1994</v>
      </c>
      <c r="E268" s="65">
        <v>301</v>
      </c>
      <c r="F268" s="67" t="s">
        <v>484</v>
      </c>
      <c r="G268" s="65">
        <v>30115</v>
      </c>
      <c r="H268" s="67" t="s">
        <v>1623</v>
      </c>
      <c r="I268" s="67" t="s">
        <v>484</v>
      </c>
      <c r="J268" s="67" t="str">
        <f>INDEX(数据元说明!A:F,MATCH(I268,数据元说明!C:C,0),2)</f>
        <v>001038</v>
      </c>
      <c r="K268" s="68" t="str">
        <f>INDEX(数据元说明!A:F,MATCH(I268,数据元说明!C:C,0),5)</f>
        <v>银行自定义。</v>
      </c>
      <c r="L268" s="67" t="str">
        <f>INDEX(数据元说明!A:F,MATCH(I268,数据元说明!C:C,0),6)</f>
        <v>C..600</v>
      </c>
      <c r="M268" s="68" t="s">
        <v>1624</v>
      </c>
      <c r="N268" s="68" t="s">
        <v>1601</v>
      </c>
      <c r="O268" s="68"/>
      <c r="P268" s="68"/>
    </row>
    <row r="269" ht="39.95" hidden="1" customHeight="1" outlineLevel="1" spans="1:16">
      <c r="A269" s="63"/>
      <c r="B269" s="64"/>
      <c r="C269" s="59" t="s">
        <v>80</v>
      </c>
      <c r="D269" s="59" t="s">
        <v>1994</v>
      </c>
      <c r="E269" s="65">
        <v>301</v>
      </c>
      <c r="F269" s="67" t="s">
        <v>1625</v>
      </c>
      <c r="G269" s="65">
        <v>30116</v>
      </c>
      <c r="H269" s="67" t="s">
        <v>1626</v>
      </c>
      <c r="I269" s="67" t="s">
        <v>345</v>
      </c>
      <c r="J269" s="67" t="str">
        <f>INDEX(数据元说明!A:F,MATCH(I269,数据元说明!C:C,0),2)</f>
        <v>001005</v>
      </c>
      <c r="K269" s="68" t="str">
        <f>INDEX(数据元说明!A:F,MATCH(I269,数据元说明!C:C,0),5)</f>
        <v>YYYYMMDD，默认值99991231。</v>
      </c>
      <c r="L269" s="67" t="str">
        <f>INDEX(数据元说明!A:F,MATCH(I269,数据元说明!C:C,0),6)</f>
        <v>C8</v>
      </c>
      <c r="M269" s="68" t="s">
        <v>1627</v>
      </c>
      <c r="N269" s="68"/>
      <c r="O269" s="68"/>
      <c r="P269" s="69"/>
    </row>
    <row r="270" ht="39.95" hidden="1" customHeight="1" collapsed="1" spans="1:16">
      <c r="A270" s="70"/>
      <c r="B270" s="71"/>
      <c r="C270" s="59" t="s">
        <v>84</v>
      </c>
      <c r="D270" s="59" t="s">
        <v>2017</v>
      </c>
      <c r="E270" s="65">
        <v>302</v>
      </c>
      <c r="F270" s="67"/>
      <c r="G270" s="65"/>
      <c r="H270" s="67"/>
      <c r="I270" s="67"/>
      <c r="J270" s="67"/>
      <c r="K270" s="68"/>
      <c r="L270" s="67"/>
      <c r="M270" s="68" t="str">
        <f>INDEX(表结构总览!D:G,MATCH(D270,表结构总览!D:D,0),4)</f>
        <v>个人和对公客户在银行机构开办的存折信息，包括存折和存单。当存折状态为“注销”时，可在报送最后状态的次月不再报送。</v>
      </c>
      <c r="N270" s="68" t="s">
        <v>1583</v>
      </c>
      <c r="O270" s="68" t="s">
        <v>484</v>
      </c>
      <c r="P270" s="69"/>
    </row>
    <row r="271" ht="39.95" hidden="1" customHeight="1" outlineLevel="1" spans="1:16">
      <c r="A271" s="63"/>
      <c r="B271" s="64"/>
      <c r="C271" s="59" t="s">
        <v>84</v>
      </c>
      <c r="D271" s="59" t="s">
        <v>2017</v>
      </c>
      <c r="E271" s="65">
        <v>302</v>
      </c>
      <c r="F271" s="67" t="s">
        <v>373</v>
      </c>
      <c r="G271" s="65">
        <v>30201</v>
      </c>
      <c r="H271" s="67" t="s">
        <v>1588</v>
      </c>
      <c r="I271" s="67" t="s">
        <v>373</v>
      </c>
      <c r="J271" s="67" t="str">
        <f>INDEX(数据元说明!A:F,MATCH(I271,数据元说明!C:C,0),2)</f>
        <v>001011</v>
      </c>
      <c r="K271" s="68" t="str">
        <f>INDEX(数据元说明!A:F,MATCH(I271,数据元说明!C:C,0),5)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71" s="67" t="str">
        <f>INDEX(数据元说明!A:F,MATCH(I271,数据元说明!C:C,0),6)</f>
        <v>C..30</v>
      </c>
      <c r="M271" s="68" t="s">
        <v>2018</v>
      </c>
      <c r="N271" s="68" t="s">
        <v>1583</v>
      </c>
      <c r="O271" s="68" t="s">
        <v>484</v>
      </c>
      <c r="P271" s="68"/>
    </row>
    <row r="272" ht="39.95" hidden="1" customHeight="1" outlineLevel="1" spans="1:16">
      <c r="A272" s="70"/>
      <c r="B272" s="71"/>
      <c r="C272" s="59" t="s">
        <v>84</v>
      </c>
      <c r="D272" s="59" t="s">
        <v>2017</v>
      </c>
      <c r="E272" s="65">
        <v>302</v>
      </c>
      <c r="F272" s="67" t="s">
        <v>377</v>
      </c>
      <c r="G272" s="65">
        <v>30202</v>
      </c>
      <c r="H272" s="67" t="s">
        <v>1586</v>
      </c>
      <c r="I272" s="67" t="s">
        <v>377</v>
      </c>
      <c r="J272" s="67" t="str">
        <f>INDEX(数据元说明!A:F,MATCH(I272,数据元说明!C:C,0),2)</f>
        <v>001012</v>
      </c>
      <c r="K272" s="68" t="str">
        <f>INDEX(数据元说明!A:F,MATCH(I272,数据元说明!C:C,0),5)</f>
        <v>银行内部机构号。应具有标识机构的唯一性。</v>
      </c>
      <c r="L272" s="67" t="str">
        <f>INDEX(数据元说明!A:F,MATCH(I272,数据元说明!C:C,0),6)</f>
        <v>C..30</v>
      </c>
      <c r="M272" s="68" t="s">
        <v>2019</v>
      </c>
      <c r="N272" s="68"/>
      <c r="O272" s="68"/>
      <c r="P272" s="69"/>
    </row>
    <row r="273" ht="39.95" hidden="1" customHeight="1" outlineLevel="1" spans="1:16">
      <c r="A273" s="70"/>
      <c r="B273" s="71"/>
      <c r="C273" s="59" t="s">
        <v>84</v>
      </c>
      <c r="D273" s="59" t="s">
        <v>2017</v>
      </c>
      <c r="E273" s="65">
        <v>302</v>
      </c>
      <c r="F273" s="67" t="s">
        <v>488</v>
      </c>
      <c r="G273" s="65">
        <v>30203</v>
      </c>
      <c r="H273" s="67" t="s">
        <v>1699</v>
      </c>
      <c r="I273" s="67" t="s">
        <v>488</v>
      </c>
      <c r="J273" s="67" t="str">
        <f>INDEX(数据元说明!A:F,MATCH(I273,数据元说明!C:C,0),2)</f>
        <v>002001</v>
      </c>
      <c r="K273" s="68" t="str">
        <f>INDEX(数据元说明!A:F,MATCH(I273,数据元说明!C:C,0),5)</f>
        <v>银行自定义的唯一识别客户的标识。供应链融资的填写供应链融资编码。</v>
      </c>
      <c r="L273" s="67" t="str">
        <f>INDEX(数据元说明!A:F,MATCH(I273,数据元说明!C:C,0),6)</f>
        <v>C..60</v>
      </c>
      <c r="M273" s="68" t="s">
        <v>1711</v>
      </c>
      <c r="N273" s="68" t="s">
        <v>1583</v>
      </c>
      <c r="O273" s="68"/>
      <c r="P273" s="69" t="s">
        <v>1634</v>
      </c>
    </row>
    <row r="274" ht="39.95" hidden="1" customHeight="1" outlineLevel="1" spans="1:16">
      <c r="A274" s="70"/>
      <c r="B274" s="71"/>
      <c r="C274" s="59" t="s">
        <v>84</v>
      </c>
      <c r="D274" s="59" t="s">
        <v>2017</v>
      </c>
      <c r="E274" s="65">
        <v>302</v>
      </c>
      <c r="F274" s="67" t="s">
        <v>1837</v>
      </c>
      <c r="G274" s="65">
        <v>30204</v>
      </c>
      <c r="H274" s="67" t="s">
        <v>1838</v>
      </c>
      <c r="I274" s="67" t="s">
        <v>325</v>
      </c>
      <c r="J274" s="67" t="str">
        <f>INDEX(数据元说明!A:F,MATCH(I274,数据元说明!C:C,0),2)</f>
        <v>001001</v>
      </c>
      <c r="K274" s="68" t="str">
        <f>INDEX(数据元说明!A:F,MATCH(I274,数据元说明!C:C,0),5)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74" s="67" t="str">
        <f>INDEX(数据元说明!A:F,MATCH(I274,数据元说明!C:C,0),6)</f>
        <v>C..450</v>
      </c>
      <c r="M274" s="68" t="s">
        <v>1997</v>
      </c>
      <c r="N274" s="68" t="s">
        <v>1601</v>
      </c>
      <c r="O274" s="68"/>
      <c r="P274" s="68"/>
    </row>
    <row r="275" ht="39.95" hidden="1" customHeight="1" outlineLevel="1" spans="1:16">
      <c r="A275" s="70"/>
      <c r="B275" s="71"/>
      <c r="C275" s="59" t="s">
        <v>84</v>
      </c>
      <c r="D275" s="59" t="s">
        <v>2017</v>
      </c>
      <c r="E275" s="65">
        <v>302</v>
      </c>
      <c r="F275" s="67" t="s">
        <v>492</v>
      </c>
      <c r="G275" s="65">
        <v>30205</v>
      </c>
      <c r="H275" s="67" t="s">
        <v>1639</v>
      </c>
      <c r="I275" s="67" t="s">
        <v>492</v>
      </c>
      <c r="J275" s="67" t="str">
        <f>INDEX(数据元说明!A:F,MATCH(I275,数据元说明!C:C,0),2)</f>
        <v>002002</v>
      </c>
      <c r="K275" s="68" t="str">
        <f>INDEX(数据元说明!A:F,MATCH(I275,数据元说明!C:C,0),5)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275" s="67" t="str">
        <f>INDEX(数据元说明!A:F,MATCH(I275,数据元说明!C:C,0),6)</f>
        <v>C..60</v>
      </c>
      <c r="M275" s="68"/>
      <c r="N275" s="68"/>
      <c r="O275" s="68"/>
      <c r="P275" s="69"/>
    </row>
    <row r="276" ht="39.95" hidden="1" customHeight="1" outlineLevel="1" spans="1:16">
      <c r="A276" s="63"/>
      <c r="B276" s="64"/>
      <c r="C276" s="59" t="s">
        <v>84</v>
      </c>
      <c r="D276" s="59" t="s">
        <v>2017</v>
      </c>
      <c r="E276" s="65">
        <v>302</v>
      </c>
      <c r="F276" s="67" t="s">
        <v>496</v>
      </c>
      <c r="G276" s="65">
        <v>30206</v>
      </c>
      <c r="H276" s="67" t="s">
        <v>1640</v>
      </c>
      <c r="I276" s="67" t="s">
        <v>496</v>
      </c>
      <c r="J276" s="67" t="str">
        <f>INDEX(数据元说明!A:F,MATCH(I276,数据元说明!C:C,0),2)</f>
        <v>002003</v>
      </c>
      <c r="K276" s="68" t="str">
        <f>INDEX(数据元说明!A:F,MATCH(I276,数据元说明!C:C,0),5)</f>
        <v>与证件类别对应的证件号码。涉及个人身份证件时需按照本规范给定规则进行脱敏处理。</v>
      </c>
      <c r="L276" s="67" t="str">
        <f>INDEX(数据元说明!A:F,MATCH(I276,数据元说明!C:C,0),6)</f>
        <v>C..70</v>
      </c>
      <c r="M276" s="68" t="s">
        <v>1998</v>
      </c>
      <c r="N276" s="68" t="s">
        <v>1583</v>
      </c>
      <c r="O276" s="68" t="s">
        <v>322</v>
      </c>
      <c r="P276" s="69"/>
    </row>
    <row r="277" ht="39.95" hidden="1" customHeight="1" outlineLevel="1" spans="1:16">
      <c r="A277" s="70"/>
      <c r="B277" s="71"/>
      <c r="C277" s="59" t="s">
        <v>84</v>
      </c>
      <c r="D277" s="59" t="s">
        <v>2017</v>
      </c>
      <c r="E277" s="65">
        <v>302</v>
      </c>
      <c r="F277" s="67" t="s">
        <v>2020</v>
      </c>
      <c r="G277" s="65">
        <v>30207</v>
      </c>
      <c r="H277" s="67" t="s">
        <v>2021</v>
      </c>
      <c r="I277" s="67" t="s">
        <v>605</v>
      </c>
      <c r="J277" s="67" t="str">
        <f>INDEX(数据元说明!A:F,MATCH(I277,数据元说明!C:C,0),2)</f>
        <v>003001</v>
      </c>
      <c r="K277" s="68" t="str">
        <f>INDEX(数据元说明!A:F,MATCH(I277,数据元说明!C:C,0),5)</f>
        <v>系统内最细一级的账号，无唯一性约束，不需要和序号、子序号等做拼接。</v>
      </c>
      <c r="L277" s="67" t="str">
        <f>INDEX(数据元说明!A:F,MATCH(I277,数据元说明!C:C,0),6)</f>
        <v>C..60</v>
      </c>
      <c r="M277" s="68" t="s">
        <v>2022</v>
      </c>
      <c r="N277" s="68" t="s">
        <v>1583</v>
      </c>
      <c r="O277" s="68"/>
      <c r="P277" s="69" t="s">
        <v>1634</v>
      </c>
    </row>
    <row r="278" ht="39.95" hidden="1" customHeight="1" outlineLevel="1" spans="1:16">
      <c r="A278" s="63"/>
      <c r="B278" s="64"/>
      <c r="C278" s="59" t="s">
        <v>84</v>
      </c>
      <c r="D278" s="59" t="s">
        <v>2017</v>
      </c>
      <c r="E278" s="65">
        <v>302</v>
      </c>
      <c r="F278" s="67" t="s">
        <v>2023</v>
      </c>
      <c r="G278" s="65">
        <v>30208</v>
      </c>
      <c r="H278" s="67" t="s">
        <v>2001</v>
      </c>
      <c r="I278" s="67" t="s">
        <v>605</v>
      </c>
      <c r="J278" s="67" t="str">
        <f>INDEX(数据元说明!A:F,MATCH(I278,数据元说明!C:C,0),2)</f>
        <v>003001</v>
      </c>
      <c r="K278" s="68" t="str">
        <f>INDEX(数据元说明!A:F,MATCH(I278,数据元说明!C:C,0),5)</f>
        <v>系统内最细一级的账号，无唯一性约束，不需要和序号、子序号等做拼接。</v>
      </c>
      <c r="L278" s="67" t="str">
        <f>INDEX(数据元说明!A:F,MATCH(I278,数据元说明!C:C,0),6)</f>
        <v>C..60</v>
      </c>
      <c r="M278" s="68" t="s">
        <v>2024</v>
      </c>
      <c r="N278" s="68" t="s">
        <v>1583</v>
      </c>
      <c r="O278" s="68" t="s">
        <v>484</v>
      </c>
      <c r="P278" s="69" t="s">
        <v>1634</v>
      </c>
    </row>
    <row r="279" ht="39.95" hidden="1" customHeight="1" outlineLevel="1" spans="1:16">
      <c r="A279" s="70"/>
      <c r="B279" s="71"/>
      <c r="C279" s="59" t="s">
        <v>84</v>
      </c>
      <c r="D279" s="59" t="s">
        <v>2017</v>
      </c>
      <c r="E279" s="65">
        <v>302</v>
      </c>
      <c r="F279" s="67" t="s">
        <v>954</v>
      </c>
      <c r="G279" s="65">
        <v>30209</v>
      </c>
      <c r="H279" s="67" t="s">
        <v>2025</v>
      </c>
      <c r="I279" s="67" t="s">
        <v>954</v>
      </c>
      <c r="J279" s="67" t="str">
        <f>INDEX(数据元说明!A:F,MATCH(I279,数据元说明!C:C,0),2)</f>
        <v>006004</v>
      </c>
      <c r="K279" s="68" t="str">
        <f>INDEX(数据元说明!A:F,MATCH(I279,数据元说明!C:C,0),5)</f>
        <v>普通存折，存单，一本通，大额定期存单，其他-银行自定义。无法以枚举类型填报的，以“其他-XX”填报，其中XX为银行自定义的类型。</v>
      </c>
      <c r="L279" s="67" t="str">
        <f>INDEX(数据元说明!A:F,MATCH(I279,数据元说明!C:C,0),6)</f>
        <v>C..30</v>
      </c>
      <c r="M279" s="68"/>
      <c r="N279" s="68"/>
      <c r="O279" s="68"/>
      <c r="P279" s="69"/>
    </row>
    <row r="280" ht="39.95" hidden="1" customHeight="1" outlineLevel="1" spans="1:16">
      <c r="A280" s="70"/>
      <c r="B280" s="71"/>
      <c r="C280" s="59" t="s">
        <v>84</v>
      </c>
      <c r="D280" s="59" t="s">
        <v>2017</v>
      </c>
      <c r="E280" s="65">
        <v>302</v>
      </c>
      <c r="F280" s="67" t="s">
        <v>2026</v>
      </c>
      <c r="G280" s="65">
        <v>30210</v>
      </c>
      <c r="H280" s="67" t="s">
        <v>2027</v>
      </c>
      <c r="I280" s="67" t="s">
        <v>330</v>
      </c>
      <c r="J280" s="67" t="str">
        <f>INDEX(数据元说明!A:F,MATCH(I280,数据元说明!C:C,0),2)</f>
        <v>001002</v>
      </c>
      <c r="K280" s="68" t="str">
        <f>INDEX(数据元说明!A:F,MATCH(I280,数据元说明!C:C,0),5)</f>
        <v>是，否。</v>
      </c>
      <c r="L280" s="67" t="str">
        <f>INDEX(数据元说明!A:F,MATCH(I280,数据元说明!C:C,0),6)</f>
        <v>C3</v>
      </c>
      <c r="M280" s="68" t="s">
        <v>2028</v>
      </c>
      <c r="N280" s="68"/>
      <c r="O280" s="68"/>
      <c r="P280" s="69"/>
    </row>
    <row r="281" ht="39.95" hidden="1" customHeight="1" outlineLevel="1" spans="1:16">
      <c r="A281" s="70"/>
      <c r="B281" s="71"/>
      <c r="C281" s="59" t="s">
        <v>84</v>
      </c>
      <c r="D281" s="59" t="s">
        <v>2017</v>
      </c>
      <c r="E281" s="65">
        <v>302</v>
      </c>
      <c r="F281" s="67" t="s">
        <v>2029</v>
      </c>
      <c r="G281" s="65">
        <v>30211</v>
      </c>
      <c r="H281" s="67" t="s">
        <v>2030</v>
      </c>
      <c r="I281" s="67" t="s">
        <v>345</v>
      </c>
      <c r="J281" s="67" t="str">
        <f>INDEX(数据元说明!A:F,MATCH(I281,数据元说明!C:C,0),2)</f>
        <v>001005</v>
      </c>
      <c r="K281" s="68" t="str">
        <f>INDEX(数据元说明!A:F,MATCH(I281,数据元说明!C:C,0),5)</f>
        <v>YYYYMMDD，默认值99991231。</v>
      </c>
      <c r="L281" s="67" t="str">
        <f>INDEX(数据元说明!A:F,MATCH(I281,数据元说明!C:C,0),6)</f>
        <v>C8</v>
      </c>
      <c r="M281" s="68" t="s">
        <v>2031</v>
      </c>
      <c r="N281" s="68"/>
      <c r="O281" s="68"/>
      <c r="P281" s="69"/>
    </row>
    <row r="282" ht="39.95" hidden="1" customHeight="1" outlineLevel="1" spans="1:16">
      <c r="A282" s="70"/>
      <c r="B282" s="71"/>
      <c r="C282" s="59" t="s">
        <v>84</v>
      </c>
      <c r="D282" s="59" t="s">
        <v>2017</v>
      </c>
      <c r="E282" s="65">
        <v>302</v>
      </c>
      <c r="F282" s="67" t="s">
        <v>2032</v>
      </c>
      <c r="G282" s="65">
        <v>30212</v>
      </c>
      <c r="H282" s="67" t="s">
        <v>2033</v>
      </c>
      <c r="I282" s="67" t="s">
        <v>409</v>
      </c>
      <c r="J282" s="67" t="str">
        <f>INDEX(数据元说明!A:F,MATCH(I282,数据元说明!C:C,0),2)</f>
        <v>001020</v>
      </c>
      <c r="K282" s="68" t="str">
        <f>INDEX(数据元说明!A:F,MATCH(I282,数据元说明!C:C,0),5)</f>
        <v>柜员编号，银行自定义。</v>
      </c>
      <c r="L282" s="67" t="str">
        <f>INDEX(数据元说明!A:F,MATCH(I282,数据元说明!C:C,0),6)</f>
        <v>C..30</v>
      </c>
      <c r="M282" s="68" t="s">
        <v>2034</v>
      </c>
      <c r="N282" s="68"/>
      <c r="O282" s="68"/>
      <c r="P282" s="69"/>
    </row>
    <row r="283" ht="39.95" hidden="1" customHeight="1" outlineLevel="1" spans="1:16">
      <c r="A283" s="70"/>
      <c r="B283" s="71"/>
      <c r="C283" s="59" t="s">
        <v>84</v>
      </c>
      <c r="D283" s="59" t="s">
        <v>2017</v>
      </c>
      <c r="E283" s="65">
        <v>302</v>
      </c>
      <c r="F283" s="67" t="s">
        <v>958</v>
      </c>
      <c r="G283" s="65">
        <v>30213</v>
      </c>
      <c r="H283" s="67" t="s">
        <v>2035</v>
      </c>
      <c r="I283" s="67" t="s">
        <v>958</v>
      </c>
      <c r="J283" s="67" t="str">
        <f>INDEX(数据元说明!A:F,MATCH(I283,数据元说明!C:C,0),2)</f>
        <v>006005</v>
      </c>
      <c r="K283" s="68" t="str">
        <f>INDEX(数据元说明!A:F,MATCH(I283,数据元说明!C:C,0),5)</f>
        <v>未激活，正常，注销，冻结，睡眠，挂失，其他-银行自定义。无法以枚举类型填报的，以“其他-XX”填报，其中XX为银行自定义状态。</v>
      </c>
      <c r="L283" s="67" t="str">
        <f>INDEX(数据元说明!A:F,MATCH(I283,数据元说明!C:C,0),6)</f>
        <v>C..30</v>
      </c>
      <c r="M283" s="68"/>
      <c r="N283" s="68"/>
      <c r="O283" s="68"/>
      <c r="P283" s="69"/>
    </row>
    <row r="284" ht="39.95" hidden="1" customHeight="1" outlineLevel="1" spans="1:16">
      <c r="A284" s="63"/>
      <c r="B284" s="64"/>
      <c r="C284" s="59" t="s">
        <v>84</v>
      </c>
      <c r="D284" s="59" t="s">
        <v>2017</v>
      </c>
      <c r="E284" s="65">
        <v>302</v>
      </c>
      <c r="F284" s="67" t="s">
        <v>484</v>
      </c>
      <c r="G284" s="65">
        <v>30214</v>
      </c>
      <c r="H284" s="67" t="s">
        <v>1623</v>
      </c>
      <c r="I284" s="67" t="s">
        <v>484</v>
      </c>
      <c r="J284" s="67" t="str">
        <f>INDEX(数据元说明!A:F,MATCH(I284,数据元说明!C:C,0),2)</f>
        <v>001038</v>
      </c>
      <c r="K284" s="68" t="str">
        <f>INDEX(数据元说明!A:F,MATCH(I284,数据元说明!C:C,0),5)</f>
        <v>银行自定义。</v>
      </c>
      <c r="L284" s="67" t="str">
        <f>INDEX(数据元说明!A:F,MATCH(I284,数据元说明!C:C,0),6)</f>
        <v>C..600</v>
      </c>
      <c r="M284" s="68" t="s">
        <v>1624</v>
      </c>
      <c r="N284" s="68" t="s">
        <v>1601</v>
      </c>
      <c r="O284" s="68"/>
      <c r="P284" s="68"/>
    </row>
    <row r="285" ht="39.95" hidden="1" customHeight="1" outlineLevel="1" spans="1:16">
      <c r="A285" s="63"/>
      <c r="B285" s="64"/>
      <c r="C285" s="59" t="s">
        <v>84</v>
      </c>
      <c r="D285" s="59" t="s">
        <v>2017</v>
      </c>
      <c r="E285" s="65">
        <v>302</v>
      </c>
      <c r="F285" s="67" t="s">
        <v>1625</v>
      </c>
      <c r="G285" s="65">
        <v>30215</v>
      </c>
      <c r="H285" s="67" t="s">
        <v>1626</v>
      </c>
      <c r="I285" s="67" t="s">
        <v>345</v>
      </c>
      <c r="J285" s="67" t="str">
        <f>INDEX(数据元说明!A:F,MATCH(I285,数据元说明!C:C,0),2)</f>
        <v>001005</v>
      </c>
      <c r="K285" s="68" t="str">
        <f>INDEX(数据元说明!A:F,MATCH(I285,数据元说明!C:C,0),5)</f>
        <v>YYYYMMDD，默认值99991231。</v>
      </c>
      <c r="L285" s="67" t="str">
        <f>INDEX(数据元说明!A:F,MATCH(I285,数据元说明!C:C,0),6)</f>
        <v>C8</v>
      </c>
      <c r="M285" s="68" t="s">
        <v>1627</v>
      </c>
      <c r="N285" s="68"/>
      <c r="O285" s="68"/>
      <c r="P285" s="69"/>
    </row>
    <row r="286" ht="39.95" hidden="1" customHeight="1" collapsed="1" spans="1:16">
      <c r="A286" s="70"/>
      <c r="B286" s="71"/>
      <c r="C286" s="59" t="s">
        <v>88</v>
      </c>
      <c r="D286" s="59" t="s">
        <v>2036</v>
      </c>
      <c r="E286" s="65">
        <v>303</v>
      </c>
      <c r="F286" s="67"/>
      <c r="G286" s="65"/>
      <c r="H286" s="67"/>
      <c r="I286" s="67"/>
      <c r="J286" s="67"/>
      <c r="K286" s="68"/>
      <c r="L286" s="67"/>
      <c r="M286" s="68" t="str">
        <f>INDEX(表结构总览!D:G,MATCH(D286,表结构总览!D:D,0),4)</f>
        <v>报送本行因线下线上收单业务而拓展的线下POS终端、线上终端以及二维码商户的信息。同一商户存在多个POS终端的，按多条报送。商户状态为“失效”或“注销”等状态的，在报送最后状态的次月可不再报送。</v>
      </c>
      <c r="N286" s="68" t="s">
        <v>1601</v>
      </c>
      <c r="O286" s="68"/>
      <c r="P286" s="69"/>
    </row>
    <row r="287" ht="39.95" hidden="1" customHeight="1" outlineLevel="1" spans="1:16">
      <c r="A287" s="63"/>
      <c r="B287" s="64"/>
      <c r="C287" s="77" t="s">
        <v>88</v>
      </c>
      <c r="D287" s="77" t="s">
        <v>2036</v>
      </c>
      <c r="E287" s="78">
        <v>303</v>
      </c>
      <c r="F287" s="67" t="s">
        <v>373</v>
      </c>
      <c r="G287" s="78">
        <v>30301</v>
      </c>
      <c r="H287" s="67" t="s">
        <v>1588</v>
      </c>
      <c r="I287" s="67" t="s">
        <v>373</v>
      </c>
      <c r="J287" s="67" t="str">
        <f>INDEX(数据元说明!A:F,MATCH(I287,数据元说明!C:C,0),2)</f>
        <v>001011</v>
      </c>
      <c r="K287" s="68" t="str">
        <f>INDEX(数据元说明!A:F,MATCH(I287,数据元说明!C:C,0),5)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87" s="67" t="str">
        <f>INDEX(数据元说明!A:F,MATCH(I287,数据元说明!C:C,0),6)</f>
        <v>C..30</v>
      </c>
      <c r="M287" s="68" t="s">
        <v>2037</v>
      </c>
      <c r="N287" s="68" t="s">
        <v>1601</v>
      </c>
      <c r="O287" s="68"/>
      <c r="P287" s="68"/>
    </row>
    <row r="288" s="39" customFormat="1" ht="39.95" hidden="1" customHeight="1" outlineLevel="1" spans="1:16">
      <c r="A288" s="63"/>
      <c r="B288" s="76"/>
      <c r="C288" s="77" t="s">
        <v>88</v>
      </c>
      <c r="D288" s="77" t="s">
        <v>2036</v>
      </c>
      <c r="E288" s="78">
        <v>303</v>
      </c>
      <c r="F288" s="68" t="s">
        <v>377</v>
      </c>
      <c r="G288" s="78">
        <v>30302</v>
      </c>
      <c r="H288" s="68" t="s">
        <v>1586</v>
      </c>
      <c r="I288" s="68" t="s">
        <v>377</v>
      </c>
      <c r="J288" s="68" t="str">
        <f>INDEX(数据元说明!A:F,MATCH(I288,数据元说明!C:C,0),2)</f>
        <v>001012</v>
      </c>
      <c r="K288" s="68" t="str">
        <f>INDEX(数据元说明!A:F,MATCH(I288,数据元说明!C:C,0),5)</f>
        <v>银行内部机构号。应具有标识机构的唯一性。</v>
      </c>
      <c r="L288" s="68" t="str">
        <f>INDEX(数据元说明!A:F,MATCH(I288,数据元说明!C:C,0),6)</f>
        <v>C..30</v>
      </c>
      <c r="M288" s="68" t="s">
        <v>2038</v>
      </c>
      <c r="N288" s="68" t="s">
        <v>1601</v>
      </c>
      <c r="O288" s="68"/>
      <c r="P288" s="69"/>
    </row>
    <row r="289" s="39" customFormat="1" ht="39.95" hidden="1" customHeight="1" outlineLevel="1" spans="1:16">
      <c r="A289" s="63"/>
      <c r="B289" s="76"/>
      <c r="C289" s="77" t="s">
        <v>88</v>
      </c>
      <c r="D289" s="77" t="s">
        <v>2036</v>
      </c>
      <c r="E289" s="78">
        <v>303</v>
      </c>
      <c r="F289" s="68" t="s">
        <v>978</v>
      </c>
      <c r="G289" s="78">
        <v>30303</v>
      </c>
      <c r="H289" s="68" t="s">
        <v>2039</v>
      </c>
      <c r="I289" s="68" t="s">
        <v>978</v>
      </c>
      <c r="J289" s="68" t="str">
        <f>INDEX(数据元说明!A:F,MATCH(I289,数据元说明!C:C,0),2)</f>
        <v>006010</v>
      </c>
      <c r="K289" s="68" t="str">
        <f>INDEX(数据元说明!A:F,MATCH(I289,数据元说明!C:C,0),5)</f>
        <v>唯一识别商户的编码。可以是商业银行自有商户编号，也可以是第三方支付机构收单交易显示的商户编号。</v>
      </c>
      <c r="L289" s="68" t="str">
        <f>INDEX(数据元说明!A:F,MATCH(I289,数据元说明!C:C,0),6)</f>
        <v>C..200</v>
      </c>
      <c r="M289" s="68" t="s">
        <v>2040</v>
      </c>
      <c r="N289" s="68" t="s">
        <v>1601</v>
      </c>
      <c r="O289" s="68"/>
      <c r="P289" s="69"/>
    </row>
    <row r="290" s="39" customFormat="1" ht="39.95" hidden="1" customHeight="1" outlineLevel="1" spans="1:16">
      <c r="A290" s="63"/>
      <c r="B290" s="76"/>
      <c r="C290" s="77" t="s">
        <v>88</v>
      </c>
      <c r="D290" s="77" t="s">
        <v>2036</v>
      </c>
      <c r="E290" s="78">
        <v>303</v>
      </c>
      <c r="F290" s="68" t="s">
        <v>983</v>
      </c>
      <c r="G290" s="78">
        <v>30304</v>
      </c>
      <c r="H290" s="68" t="s">
        <v>2041</v>
      </c>
      <c r="I290" s="68" t="s">
        <v>983</v>
      </c>
      <c r="J290" s="68" t="str">
        <f>INDEX(数据元说明!A:F,MATCH(I290,数据元说明!C:C,0),2)</f>
        <v>006011</v>
      </c>
      <c r="K290" s="68" t="str">
        <f>INDEX(数据元说明!A:F,MATCH(I290,数据元说明!C:C,0),5)</f>
        <v>商户注册登记的名称。</v>
      </c>
      <c r="L290" s="68" t="str">
        <f>INDEX(数据元说明!A:F,MATCH(I290,数据元说明!C:C,0),6)</f>
        <v>C..450</v>
      </c>
      <c r="M290" s="68" t="s">
        <v>2042</v>
      </c>
      <c r="N290" s="68" t="s">
        <v>1601</v>
      </c>
      <c r="O290" s="68"/>
      <c r="P290" s="69"/>
    </row>
    <row r="291" s="39" customFormat="1" ht="39.95" hidden="1" customHeight="1" outlineLevel="1" spans="1:16">
      <c r="A291" s="63"/>
      <c r="B291" s="76"/>
      <c r="C291" s="77" t="s">
        <v>88</v>
      </c>
      <c r="D291" s="77" t="s">
        <v>2036</v>
      </c>
      <c r="E291" s="78">
        <v>303</v>
      </c>
      <c r="F291" s="68" t="s">
        <v>2043</v>
      </c>
      <c r="G291" s="78">
        <v>30305</v>
      </c>
      <c r="H291" s="68" t="s">
        <v>2044</v>
      </c>
      <c r="I291" s="68" t="s">
        <v>330</v>
      </c>
      <c r="J291" s="68" t="str">
        <f>INDEX(数据元说明!A:F,MATCH(I291,数据元说明!C:C,0),2)</f>
        <v>001002</v>
      </c>
      <c r="K291" s="68" t="str">
        <f>INDEX(数据元说明!A:F,MATCH(I291,数据元说明!C:C,0),5)</f>
        <v>是，否。</v>
      </c>
      <c r="L291" s="68" t="str">
        <f>INDEX(数据元说明!A:F,MATCH(I291,数据元说明!C:C,0),6)</f>
        <v>C3</v>
      </c>
      <c r="M291" s="68" t="s">
        <v>2045</v>
      </c>
      <c r="N291" s="68" t="s">
        <v>1601</v>
      </c>
      <c r="O291" s="68"/>
      <c r="P291" s="69"/>
    </row>
    <row r="292" s="39" customFormat="1" ht="39.95" hidden="1" customHeight="1" outlineLevel="1" spans="1:16">
      <c r="A292" s="63"/>
      <c r="B292" s="76"/>
      <c r="C292" s="77" t="s">
        <v>88</v>
      </c>
      <c r="D292" s="77" t="s">
        <v>2036</v>
      </c>
      <c r="E292" s="78">
        <v>303</v>
      </c>
      <c r="F292" s="68" t="s">
        <v>1008</v>
      </c>
      <c r="G292" s="78">
        <v>30306</v>
      </c>
      <c r="H292" s="68" t="s">
        <v>2046</v>
      </c>
      <c r="I292" s="68" t="s">
        <v>1008</v>
      </c>
      <c r="J292" s="68" t="str">
        <f>INDEX(数据元说明!A:F,MATCH(I292,数据元说明!C:C,0),2)</f>
        <v>006017</v>
      </c>
      <c r="K292" s="68" t="str">
        <f>INDEX(数据元说明!A:F,MATCH(I292,数据元说明!C:C,0),5)</f>
        <v>银行自定义的唯一标识终端编码。</v>
      </c>
      <c r="L292" s="68" t="str">
        <f>INDEX(数据元说明!A:F,MATCH(I292,数据元说明!C:C,0),6)</f>
        <v>C..60</v>
      </c>
      <c r="M292" s="68" t="s">
        <v>2047</v>
      </c>
      <c r="N292" s="68" t="s">
        <v>1601</v>
      </c>
      <c r="O292" s="68"/>
      <c r="P292" s="69"/>
    </row>
    <row r="293" s="39" customFormat="1" ht="39.95" hidden="1" customHeight="1" outlineLevel="1" spans="1:16">
      <c r="A293" s="63"/>
      <c r="B293" s="76"/>
      <c r="C293" s="77" t="s">
        <v>88</v>
      </c>
      <c r="D293" s="77" t="s">
        <v>2036</v>
      </c>
      <c r="E293" s="78">
        <v>303</v>
      </c>
      <c r="F293" s="68" t="s">
        <v>987</v>
      </c>
      <c r="G293" s="78">
        <v>30307</v>
      </c>
      <c r="H293" s="68" t="s">
        <v>2048</v>
      </c>
      <c r="I293" s="68" t="s">
        <v>987</v>
      </c>
      <c r="J293" s="68" t="str">
        <f>INDEX(数据元说明!A:F,MATCH(I293,数据元说明!C:C,0),2)</f>
        <v>006012</v>
      </c>
      <c r="K293" s="68" t="str">
        <f>INDEX(数据元说明!A:F,MATCH(I293,数据元说明!C:C,0),5)</f>
        <v>商户类别码。由四位数字代码组成。</v>
      </c>
      <c r="L293" s="68" t="str">
        <f>INDEX(数据元说明!A:F,MATCH(I293,数据元说明!C:C,0),6)</f>
        <v>C4</v>
      </c>
      <c r="M293" s="68" t="s">
        <v>2049</v>
      </c>
      <c r="N293" s="68" t="s">
        <v>1601</v>
      </c>
      <c r="O293" s="68"/>
      <c r="P293" s="69"/>
    </row>
    <row r="294" s="39" customFormat="1" ht="39.95" hidden="1" customHeight="1" outlineLevel="1" spans="1:16">
      <c r="A294" s="63"/>
      <c r="B294" s="76"/>
      <c r="C294" s="77" t="s">
        <v>88</v>
      </c>
      <c r="D294" s="77" t="s">
        <v>2036</v>
      </c>
      <c r="E294" s="78">
        <v>303</v>
      </c>
      <c r="F294" s="68" t="s">
        <v>992</v>
      </c>
      <c r="G294" s="78">
        <v>30308</v>
      </c>
      <c r="H294" s="68" t="s">
        <v>2050</v>
      </c>
      <c r="I294" s="68" t="s">
        <v>992</v>
      </c>
      <c r="J294" s="68" t="str">
        <f>INDEX(数据元说明!A:F,MATCH(I294,数据元说明!C:C,0),2)</f>
        <v>006013</v>
      </c>
      <c r="K294" s="68" t="str">
        <f>INDEX(数据元说明!A:F,MATCH(I294,数据元说明!C:C,0),5)</f>
        <v>商户类别码对应的名称。</v>
      </c>
      <c r="L294" s="68" t="str">
        <f>INDEX(数据元说明!A:F,MATCH(I294,数据元说明!C:C,0),6)</f>
        <v>C..450</v>
      </c>
      <c r="M294" s="68"/>
      <c r="N294" s="68" t="s">
        <v>1601</v>
      </c>
      <c r="O294" s="68"/>
      <c r="P294" s="69"/>
    </row>
    <row r="295" s="39" customFormat="1" ht="39.95" hidden="1" customHeight="1" outlineLevel="1" spans="1:16">
      <c r="A295" s="63"/>
      <c r="B295" s="76"/>
      <c r="C295" s="77" t="s">
        <v>88</v>
      </c>
      <c r="D295" s="77" t="s">
        <v>2036</v>
      </c>
      <c r="E295" s="78">
        <v>303</v>
      </c>
      <c r="F295" s="68" t="s">
        <v>2051</v>
      </c>
      <c r="G295" s="78">
        <v>30309</v>
      </c>
      <c r="H295" s="68" t="s">
        <v>2052</v>
      </c>
      <c r="I295" s="68" t="s">
        <v>436</v>
      </c>
      <c r="J295" s="68" t="str">
        <f>INDEX(数据元说明!A:F,MATCH(I295,数据元说明!C:C,0),2)</f>
        <v>001027</v>
      </c>
      <c r="K295" s="68" t="str">
        <f>INDEX(数据元说明!A:F,MATCH(I295,数据元说明!C:C,0),5)</f>
        <v>境内地区参照《GB/T 2260 中华人民共和国行政区划代码》按省+市+县/区的排列填写国内行政区划名称，填写至二级分类，如北京市朝阳区、江苏省南京市秦淮区。境外地区参照《GB/T 2659 世界各国和地区名称代码》定义的中文简称，如美国，英国。</v>
      </c>
      <c r="L295" s="68" t="str">
        <f>INDEX(数据元说明!A:F,MATCH(I295,数据元说明!C:C,0),6)</f>
        <v>C..150</v>
      </c>
      <c r="M295" s="68"/>
      <c r="N295" s="68" t="s">
        <v>1601</v>
      </c>
      <c r="O295" s="68"/>
      <c r="P295" s="69"/>
    </row>
    <row r="296" s="39" customFormat="1" ht="39.95" hidden="1" customHeight="1" outlineLevel="1" spans="1:16">
      <c r="A296" s="63"/>
      <c r="B296" s="76"/>
      <c r="C296" s="77" t="s">
        <v>88</v>
      </c>
      <c r="D296" s="77" t="s">
        <v>2036</v>
      </c>
      <c r="E296" s="78">
        <v>303</v>
      </c>
      <c r="F296" s="68" t="s">
        <v>2053</v>
      </c>
      <c r="G296" s="78">
        <v>30310</v>
      </c>
      <c r="H296" s="68" t="s">
        <v>2054</v>
      </c>
      <c r="I296" s="68" t="s">
        <v>704</v>
      </c>
      <c r="J296" s="68" t="str">
        <f>INDEX(数据元说明!A:F,MATCH(I296,数据元说明!C:C,0),2)</f>
        <v>003025</v>
      </c>
      <c r="K296" s="68" t="str">
        <f>INDEX(数据元说明!A:F,MATCH(I296,数据元说明!C:C,0),5)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296" s="68" t="str">
        <f>INDEX(数据元说明!A:F,MATCH(I296,数据元说明!C:C,0),6)</f>
        <v>C..60</v>
      </c>
      <c r="M296" s="68" t="s">
        <v>2055</v>
      </c>
      <c r="N296" s="68" t="s">
        <v>1601</v>
      </c>
      <c r="O296" s="68"/>
      <c r="P296" s="69"/>
    </row>
    <row r="297" s="39" customFormat="1" ht="39.95" hidden="1" customHeight="1" outlineLevel="1" spans="1:16">
      <c r="A297" s="63"/>
      <c r="B297" s="76"/>
      <c r="C297" s="77" t="s">
        <v>88</v>
      </c>
      <c r="D297" s="77" t="s">
        <v>2036</v>
      </c>
      <c r="E297" s="78">
        <v>303</v>
      </c>
      <c r="F297" s="68" t="s">
        <v>1012</v>
      </c>
      <c r="G297" s="78">
        <v>30311</v>
      </c>
      <c r="H297" s="68" t="s">
        <v>2056</v>
      </c>
      <c r="I297" s="68" t="s">
        <v>1012</v>
      </c>
      <c r="J297" s="68" t="str">
        <f>INDEX(数据元说明!A:F,MATCH(I297,数据元说明!C:C,0),2)</f>
        <v>006018</v>
      </c>
      <c r="K297" s="68" t="str">
        <f>INDEX(数据元说明!A:F,MATCH(I297,数据元说明!C:C,0),5)</f>
        <v>本行卡，本行对公结算账户，他行卡，他行对公结算账户，第三方平台账户-银行自定义，其他-银行自定义。无法以枚举类型填报的，以“其他-XX”填报，其中XX为银行自定义类型。清算账号为第三方平台账户的，需填报至具体平台名称。</v>
      </c>
      <c r="L297" s="68" t="str">
        <f>INDEX(数据元说明!A:F,MATCH(I297,数据元说明!C:C,0),6)</f>
        <v>C..60</v>
      </c>
      <c r="M297" s="68"/>
      <c r="N297" s="68" t="s">
        <v>1601</v>
      </c>
      <c r="O297" s="68"/>
      <c r="P297" s="69"/>
    </row>
    <row r="298" s="39" customFormat="1" ht="39.95" hidden="1" customHeight="1" outlineLevel="1" spans="1:16">
      <c r="A298" s="63"/>
      <c r="B298" s="76"/>
      <c r="C298" s="77" t="s">
        <v>88</v>
      </c>
      <c r="D298" s="77" t="s">
        <v>2036</v>
      </c>
      <c r="E298" s="78">
        <v>303</v>
      </c>
      <c r="F298" s="68" t="s">
        <v>2057</v>
      </c>
      <c r="G298" s="78">
        <v>30312</v>
      </c>
      <c r="H298" s="68" t="s">
        <v>2058</v>
      </c>
      <c r="I298" s="68" t="s">
        <v>646</v>
      </c>
      <c r="J298" s="68" t="str">
        <f>INDEX(数据元说明!A:F,MATCH(I298,数据元说明!C:C,0),2)</f>
        <v>003011</v>
      </c>
      <c r="K298" s="68" t="str">
        <f>INDEX(数据元说明!A:F,MATCH(I298,数据元说明!C:C,0),5)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298" s="68" t="str">
        <f>INDEX(数据元说明!A:F,MATCH(I298,数据元说明!C:C,0),6)</f>
        <v>C..450</v>
      </c>
      <c r="M298" s="68" t="s">
        <v>2059</v>
      </c>
      <c r="N298" s="68" t="s">
        <v>1601</v>
      </c>
      <c r="O298" s="68"/>
      <c r="P298" s="69"/>
    </row>
    <row r="299" s="39" customFormat="1" ht="39.95" hidden="1" customHeight="1" outlineLevel="1" spans="1:16">
      <c r="A299" s="63"/>
      <c r="B299" s="76"/>
      <c r="C299" s="77" t="s">
        <v>88</v>
      </c>
      <c r="D299" s="77" t="s">
        <v>2036</v>
      </c>
      <c r="E299" s="78">
        <v>303</v>
      </c>
      <c r="F299" s="68" t="s">
        <v>2060</v>
      </c>
      <c r="G299" s="78">
        <v>30313</v>
      </c>
      <c r="H299" s="68" t="s">
        <v>2061</v>
      </c>
      <c r="I299" s="68" t="s">
        <v>325</v>
      </c>
      <c r="J299" s="68" t="str">
        <f>INDEX(数据元说明!A:F,MATCH(I299,数据元说明!C:C,0),2)</f>
        <v>001001</v>
      </c>
      <c r="K299" s="68" t="str">
        <f>INDEX(数据元说明!A:F,MATCH(I299,数据元说明!C:C,0),5)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299" s="68" t="str">
        <f>INDEX(数据元说明!A:F,MATCH(I299,数据元说明!C:C,0),6)</f>
        <v>C..450</v>
      </c>
      <c r="M299" s="68" t="s">
        <v>2062</v>
      </c>
      <c r="N299" s="68" t="s">
        <v>1601</v>
      </c>
      <c r="O299" s="68"/>
      <c r="P299" s="69"/>
    </row>
    <row r="300" s="39" customFormat="1" ht="39.95" hidden="1" customHeight="1" outlineLevel="1" spans="1:16">
      <c r="A300" s="63"/>
      <c r="B300" s="76"/>
      <c r="C300" s="77" t="s">
        <v>88</v>
      </c>
      <c r="D300" s="77" t="s">
        <v>2036</v>
      </c>
      <c r="E300" s="78">
        <v>303</v>
      </c>
      <c r="F300" s="68" t="s">
        <v>2063</v>
      </c>
      <c r="G300" s="78">
        <v>30314</v>
      </c>
      <c r="H300" s="68" t="s">
        <v>2064</v>
      </c>
      <c r="I300" s="68" t="s">
        <v>345</v>
      </c>
      <c r="J300" s="68" t="str">
        <f>INDEX(数据元说明!A:F,MATCH(I300,数据元说明!C:C,0),2)</f>
        <v>001005</v>
      </c>
      <c r="K300" s="68" t="str">
        <f>INDEX(数据元说明!A:F,MATCH(I300,数据元说明!C:C,0),5)</f>
        <v>YYYYMMDD，默认值99991231。</v>
      </c>
      <c r="L300" s="68" t="str">
        <f>INDEX(数据元说明!A:F,MATCH(I300,数据元说明!C:C,0),6)</f>
        <v>C8</v>
      </c>
      <c r="M300" s="68" t="s">
        <v>2065</v>
      </c>
      <c r="N300" s="68" t="s">
        <v>1601</v>
      </c>
      <c r="O300" s="68"/>
      <c r="P300" s="69"/>
    </row>
    <row r="301" s="39" customFormat="1" ht="39.95" hidden="1" customHeight="1" outlineLevel="1" spans="1:16">
      <c r="A301" s="63"/>
      <c r="B301" s="76"/>
      <c r="C301" s="77" t="s">
        <v>88</v>
      </c>
      <c r="D301" s="77" t="s">
        <v>2036</v>
      </c>
      <c r="E301" s="78">
        <v>303</v>
      </c>
      <c r="F301" s="68" t="s">
        <v>2066</v>
      </c>
      <c r="G301" s="78">
        <v>30315</v>
      </c>
      <c r="H301" s="68" t="s">
        <v>2067</v>
      </c>
      <c r="I301" s="68" t="s">
        <v>345</v>
      </c>
      <c r="J301" s="68" t="str">
        <f>INDEX(数据元说明!A:F,MATCH(I301,数据元说明!C:C,0),2)</f>
        <v>001005</v>
      </c>
      <c r="K301" s="68" t="str">
        <f>INDEX(数据元说明!A:F,MATCH(I301,数据元说明!C:C,0),5)</f>
        <v>YYYYMMDD，默认值99991231。</v>
      </c>
      <c r="L301" s="68" t="str">
        <f>INDEX(数据元说明!A:F,MATCH(I301,数据元说明!C:C,0),6)</f>
        <v>C8</v>
      </c>
      <c r="M301" s="68" t="s">
        <v>2068</v>
      </c>
      <c r="N301" s="68" t="s">
        <v>1601</v>
      </c>
      <c r="O301" s="68"/>
      <c r="P301" s="69"/>
    </row>
    <row r="302" s="39" customFormat="1" ht="39.95" hidden="1" customHeight="1" outlineLevel="1" spans="1:16">
      <c r="A302" s="63"/>
      <c r="B302" s="76"/>
      <c r="C302" s="77" t="s">
        <v>88</v>
      </c>
      <c r="D302" s="77" t="s">
        <v>2036</v>
      </c>
      <c r="E302" s="78">
        <v>303</v>
      </c>
      <c r="F302" s="68" t="s">
        <v>2069</v>
      </c>
      <c r="G302" s="78">
        <v>30316</v>
      </c>
      <c r="H302" s="68" t="s">
        <v>2070</v>
      </c>
      <c r="I302" s="68" t="s">
        <v>405</v>
      </c>
      <c r="J302" s="68" t="str">
        <f>INDEX(数据元说明!A:F,MATCH(I302,数据元说明!C:C,0),2)</f>
        <v>001019</v>
      </c>
      <c r="K302" s="68" t="str">
        <f>INDEX(数据元说明!A:F,MATCH(I302,数据元说明!C:C,0),5)</f>
        <v>中文字典或中文描述，银行自定义。</v>
      </c>
      <c r="L302" s="68" t="str">
        <f>INDEX(数据元说明!A:F,MATCH(I302,数据元说明!C:C,0),6)</f>
        <v>C..60</v>
      </c>
      <c r="M302" s="68"/>
      <c r="N302" s="68" t="s">
        <v>1601</v>
      </c>
      <c r="O302" s="68"/>
      <c r="P302" s="69"/>
    </row>
    <row r="303" ht="39.95" hidden="1" customHeight="1" outlineLevel="1" spans="1:16">
      <c r="A303" s="63"/>
      <c r="B303" s="64"/>
      <c r="C303" s="77" t="s">
        <v>88</v>
      </c>
      <c r="D303" s="77" t="s">
        <v>2036</v>
      </c>
      <c r="E303" s="78">
        <v>303</v>
      </c>
      <c r="F303" s="67" t="s">
        <v>484</v>
      </c>
      <c r="G303" s="78">
        <v>30317</v>
      </c>
      <c r="H303" s="67" t="s">
        <v>1623</v>
      </c>
      <c r="I303" s="67" t="s">
        <v>484</v>
      </c>
      <c r="J303" s="67" t="str">
        <f>INDEX(数据元说明!A:F,MATCH(I303,数据元说明!C:C,0),2)</f>
        <v>001038</v>
      </c>
      <c r="K303" s="68" t="str">
        <f>INDEX(数据元说明!A:F,MATCH(I303,数据元说明!C:C,0),5)</f>
        <v>银行自定义。</v>
      </c>
      <c r="L303" s="67" t="str">
        <f>INDEX(数据元说明!A:F,MATCH(I303,数据元说明!C:C,0),6)</f>
        <v>C..600</v>
      </c>
      <c r="M303" s="68" t="s">
        <v>1624</v>
      </c>
      <c r="N303" s="68" t="s">
        <v>1601</v>
      </c>
      <c r="O303" s="68"/>
      <c r="P303" s="68"/>
    </row>
    <row r="304" s="39" customFormat="1" ht="39.95" hidden="1" customHeight="1" outlineLevel="1" spans="1:16">
      <c r="A304" s="63"/>
      <c r="B304" s="76"/>
      <c r="C304" s="77" t="s">
        <v>88</v>
      </c>
      <c r="D304" s="77" t="s">
        <v>2036</v>
      </c>
      <c r="E304" s="78">
        <v>303</v>
      </c>
      <c r="F304" s="68" t="s">
        <v>1625</v>
      </c>
      <c r="G304" s="78">
        <v>30318</v>
      </c>
      <c r="H304" s="68" t="s">
        <v>1626</v>
      </c>
      <c r="I304" s="68" t="s">
        <v>345</v>
      </c>
      <c r="J304" s="68" t="str">
        <f>INDEX(数据元说明!A:F,MATCH(I304,数据元说明!C:C,0),2)</f>
        <v>001005</v>
      </c>
      <c r="K304" s="68" t="str">
        <f>INDEX(数据元说明!A:F,MATCH(I304,数据元说明!C:C,0),5)</f>
        <v>YYYYMMDD，默认值99991231。</v>
      </c>
      <c r="L304" s="68" t="str">
        <f>INDEX(数据元说明!A:F,MATCH(I304,数据元说明!C:C,0),6)</f>
        <v>C8</v>
      </c>
      <c r="M304" s="68" t="s">
        <v>2071</v>
      </c>
      <c r="N304" s="68" t="s">
        <v>1601</v>
      </c>
      <c r="O304" s="68"/>
      <c r="P304" s="69"/>
    </row>
    <row r="305" ht="39.95" hidden="1" customHeight="1" collapsed="1" spans="1:16">
      <c r="A305" s="63" t="s">
        <v>2072</v>
      </c>
      <c r="B305" s="64" t="s">
        <v>93</v>
      </c>
      <c r="C305" s="59"/>
      <c r="D305" s="59"/>
      <c r="E305" s="65"/>
      <c r="F305" s="67"/>
      <c r="G305" s="65"/>
      <c r="H305" s="67"/>
      <c r="I305" s="67"/>
      <c r="J305" s="67"/>
      <c r="K305" s="68"/>
      <c r="L305" s="67"/>
      <c r="M305" s="68"/>
      <c r="N305" s="68"/>
      <c r="O305" s="68"/>
      <c r="P305" s="68"/>
    </row>
    <row r="306" ht="39.95" hidden="1" customHeight="1" spans="1:16">
      <c r="A306" s="63"/>
      <c r="B306" s="64"/>
      <c r="C306" s="59" t="s">
        <v>94</v>
      </c>
      <c r="D306" s="59" t="s">
        <v>2073</v>
      </c>
      <c r="E306" s="65">
        <v>401</v>
      </c>
      <c r="F306" s="67"/>
      <c r="G306" s="65"/>
      <c r="H306" s="67"/>
      <c r="I306" s="67"/>
      <c r="J306" s="67"/>
      <c r="K306" s="68"/>
      <c r="L306" s="67"/>
      <c r="M306" s="68" t="str">
        <f>INDEX(表结构总览!D:G,MATCH(D306,表结构总览!D:D,0),4)</f>
        <v>本表报送银行机构会计记账使用的有余额的或余额变动的会计科目。只报境内银行（不报子公司），包括总行、一级分行、二级分行、一级支行（最多报4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v>
      </c>
      <c r="N306" s="68" t="s">
        <v>1583</v>
      </c>
      <c r="O306" s="68" t="s">
        <v>484</v>
      </c>
      <c r="P306" s="68"/>
    </row>
    <row r="307" ht="39.95" hidden="1" customHeight="1" outlineLevel="1" spans="1:16">
      <c r="A307" s="63"/>
      <c r="B307" s="64"/>
      <c r="C307" s="59" t="s">
        <v>94</v>
      </c>
      <c r="D307" s="59" t="s">
        <v>2073</v>
      </c>
      <c r="E307" s="65">
        <v>401</v>
      </c>
      <c r="F307" s="67" t="s">
        <v>373</v>
      </c>
      <c r="G307" s="65">
        <v>40101</v>
      </c>
      <c r="H307" s="67" t="s">
        <v>1588</v>
      </c>
      <c r="I307" s="67" t="s">
        <v>373</v>
      </c>
      <c r="J307" s="67" t="str">
        <f>INDEX(数据元说明!A:F,MATCH(I307,数据元说明!C:C,0),2)</f>
        <v>001011</v>
      </c>
      <c r="K307" s="68" t="str">
        <f>INDEX(数据元说明!A:F,MATCH(I307,数据元说明!C:C,0),5)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07" s="67" t="str">
        <f>INDEX(数据元说明!A:F,MATCH(I307,数据元说明!C:C,0),6)</f>
        <v>C..30</v>
      </c>
      <c r="M307" s="68" t="s">
        <v>1629</v>
      </c>
      <c r="N307" s="68" t="s">
        <v>1583</v>
      </c>
      <c r="O307" s="68" t="s">
        <v>484</v>
      </c>
      <c r="P307" s="68"/>
    </row>
    <row r="308" ht="39.95" hidden="1" customHeight="1" outlineLevel="1" spans="1:16">
      <c r="A308" s="63"/>
      <c r="B308" s="64"/>
      <c r="C308" s="59" t="s">
        <v>94</v>
      </c>
      <c r="D308" s="59" t="s">
        <v>2073</v>
      </c>
      <c r="E308" s="65">
        <v>401</v>
      </c>
      <c r="F308" s="67" t="s">
        <v>377</v>
      </c>
      <c r="G308" s="65">
        <v>40102</v>
      </c>
      <c r="H308" s="67" t="s">
        <v>1586</v>
      </c>
      <c r="I308" s="67" t="s">
        <v>377</v>
      </c>
      <c r="J308" s="67" t="str">
        <f>INDEX(数据元说明!A:F,MATCH(I308,数据元说明!C:C,0),2)</f>
        <v>001012</v>
      </c>
      <c r="K308" s="68" t="str">
        <f>INDEX(数据元说明!A:F,MATCH(I308,数据元说明!C:C,0),5)</f>
        <v>银行内部机构号。应具有标识机构的唯一性。</v>
      </c>
      <c r="L308" s="67" t="str">
        <f>INDEX(数据元说明!A:F,MATCH(I308,数据元说明!C:C,0),6)</f>
        <v>C..30</v>
      </c>
      <c r="M308" s="68" t="s">
        <v>2074</v>
      </c>
      <c r="N308" s="68"/>
      <c r="O308" s="68"/>
      <c r="P308" s="68"/>
    </row>
    <row r="309" ht="39.95" hidden="1" customHeight="1" outlineLevel="1" spans="1:16">
      <c r="A309" s="70"/>
      <c r="B309" s="71"/>
      <c r="C309" s="59" t="s">
        <v>94</v>
      </c>
      <c r="D309" s="59" t="s">
        <v>2073</v>
      </c>
      <c r="E309" s="65">
        <v>401</v>
      </c>
      <c r="F309" s="67" t="s">
        <v>1592</v>
      </c>
      <c r="G309" s="65">
        <v>40103</v>
      </c>
      <c r="H309" s="67" t="s">
        <v>1593</v>
      </c>
      <c r="I309" s="67" t="s">
        <v>325</v>
      </c>
      <c r="J309" s="67" t="str">
        <f>INDEX(数据元说明!A:F,MATCH(I309,数据元说明!C:C,0),2)</f>
        <v>001001</v>
      </c>
      <c r="K309" s="68" t="str">
        <f>INDEX(数据元说明!A:F,MATCH(I309,数据元说明!C:C,0),5)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309" s="67" t="str">
        <f>INDEX(数据元说明!A:F,MATCH(I309,数据元说明!C:C,0),6)</f>
        <v>C..450</v>
      </c>
      <c r="M309" s="68" t="s">
        <v>1631</v>
      </c>
      <c r="N309" s="68" t="s">
        <v>1583</v>
      </c>
      <c r="O309" s="68" t="s">
        <v>1695</v>
      </c>
      <c r="P309" s="68"/>
    </row>
    <row r="310" ht="39.95" hidden="1" customHeight="1" outlineLevel="1" spans="1:16">
      <c r="A310" s="63"/>
      <c r="B310" s="64"/>
      <c r="C310" s="59" t="s">
        <v>94</v>
      </c>
      <c r="D310" s="59" t="s">
        <v>2073</v>
      </c>
      <c r="E310" s="65">
        <v>401</v>
      </c>
      <c r="F310" s="67" t="s">
        <v>609</v>
      </c>
      <c r="G310" s="65">
        <v>40104</v>
      </c>
      <c r="H310" s="67" t="s">
        <v>2075</v>
      </c>
      <c r="I310" s="67" t="s">
        <v>609</v>
      </c>
      <c r="J310" s="67" t="str">
        <f>INDEX(数据元说明!A:F,MATCH(I310,数据元说明!C:C,0),2)</f>
        <v>003002</v>
      </c>
      <c r="K310" s="68" t="str">
        <f>INDEX(数据元说明!A:F,MATCH(I310,数据元说明!C:C,0),5)</f>
        <v>机构实际使用的总账会计科目编码。</v>
      </c>
      <c r="L310" s="67" t="str">
        <f>INDEX(数据元说明!A:F,MATCH(I310,数据元说明!C:C,0),6)</f>
        <v>C..60</v>
      </c>
      <c r="M310" s="68" t="s">
        <v>2076</v>
      </c>
      <c r="N310" s="68" t="s">
        <v>1583</v>
      </c>
      <c r="O310" s="68" t="s">
        <v>1695</v>
      </c>
      <c r="P310" s="68"/>
    </row>
    <row r="311" ht="39.95" hidden="1" customHeight="1" outlineLevel="1" spans="1:16">
      <c r="A311" s="70"/>
      <c r="B311" s="71"/>
      <c r="C311" s="59" t="s">
        <v>94</v>
      </c>
      <c r="D311" s="59" t="s">
        <v>2073</v>
      </c>
      <c r="E311" s="65">
        <v>401</v>
      </c>
      <c r="F311" s="67" t="s">
        <v>613</v>
      </c>
      <c r="G311" s="65">
        <v>40105</v>
      </c>
      <c r="H311" s="67" t="s">
        <v>2077</v>
      </c>
      <c r="I311" s="67" t="s">
        <v>613</v>
      </c>
      <c r="J311" s="67" t="str">
        <f>INDEX(数据元说明!A:F,MATCH(I311,数据元说明!C:C,0),2)</f>
        <v>003003</v>
      </c>
      <c r="K311" s="68" t="str">
        <f>INDEX(数据元说明!A:F,MATCH(I311,数据元说明!C:C,0),5)</f>
        <v>机构实际使用的总账会计科目编码对应的名称。</v>
      </c>
      <c r="L311" s="67" t="str">
        <f>INDEX(数据元说明!A:F,MATCH(I311,数据元说明!C:C,0),6)</f>
        <v>C..300</v>
      </c>
      <c r="M311" s="68" t="s">
        <v>2078</v>
      </c>
      <c r="N311" s="68" t="s">
        <v>1583</v>
      </c>
      <c r="O311" s="68" t="s">
        <v>1695</v>
      </c>
      <c r="P311" s="68"/>
    </row>
    <row r="312" ht="39.95" hidden="1" customHeight="1" outlineLevel="1" spans="1:16">
      <c r="A312" s="70"/>
      <c r="B312" s="71"/>
      <c r="C312" s="59" t="s">
        <v>94</v>
      </c>
      <c r="D312" s="59" t="s">
        <v>2073</v>
      </c>
      <c r="E312" s="65">
        <v>401</v>
      </c>
      <c r="F312" s="67" t="s">
        <v>642</v>
      </c>
      <c r="G312" s="65">
        <v>40106</v>
      </c>
      <c r="H312" s="67" t="s">
        <v>1914</v>
      </c>
      <c r="I312" s="67" t="s">
        <v>642</v>
      </c>
      <c r="J312" s="67" t="str">
        <f>INDEX(数据元说明!A:F,MATCH(I312,数据元说明!C:C,0),2)</f>
        <v>003010</v>
      </c>
      <c r="K312" s="68" t="str">
        <f>INDEX(数据元说明!A:F,MATCH(I312,数据元说明!C:C,0),5)</f>
        <v>遵循《GB/T 12406 表示货币和资金的代码》的字母代码，如CNY。上述文件所列币种无法涵盖的，允许银行自定义填报。多个币种合计折算为人民币（本外币合计）的，填报为BWB。</v>
      </c>
      <c r="L312" s="67" t="str">
        <f>INDEX(数据元说明!A:F,MATCH(I312,数据元说明!C:C,0),6)</f>
        <v>C3</v>
      </c>
      <c r="M312" s="68" t="s">
        <v>1587</v>
      </c>
      <c r="N312" s="68" t="s">
        <v>1583</v>
      </c>
      <c r="O312" s="68" t="s">
        <v>1574</v>
      </c>
      <c r="P312" s="68" t="s">
        <v>1634</v>
      </c>
    </row>
    <row r="313" ht="39.95" hidden="1" customHeight="1" outlineLevel="1" spans="1:16">
      <c r="A313" s="70"/>
      <c r="B313" s="71"/>
      <c r="C313" s="59" t="s">
        <v>94</v>
      </c>
      <c r="D313" s="59" t="s">
        <v>2073</v>
      </c>
      <c r="E313" s="65">
        <v>401</v>
      </c>
      <c r="F313" s="67" t="s">
        <v>2079</v>
      </c>
      <c r="G313" s="65">
        <v>40107</v>
      </c>
      <c r="H313" s="67" t="s">
        <v>2080</v>
      </c>
      <c r="I313" s="67" t="s">
        <v>638</v>
      </c>
      <c r="J313" s="67" t="str">
        <f>INDEX(数据元说明!A:F,MATCH(I313,数据元说明!C:C,0),2)</f>
        <v>003009</v>
      </c>
      <c r="K313" s="68" t="str">
        <f>INDEX(数据元说明!A:F,MATCH(I313,数据元说明!C:C,0),5)</f>
        <v>与币种相对应金额。(以正数填列。如信贷分户账，某客户初次获得贷款1万元，此时余额为10000；如活期存款明细，某客户初次开户存入10000元，此时余额为10000）</v>
      </c>
      <c r="L313" s="67" t="str">
        <f>INDEX(数据元说明!A:F,MATCH(I313,数据元说明!C:C,0),6)</f>
        <v>D20.2</v>
      </c>
      <c r="M313" s="68" t="s">
        <v>2081</v>
      </c>
      <c r="N313" s="68"/>
      <c r="O313" s="68"/>
      <c r="P313" s="68"/>
    </row>
    <row r="314" ht="39.95" hidden="1" customHeight="1" outlineLevel="1" spans="1:16">
      <c r="A314" s="70"/>
      <c r="B314" s="71"/>
      <c r="C314" s="59" t="s">
        <v>94</v>
      </c>
      <c r="D314" s="59" t="s">
        <v>2073</v>
      </c>
      <c r="E314" s="65">
        <v>401</v>
      </c>
      <c r="F314" s="67" t="s">
        <v>2082</v>
      </c>
      <c r="G314" s="65">
        <v>40108</v>
      </c>
      <c r="H314" s="67" t="s">
        <v>2083</v>
      </c>
      <c r="I314" s="67" t="s">
        <v>638</v>
      </c>
      <c r="J314" s="67" t="str">
        <f>INDEX(数据元说明!A:F,MATCH(I314,数据元说明!C:C,0),2)</f>
        <v>003009</v>
      </c>
      <c r="K314" s="68" t="str">
        <f>INDEX(数据元说明!A:F,MATCH(I314,数据元说明!C:C,0),5)</f>
        <v>与币种相对应金额。(以正数填列。如信贷分户账，某客户初次获得贷款1万元，此时余额为10000；如活期存款明细，某客户初次开户存入10000元，此时余额为10000）</v>
      </c>
      <c r="L314" s="67" t="str">
        <f>INDEX(数据元说明!A:F,MATCH(I314,数据元说明!C:C,0),6)</f>
        <v>D20.2</v>
      </c>
      <c r="M314" s="68" t="s">
        <v>2081</v>
      </c>
      <c r="N314" s="68"/>
      <c r="O314" s="68"/>
      <c r="P314" s="68"/>
    </row>
    <row r="315" ht="39.95" hidden="1" customHeight="1" outlineLevel="1" spans="1:16">
      <c r="A315" s="79"/>
      <c r="B315" s="69"/>
      <c r="C315" s="59" t="s">
        <v>94</v>
      </c>
      <c r="D315" s="59" t="s">
        <v>2073</v>
      </c>
      <c r="E315" s="65">
        <v>401</v>
      </c>
      <c r="F315" s="69" t="s">
        <v>2084</v>
      </c>
      <c r="G315" s="65">
        <v>40109</v>
      </c>
      <c r="H315" s="69" t="s">
        <v>2085</v>
      </c>
      <c r="I315" s="69" t="s">
        <v>634</v>
      </c>
      <c r="J315" s="67" t="str">
        <f>INDEX(数据元说明!A:F,MATCH(I315,数据元说明!C:C,0),2)</f>
        <v>003008</v>
      </c>
      <c r="K315" s="68" t="str">
        <f>INDEX(数据元说明!A:F,MATCH(I315,数据元说明!C:C,0),5)</f>
        <v>与币种相对应金额。</v>
      </c>
      <c r="L315" s="67" t="str">
        <f>INDEX(数据元说明!A:F,MATCH(I315,数据元说明!C:C,0),6)</f>
        <v>D20.2</v>
      </c>
      <c r="M315" s="68" t="s">
        <v>2086</v>
      </c>
      <c r="N315" s="68"/>
      <c r="O315" s="68"/>
      <c r="P315" s="68"/>
    </row>
    <row r="316" ht="39.95" hidden="1" customHeight="1" outlineLevel="1" spans="1:16">
      <c r="A316" s="79"/>
      <c r="B316" s="69"/>
      <c r="C316" s="59" t="s">
        <v>94</v>
      </c>
      <c r="D316" s="59" t="s">
        <v>2073</v>
      </c>
      <c r="E316" s="65">
        <v>401</v>
      </c>
      <c r="F316" s="69" t="s">
        <v>2087</v>
      </c>
      <c r="G316" s="65">
        <v>40110</v>
      </c>
      <c r="H316" s="69" t="s">
        <v>2088</v>
      </c>
      <c r="I316" s="69" t="s">
        <v>634</v>
      </c>
      <c r="J316" s="67" t="str">
        <f>INDEX(数据元说明!A:F,MATCH(I316,数据元说明!C:C,0),2)</f>
        <v>003008</v>
      </c>
      <c r="K316" s="68" t="str">
        <f>INDEX(数据元说明!A:F,MATCH(I316,数据元说明!C:C,0),5)</f>
        <v>与币种相对应金额。</v>
      </c>
      <c r="L316" s="67" t="str">
        <f>INDEX(数据元说明!A:F,MATCH(I316,数据元说明!C:C,0),6)</f>
        <v>D20.2</v>
      </c>
      <c r="M316" s="68" t="s">
        <v>2089</v>
      </c>
      <c r="N316" s="68"/>
      <c r="O316" s="68"/>
      <c r="P316" s="68"/>
    </row>
    <row r="317" ht="39.95" hidden="1" customHeight="1" outlineLevel="1" spans="1:16">
      <c r="A317" s="70"/>
      <c r="B317" s="71"/>
      <c r="C317" s="59" t="s">
        <v>94</v>
      </c>
      <c r="D317" s="59" t="s">
        <v>2073</v>
      </c>
      <c r="E317" s="65">
        <v>401</v>
      </c>
      <c r="F317" s="67" t="s">
        <v>2090</v>
      </c>
      <c r="G317" s="65">
        <v>40111</v>
      </c>
      <c r="H317" s="67" t="s">
        <v>2091</v>
      </c>
      <c r="I317" s="67" t="s">
        <v>638</v>
      </c>
      <c r="J317" s="67" t="str">
        <f>INDEX(数据元说明!A:F,MATCH(I317,数据元说明!C:C,0),2)</f>
        <v>003009</v>
      </c>
      <c r="K317" s="68" t="str">
        <f>INDEX(数据元说明!A:F,MATCH(I317,数据元说明!C:C,0),5)</f>
        <v>与币种相对应金额。(以正数填列。如信贷分户账，某客户初次获得贷款1万元，此时余额为10000；如活期存款明细，某客户初次开户存入10000元，此时余额为10000）</v>
      </c>
      <c r="L317" s="67" t="str">
        <f>INDEX(数据元说明!A:F,MATCH(I317,数据元说明!C:C,0),6)</f>
        <v>D20.2</v>
      </c>
      <c r="M317" s="68" t="s">
        <v>2092</v>
      </c>
      <c r="N317" s="68"/>
      <c r="O317" s="68"/>
      <c r="P317" s="68"/>
    </row>
    <row r="318" ht="39.95" hidden="1" customHeight="1" outlineLevel="1" spans="1:16">
      <c r="A318" s="70"/>
      <c r="B318" s="71"/>
      <c r="C318" s="59" t="s">
        <v>94</v>
      </c>
      <c r="D318" s="59" t="s">
        <v>2073</v>
      </c>
      <c r="E318" s="65">
        <v>401</v>
      </c>
      <c r="F318" s="67" t="s">
        <v>2093</v>
      </c>
      <c r="G318" s="65">
        <v>40112</v>
      </c>
      <c r="H318" s="67" t="s">
        <v>2094</v>
      </c>
      <c r="I318" s="67" t="s">
        <v>638</v>
      </c>
      <c r="J318" s="67" t="str">
        <f>INDEX(数据元说明!A:F,MATCH(I318,数据元说明!C:C,0),2)</f>
        <v>003009</v>
      </c>
      <c r="K318" s="68" t="str">
        <f>INDEX(数据元说明!A:F,MATCH(I318,数据元说明!C:C,0),5)</f>
        <v>与币种相对应金额。(以正数填列。如信贷分户账，某客户初次获得贷款1万元，此时余额为10000；如活期存款明细，某客户初次开户存入10000元，此时余额为10000）</v>
      </c>
      <c r="L318" s="67" t="str">
        <f>INDEX(数据元说明!A:F,MATCH(I318,数据元说明!C:C,0),6)</f>
        <v>D20.2</v>
      </c>
      <c r="M318" s="68" t="s">
        <v>2092</v>
      </c>
      <c r="N318" s="68"/>
      <c r="O318" s="68"/>
      <c r="P318" s="68"/>
    </row>
    <row r="319" ht="39.95" hidden="1" customHeight="1" outlineLevel="1" spans="1:16">
      <c r="A319" s="63"/>
      <c r="B319" s="64"/>
      <c r="C319" s="59" t="s">
        <v>94</v>
      </c>
      <c r="D319" s="59" t="s">
        <v>2073</v>
      </c>
      <c r="E319" s="65">
        <v>401</v>
      </c>
      <c r="F319" s="75" t="s">
        <v>2095</v>
      </c>
      <c r="G319" s="65">
        <v>40113</v>
      </c>
      <c r="H319" s="67" t="s">
        <v>2096</v>
      </c>
      <c r="I319" s="67" t="s">
        <v>695</v>
      </c>
      <c r="J319" s="67" t="str">
        <f>INDEX(数据元说明!A:F,MATCH(I319,数据元说明!C:C,0),2)</f>
        <v>003023</v>
      </c>
      <c r="K319" s="68" t="str">
        <f>INDEX(数据元说明!A:F,MATCH(I319,数据元说明!C:C,0),5)</f>
        <v>日报，月报，季报，半年报，年报，其他-银行自定义。无法以枚举类型填报的，以“其他-XX”填报，其中“XX”为银行自定义类型。</v>
      </c>
      <c r="L319" s="67" t="str">
        <f>INDEX(数据元说明!A:F,MATCH(I319,数据元说明!C:C,0),6)</f>
        <v>C..20</v>
      </c>
      <c r="M319" s="68" t="s">
        <v>1679</v>
      </c>
      <c r="N319" s="68" t="s">
        <v>1583</v>
      </c>
      <c r="O319" s="68" t="s">
        <v>1597</v>
      </c>
      <c r="P319" s="68"/>
    </row>
    <row r="320" ht="39.95" hidden="1" customHeight="1" outlineLevel="1" spans="1:16">
      <c r="A320" s="63"/>
      <c r="B320" s="64"/>
      <c r="C320" s="59" t="s">
        <v>94</v>
      </c>
      <c r="D320" s="59" t="s">
        <v>2073</v>
      </c>
      <c r="E320" s="65">
        <v>401</v>
      </c>
      <c r="F320" s="75" t="s">
        <v>2097</v>
      </c>
      <c r="G320" s="65">
        <v>40114</v>
      </c>
      <c r="H320" s="67" t="s">
        <v>2098</v>
      </c>
      <c r="I320" s="67" t="s">
        <v>345</v>
      </c>
      <c r="J320" s="67" t="str">
        <f>INDEX(数据元说明!A:F,MATCH(I320,数据元说明!C:C,0),2)</f>
        <v>001005</v>
      </c>
      <c r="K320" s="68" t="str">
        <f>INDEX(数据元说明!A:F,MATCH(I320,数据元说明!C:C,0),5)</f>
        <v>YYYYMMDD，默认值99991231。</v>
      </c>
      <c r="L320" s="67" t="str">
        <f>INDEX(数据元说明!A:F,MATCH(I320,数据元说明!C:C,0),6)</f>
        <v>C8</v>
      </c>
      <c r="M320" s="68" t="s">
        <v>2099</v>
      </c>
      <c r="N320" s="68"/>
      <c r="O320" s="68"/>
      <c r="P320" s="68"/>
    </row>
    <row r="321" ht="39.95" hidden="1" customHeight="1" outlineLevel="1" spans="1:16">
      <c r="A321" s="63"/>
      <c r="B321" s="64"/>
      <c r="C321" s="59" t="s">
        <v>94</v>
      </c>
      <c r="D321" s="59" t="s">
        <v>2073</v>
      </c>
      <c r="E321" s="65">
        <v>401</v>
      </c>
      <c r="F321" s="67" t="s">
        <v>484</v>
      </c>
      <c r="G321" s="65">
        <v>40115</v>
      </c>
      <c r="H321" s="67" t="s">
        <v>1623</v>
      </c>
      <c r="I321" s="67" t="s">
        <v>484</v>
      </c>
      <c r="J321" s="67" t="str">
        <f>INDEX(数据元说明!A:F,MATCH(I321,数据元说明!C:C,0),2)</f>
        <v>001038</v>
      </c>
      <c r="K321" s="68" t="str">
        <f>INDEX(数据元说明!A:F,MATCH(I321,数据元说明!C:C,0),5)</f>
        <v>银行自定义。</v>
      </c>
      <c r="L321" s="67" t="str">
        <f>INDEX(数据元说明!A:F,MATCH(I321,数据元说明!C:C,0),6)</f>
        <v>C..600</v>
      </c>
      <c r="M321" s="68" t="s">
        <v>1624</v>
      </c>
      <c r="N321" s="68" t="s">
        <v>1601</v>
      </c>
      <c r="O321" s="68"/>
      <c r="P321" s="68"/>
    </row>
    <row r="322" ht="39.95" hidden="1" customHeight="1" outlineLevel="1" spans="1:16">
      <c r="A322" s="63"/>
      <c r="B322" s="64"/>
      <c r="C322" s="59" t="s">
        <v>94</v>
      </c>
      <c r="D322" s="59" t="s">
        <v>2073</v>
      </c>
      <c r="E322" s="65">
        <v>401</v>
      </c>
      <c r="F322" s="67" t="s">
        <v>1625</v>
      </c>
      <c r="G322" s="65">
        <v>40116</v>
      </c>
      <c r="H322" s="67" t="s">
        <v>1626</v>
      </c>
      <c r="I322" s="67" t="s">
        <v>345</v>
      </c>
      <c r="J322" s="67" t="str">
        <f>INDEX(数据元说明!A:F,MATCH(I322,数据元说明!C:C,0),2)</f>
        <v>001005</v>
      </c>
      <c r="K322" s="68" t="str">
        <f>INDEX(数据元说明!A:F,MATCH(I322,数据元说明!C:C,0),5)</f>
        <v>YYYYMMDD，默认值99991231。</v>
      </c>
      <c r="L322" s="67" t="str">
        <f>INDEX(数据元说明!A:F,MATCH(I322,数据元说明!C:C,0),6)</f>
        <v>C8</v>
      </c>
      <c r="M322" s="68" t="s">
        <v>1627</v>
      </c>
      <c r="N322" s="68" t="s">
        <v>1601</v>
      </c>
      <c r="O322" s="68"/>
      <c r="P322" s="68"/>
    </row>
    <row r="323" ht="39.95" hidden="1" customHeight="1" collapsed="1" spans="1:16">
      <c r="A323" s="77"/>
      <c r="B323" s="64"/>
      <c r="C323" s="59" t="s">
        <v>98</v>
      </c>
      <c r="D323" s="59" t="s">
        <v>2100</v>
      </c>
      <c r="E323" s="65">
        <v>402</v>
      </c>
      <c r="F323" s="67"/>
      <c r="G323" s="65"/>
      <c r="H323" s="67"/>
      <c r="I323" s="67"/>
      <c r="J323" s="67"/>
      <c r="K323" s="68"/>
      <c r="L323" s="67"/>
      <c r="M323" s="68" t="str">
        <f>表结构总览!G22</f>
        <v>本表报送总账会计全科目的上下级对应关系，以会计科目为最小粒度报送。内部科目对照表由法人机构统一确定，分支机构按同一内容报送。报送科目必须与当期《总账会计全科目表》中的科目一致。此表首次采集为全量采集，后续采集如有变化，需全量报送。</v>
      </c>
      <c r="N323" s="68" t="s">
        <v>1583</v>
      </c>
      <c r="O323" s="68" t="s">
        <v>484</v>
      </c>
      <c r="P323" s="68"/>
    </row>
    <row r="324" ht="39.95" hidden="1" customHeight="1" outlineLevel="1" spans="1:16">
      <c r="A324" s="63"/>
      <c r="B324" s="64"/>
      <c r="C324" s="59" t="s">
        <v>98</v>
      </c>
      <c r="D324" s="59" t="s">
        <v>2100</v>
      </c>
      <c r="E324" s="65">
        <v>402</v>
      </c>
      <c r="F324" s="67" t="s">
        <v>373</v>
      </c>
      <c r="G324" s="65">
        <v>40201</v>
      </c>
      <c r="H324" s="67" t="s">
        <v>1588</v>
      </c>
      <c r="I324" s="67" t="s">
        <v>373</v>
      </c>
      <c r="J324" s="67" t="str">
        <f>INDEX(数据元说明!A:F,MATCH(I324,数据元说明!C:C,0),2)</f>
        <v>001011</v>
      </c>
      <c r="K324" s="68" t="str">
        <f>INDEX(数据元说明!A:F,MATCH(I324,数据元说明!C:C,0),5)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24" s="67" t="str">
        <f>INDEX(数据元说明!A:F,MATCH(I324,数据元说明!C:C,0),6)</f>
        <v>C..30</v>
      </c>
      <c r="M324" s="68" t="s">
        <v>1697</v>
      </c>
      <c r="N324" s="68" t="s">
        <v>1583</v>
      </c>
      <c r="O324" s="68" t="s">
        <v>484</v>
      </c>
      <c r="P324" s="68"/>
    </row>
    <row r="325" ht="39.95" hidden="1" customHeight="1" outlineLevel="1" spans="1:16">
      <c r="A325" s="63"/>
      <c r="B325" s="64"/>
      <c r="C325" s="59" t="s">
        <v>98</v>
      </c>
      <c r="D325" s="59" t="s">
        <v>2100</v>
      </c>
      <c r="E325" s="65">
        <v>402</v>
      </c>
      <c r="F325" s="67" t="s">
        <v>377</v>
      </c>
      <c r="G325" s="65">
        <v>40202</v>
      </c>
      <c r="H325" s="67" t="s">
        <v>1586</v>
      </c>
      <c r="I325" s="67" t="s">
        <v>377</v>
      </c>
      <c r="J325" s="67" t="str">
        <f>INDEX(数据元说明!A:F,MATCH(I325,数据元说明!C:C,0),2)</f>
        <v>001012</v>
      </c>
      <c r="K325" s="68" t="str">
        <f>INDEX(数据元说明!A:F,MATCH(I325,数据元说明!C:C,0),5)</f>
        <v>银行内部机构号。应具有标识机构的唯一性。</v>
      </c>
      <c r="L325" s="67" t="str">
        <f>INDEX(数据元说明!A:F,MATCH(I325,数据元说明!C:C,0),6)</f>
        <v>C..30</v>
      </c>
      <c r="M325" s="68" t="s">
        <v>1663</v>
      </c>
      <c r="N325" s="68"/>
      <c r="O325" s="68"/>
      <c r="P325" s="68"/>
    </row>
    <row r="326" ht="39.95" hidden="1" customHeight="1" outlineLevel="1" spans="1:16">
      <c r="A326" s="70"/>
      <c r="B326" s="71"/>
      <c r="C326" s="59" t="s">
        <v>98</v>
      </c>
      <c r="D326" s="59" t="s">
        <v>2100</v>
      </c>
      <c r="E326" s="65">
        <v>402</v>
      </c>
      <c r="F326" s="67" t="s">
        <v>1592</v>
      </c>
      <c r="G326" s="65">
        <v>40203</v>
      </c>
      <c r="H326" s="67" t="s">
        <v>1593</v>
      </c>
      <c r="I326" s="67" t="s">
        <v>325</v>
      </c>
      <c r="J326" s="67" t="str">
        <f>INDEX(数据元说明!A:F,MATCH(I326,数据元说明!C:C,0),2)</f>
        <v>001001</v>
      </c>
      <c r="K326" s="68" t="str">
        <f>INDEX(数据元说明!A:F,MATCH(I326,数据元说明!C:C,0),5)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326" s="67" t="str">
        <f>INDEX(数据元说明!A:F,MATCH(I326,数据元说明!C:C,0),6)</f>
        <v>C..450</v>
      </c>
      <c r="M326" s="68" t="s">
        <v>1631</v>
      </c>
      <c r="N326" s="68" t="s">
        <v>1583</v>
      </c>
      <c r="O326" s="68" t="s">
        <v>1695</v>
      </c>
      <c r="P326" s="68"/>
    </row>
    <row r="327" ht="39.95" hidden="1" customHeight="1" outlineLevel="1" spans="1:16">
      <c r="A327" s="77"/>
      <c r="B327" s="64"/>
      <c r="C327" s="59" t="s">
        <v>98</v>
      </c>
      <c r="D327" s="59" t="s">
        <v>2100</v>
      </c>
      <c r="E327" s="65">
        <v>402</v>
      </c>
      <c r="F327" s="67" t="s">
        <v>609</v>
      </c>
      <c r="G327" s="65">
        <v>40204</v>
      </c>
      <c r="H327" s="67" t="s">
        <v>2075</v>
      </c>
      <c r="I327" s="67" t="s">
        <v>609</v>
      </c>
      <c r="J327" s="67" t="str">
        <f>INDEX(数据元说明!A:F,MATCH(I327,数据元说明!C:C,0),2)</f>
        <v>003002</v>
      </c>
      <c r="K327" s="68" t="str">
        <f>INDEX(数据元说明!A:F,MATCH(I327,数据元说明!C:C,0),5)</f>
        <v>机构实际使用的总账会计科目编码。</v>
      </c>
      <c r="L327" s="67" t="str">
        <f>INDEX(数据元说明!A:F,MATCH(I327,数据元说明!C:C,0),6)</f>
        <v>C..60</v>
      </c>
      <c r="M327" s="68" t="s">
        <v>2101</v>
      </c>
      <c r="N327" s="68" t="s">
        <v>1583</v>
      </c>
      <c r="O327" s="68" t="s">
        <v>2102</v>
      </c>
      <c r="P327" s="68"/>
    </row>
    <row r="328" ht="39.95" hidden="1" customHeight="1" outlineLevel="1" spans="1:16">
      <c r="A328" s="77"/>
      <c r="B328" s="64"/>
      <c r="C328" s="59" t="s">
        <v>98</v>
      </c>
      <c r="D328" s="59" t="s">
        <v>2100</v>
      </c>
      <c r="E328" s="65">
        <v>402</v>
      </c>
      <c r="F328" s="67" t="s">
        <v>613</v>
      </c>
      <c r="G328" s="65">
        <v>40205</v>
      </c>
      <c r="H328" s="67" t="s">
        <v>2077</v>
      </c>
      <c r="I328" s="67" t="s">
        <v>613</v>
      </c>
      <c r="J328" s="67" t="str">
        <f>INDEX(数据元说明!A:F,MATCH(I328,数据元说明!C:C,0),2)</f>
        <v>003003</v>
      </c>
      <c r="K328" s="68" t="str">
        <f>INDEX(数据元说明!A:F,MATCH(I328,数据元说明!C:C,0),5)</f>
        <v>机构实际使用的总账会计科目编码对应的名称。</v>
      </c>
      <c r="L328" s="67" t="str">
        <f>INDEX(数据元说明!A:F,MATCH(I328,数据元说明!C:C,0),6)</f>
        <v>C..300</v>
      </c>
      <c r="M328" s="68" t="s">
        <v>2103</v>
      </c>
      <c r="N328" s="68" t="s">
        <v>1583</v>
      </c>
      <c r="O328" s="68" t="s">
        <v>2102</v>
      </c>
      <c r="P328" s="68"/>
    </row>
    <row r="329" ht="39.95" hidden="1" customHeight="1" outlineLevel="1" spans="1:16">
      <c r="A329" s="77"/>
      <c r="B329" s="64"/>
      <c r="C329" s="59" t="s">
        <v>98</v>
      </c>
      <c r="D329" s="59" t="s">
        <v>2100</v>
      </c>
      <c r="E329" s="65">
        <v>402</v>
      </c>
      <c r="F329" s="67" t="s">
        <v>617</v>
      </c>
      <c r="G329" s="65">
        <v>40206</v>
      </c>
      <c r="H329" s="67" t="s">
        <v>2104</v>
      </c>
      <c r="I329" s="67" t="s">
        <v>617</v>
      </c>
      <c r="J329" s="67" t="str">
        <f>INDEX(数据元说明!A:F,MATCH(I329,数据元说明!C:C,0),2)</f>
        <v>003004</v>
      </c>
      <c r="K329" s="68" t="str">
        <f>INDEX(数据元说明!A:F,MATCH(I329,数据元说明!C:C,0),5)</f>
        <v>总账会计科目编号在科目结构中所对应的级次。</v>
      </c>
      <c r="L329" s="67" t="str">
        <f>INDEX(数据元说明!A:F,MATCH(I329,数据元说明!C:C,0),6)</f>
        <v>I</v>
      </c>
      <c r="M329" s="68" t="s">
        <v>2105</v>
      </c>
      <c r="N329" s="68"/>
      <c r="O329" s="68"/>
      <c r="P329" s="68"/>
    </row>
    <row r="330" ht="39.95" hidden="1" customHeight="1" outlineLevel="1" spans="1:16">
      <c r="A330" s="63"/>
      <c r="B330" s="64"/>
      <c r="C330" s="59" t="s">
        <v>98</v>
      </c>
      <c r="D330" s="59" t="s">
        <v>2100</v>
      </c>
      <c r="E330" s="65">
        <v>402</v>
      </c>
      <c r="F330" s="67" t="s">
        <v>2106</v>
      </c>
      <c r="G330" s="65">
        <v>40207</v>
      </c>
      <c r="H330" s="67" t="s">
        <v>2107</v>
      </c>
      <c r="I330" s="67" t="s">
        <v>609</v>
      </c>
      <c r="J330" s="67" t="str">
        <f>INDEX(数据元说明!A:F,MATCH(I330,数据元说明!C:C,0),2)</f>
        <v>003002</v>
      </c>
      <c r="K330" s="68" t="str">
        <f>INDEX(数据元说明!A:F,MATCH(I330,数据元说明!C:C,0),5)</f>
        <v>机构实际使用的总账会计科目编码。</v>
      </c>
      <c r="L330" s="67" t="str">
        <f>INDEX(数据元说明!A:F,MATCH(I330,数据元说明!C:C,0),6)</f>
        <v>C..60</v>
      </c>
      <c r="M330" s="68" t="s">
        <v>2108</v>
      </c>
      <c r="N330" s="68" t="s">
        <v>1583</v>
      </c>
      <c r="O330" s="68" t="s">
        <v>2102</v>
      </c>
      <c r="P330" s="68"/>
    </row>
    <row r="331" ht="39.95" hidden="1" customHeight="1" outlineLevel="1" spans="1:16">
      <c r="A331" s="63"/>
      <c r="B331" s="64"/>
      <c r="C331" s="59" t="s">
        <v>98</v>
      </c>
      <c r="D331" s="59" t="s">
        <v>2100</v>
      </c>
      <c r="E331" s="65">
        <v>402</v>
      </c>
      <c r="F331" s="67" t="s">
        <v>2109</v>
      </c>
      <c r="G331" s="65">
        <v>40208</v>
      </c>
      <c r="H331" s="67" t="s">
        <v>2110</v>
      </c>
      <c r="I331" s="67" t="s">
        <v>613</v>
      </c>
      <c r="J331" s="67" t="str">
        <f>INDEX(数据元说明!A:F,MATCH(I331,数据元说明!C:C,0),2)</f>
        <v>003003</v>
      </c>
      <c r="K331" s="68" t="str">
        <f>INDEX(数据元说明!A:F,MATCH(I331,数据元说明!C:C,0),5)</f>
        <v>机构实际使用的总账会计科目编码对应的名称。</v>
      </c>
      <c r="L331" s="67" t="str">
        <f>INDEX(数据元说明!A:F,MATCH(I331,数据元说明!C:C,0),6)</f>
        <v>C..300</v>
      </c>
      <c r="M331" s="68" t="s">
        <v>2111</v>
      </c>
      <c r="N331" s="68" t="s">
        <v>1583</v>
      </c>
      <c r="O331" s="68" t="s">
        <v>2102</v>
      </c>
      <c r="P331" s="68"/>
    </row>
    <row r="332" ht="39.95" hidden="1" customHeight="1" outlineLevel="1" spans="1:16">
      <c r="A332" s="63"/>
      <c r="B332" s="64"/>
      <c r="C332" s="59" t="s">
        <v>98</v>
      </c>
      <c r="D332" s="59" t="s">
        <v>2100</v>
      </c>
      <c r="E332" s="65">
        <v>402</v>
      </c>
      <c r="F332" s="67" t="s">
        <v>2112</v>
      </c>
      <c r="G332" s="65">
        <v>40209</v>
      </c>
      <c r="H332" s="67" t="s">
        <v>2113</v>
      </c>
      <c r="I332" s="67" t="s">
        <v>629</v>
      </c>
      <c r="J332" s="67" t="str">
        <f>INDEX(数据元说明!A:F,MATCH(I332,数据元说明!C:C,0),2)</f>
        <v>003007</v>
      </c>
      <c r="K332" s="68" t="str">
        <f>INDEX(数据元说明!A:F,MATCH(I332,数据元说明!C:C,0),5)</f>
        <v>借，贷，借贷并列。</v>
      </c>
      <c r="L332" s="67" t="str">
        <f>INDEX(数据元说明!A:F,MATCH(I332,数据元说明!C:C,0),6)</f>
        <v>C..12</v>
      </c>
      <c r="M332" s="68" t="s">
        <v>2114</v>
      </c>
      <c r="N332" s="68" t="s">
        <v>1601</v>
      </c>
      <c r="O332" s="68"/>
      <c r="P332" s="68"/>
    </row>
    <row r="333" ht="39.95" hidden="1" customHeight="1" outlineLevel="1" spans="1:16">
      <c r="A333" s="77"/>
      <c r="B333" s="64"/>
      <c r="C333" s="59" t="s">
        <v>98</v>
      </c>
      <c r="D333" s="59" t="s">
        <v>2100</v>
      </c>
      <c r="E333" s="65">
        <v>402</v>
      </c>
      <c r="F333" s="67" t="s">
        <v>2115</v>
      </c>
      <c r="G333" s="65">
        <v>40210</v>
      </c>
      <c r="H333" s="67" t="s">
        <v>2116</v>
      </c>
      <c r="I333" s="67" t="s">
        <v>621</v>
      </c>
      <c r="J333" s="67" t="str">
        <f>INDEX(数据元说明!A:F,MATCH(I333,数据元说明!C:C,0),2)</f>
        <v>003005</v>
      </c>
      <c r="K333" s="68" t="str">
        <f>INDEX(数据元说明!A:F,MATCH(I333,数据元说明!C:C,0),5)</f>
        <v>资产、负债、所有者权益、损益、资产负债共同类、表外、其他。</v>
      </c>
      <c r="L333" s="67" t="str">
        <f>INDEX(数据元说明!A:F,MATCH(I333,数据元说明!C:C,0),6)</f>
        <v>C..30</v>
      </c>
      <c r="M333" s="68" t="s">
        <v>2117</v>
      </c>
      <c r="N333" s="68" t="s">
        <v>1583</v>
      </c>
      <c r="O333" s="68" t="s">
        <v>1660</v>
      </c>
      <c r="P333" s="68"/>
    </row>
    <row r="334" ht="39.95" hidden="1" customHeight="1" outlineLevel="1" spans="1:16">
      <c r="A334" s="77"/>
      <c r="B334" s="64"/>
      <c r="C334" s="59" t="s">
        <v>98</v>
      </c>
      <c r="D334" s="59" t="s">
        <v>2100</v>
      </c>
      <c r="E334" s="65">
        <v>402</v>
      </c>
      <c r="F334" s="67" t="s">
        <v>2118</v>
      </c>
      <c r="G334" s="65">
        <v>40211</v>
      </c>
      <c r="H334" s="67" t="s">
        <v>2119</v>
      </c>
      <c r="I334" s="67" t="s">
        <v>625</v>
      </c>
      <c r="J334" s="67" t="str">
        <f>INDEX(数据元说明!A:F,MATCH(I334,数据元说明!C:C,0),2)</f>
        <v>003006</v>
      </c>
      <c r="K334" s="68" t="str">
        <f>INDEX(数据元说明!A:F,MATCH(I334,数据元说明!C:C,0),5)</f>
        <v>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v>
      </c>
      <c r="L334" s="67" t="str">
        <f>INDEX(数据元说明!A:F,MATCH(I334,数据元说明!C:C,0),6)</f>
        <v>C..300</v>
      </c>
      <c r="M334" s="68" t="s">
        <v>2120</v>
      </c>
      <c r="N334" s="68" t="s">
        <v>1583</v>
      </c>
      <c r="O334" s="68" t="s">
        <v>1660</v>
      </c>
      <c r="P334" s="68"/>
    </row>
    <row r="335" ht="39.95" hidden="1" customHeight="1" outlineLevel="1" spans="1:16">
      <c r="A335" s="77"/>
      <c r="B335" s="64"/>
      <c r="C335" s="59" t="s">
        <v>98</v>
      </c>
      <c r="D335" s="59" t="s">
        <v>2100</v>
      </c>
      <c r="E335" s="65">
        <v>402</v>
      </c>
      <c r="F335" s="67" t="s">
        <v>484</v>
      </c>
      <c r="G335" s="65">
        <v>40212</v>
      </c>
      <c r="H335" s="67" t="s">
        <v>1623</v>
      </c>
      <c r="I335" s="67" t="s">
        <v>484</v>
      </c>
      <c r="J335" s="67" t="str">
        <f>INDEX(数据元说明!A:F,MATCH(I335,数据元说明!C:C,0),2)</f>
        <v>001038</v>
      </c>
      <c r="K335" s="68" t="str">
        <f>INDEX(数据元说明!A:F,MATCH(I335,数据元说明!C:C,0),5)</f>
        <v>银行自定义。</v>
      </c>
      <c r="L335" s="67" t="str">
        <f>INDEX(数据元说明!A:F,MATCH(I335,数据元说明!C:C,0),6)</f>
        <v>C..600</v>
      </c>
      <c r="M335" s="68" t="s">
        <v>1624</v>
      </c>
      <c r="N335" s="68" t="s">
        <v>1601</v>
      </c>
      <c r="O335" s="68"/>
      <c r="P335" s="68"/>
    </row>
    <row r="336" ht="39.95" hidden="1" customHeight="1" outlineLevel="1" spans="1:16">
      <c r="A336" s="77"/>
      <c r="B336" s="64"/>
      <c r="C336" s="59" t="s">
        <v>98</v>
      </c>
      <c r="D336" s="59" t="s">
        <v>2100</v>
      </c>
      <c r="E336" s="65">
        <v>402</v>
      </c>
      <c r="F336" s="67" t="s">
        <v>1625</v>
      </c>
      <c r="G336" s="65">
        <v>40213</v>
      </c>
      <c r="H336" s="67" t="s">
        <v>1626</v>
      </c>
      <c r="I336" s="67" t="s">
        <v>345</v>
      </c>
      <c r="J336" s="67" t="str">
        <f>INDEX(数据元说明!A:F,MATCH(I336,数据元说明!C:C,0),2)</f>
        <v>001005</v>
      </c>
      <c r="K336" s="68" t="str">
        <f>INDEX(数据元说明!A:F,MATCH(I336,数据元说明!C:C,0),5)</f>
        <v>YYYYMMDD，默认值99991231。</v>
      </c>
      <c r="L336" s="67" t="str">
        <f>INDEX(数据元说明!A:F,MATCH(I336,数据元说明!C:C,0),6)</f>
        <v>C8</v>
      </c>
      <c r="M336" s="68" t="s">
        <v>1627</v>
      </c>
      <c r="N336" s="68"/>
      <c r="O336" s="68"/>
      <c r="P336" s="68"/>
    </row>
    <row r="337" ht="39.95" hidden="1" customHeight="1" collapsed="1" spans="1:16">
      <c r="A337" s="63"/>
      <c r="B337" s="64"/>
      <c r="C337" s="59" t="s">
        <v>102</v>
      </c>
      <c r="D337" s="59" t="s">
        <v>2121</v>
      </c>
      <c r="E337" s="65">
        <v>403</v>
      </c>
      <c r="F337" s="67"/>
      <c r="G337" s="65"/>
      <c r="H337" s="67"/>
      <c r="I337" s="67"/>
      <c r="J337" s="67"/>
      <c r="K337" s="68"/>
      <c r="L337" s="67"/>
      <c r="M337" s="68" t="str">
        <f>INDEX(表结构总览!D:G,MATCH(D337,表结构总览!D:D,0),4)</f>
        <v>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v>
      </c>
      <c r="N337" s="68" t="s">
        <v>1583</v>
      </c>
      <c r="O337" s="68" t="s">
        <v>484</v>
      </c>
      <c r="P337" s="68"/>
    </row>
    <row r="338" ht="39.95" hidden="1" customHeight="1" outlineLevel="1" spans="1:16">
      <c r="A338" s="63"/>
      <c r="B338" s="64"/>
      <c r="C338" s="59" t="s">
        <v>102</v>
      </c>
      <c r="D338" s="59" t="s">
        <v>2121</v>
      </c>
      <c r="E338" s="65">
        <v>403</v>
      </c>
      <c r="F338" s="67" t="s">
        <v>373</v>
      </c>
      <c r="G338" s="65">
        <v>40301</v>
      </c>
      <c r="H338" s="67" t="s">
        <v>1588</v>
      </c>
      <c r="I338" s="67" t="s">
        <v>373</v>
      </c>
      <c r="J338" s="67" t="str">
        <f>INDEX(数据元说明!A:F,MATCH(I338,数据元说明!C:C,0),2)</f>
        <v>001011</v>
      </c>
      <c r="K338" s="68" t="str">
        <f>INDEX(数据元说明!A:F,MATCH(I338,数据元说明!C:C,0),5)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38" s="67" t="str">
        <f>INDEX(数据元说明!A:F,MATCH(I338,数据元说明!C:C,0),6)</f>
        <v>C..30</v>
      </c>
      <c r="M338" s="68" t="s">
        <v>2122</v>
      </c>
      <c r="N338" s="68" t="s">
        <v>1583</v>
      </c>
      <c r="O338" s="68" t="s">
        <v>484</v>
      </c>
      <c r="P338" s="68"/>
    </row>
    <row r="339" ht="39.95" hidden="1" customHeight="1" outlineLevel="1" spans="1:16">
      <c r="A339" s="63"/>
      <c r="B339" s="64"/>
      <c r="C339" s="59" t="s">
        <v>102</v>
      </c>
      <c r="D339" s="59" t="s">
        <v>2121</v>
      </c>
      <c r="E339" s="65">
        <v>403</v>
      </c>
      <c r="F339" s="67" t="s">
        <v>377</v>
      </c>
      <c r="G339" s="65">
        <v>40302</v>
      </c>
      <c r="H339" s="67" t="s">
        <v>1586</v>
      </c>
      <c r="I339" s="67" t="s">
        <v>377</v>
      </c>
      <c r="J339" s="67" t="str">
        <f>INDEX(数据元说明!A:F,MATCH(I339,数据元说明!C:C,0),2)</f>
        <v>001012</v>
      </c>
      <c r="K339" s="68" t="str">
        <f>INDEX(数据元说明!A:F,MATCH(I339,数据元说明!C:C,0),5)</f>
        <v>银行内部机构号。应具有标识机构的唯一性。</v>
      </c>
      <c r="L339" s="67" t="str">
        <f>INDEX(数据元说明!A:F,MATCH(I339,数据元说明!C:C,0),6)</f>
        <v>C..30</v>
      </c>
      <c r="M339" s="68" t="s">
        <v>2123</v>
      </c>
      <c r="N339" s="68"/>
      <c r="O339" s="68"/>
      <c r="P339" s="68"/>
    </row>
    <row r="340" ht="39.95" hidden="1" customHeight="1" outlineLevel="1" spans="1:16">
      <c r="A340" s="63"/>
      <c r="B340" s="64"/>
      <c r="C340" s="59" t="s">
        <v>102</v>
      </c>
      <c r="D340" s="59" t="s">
        <v>2121</v>
      </c>
      <c r="E340" s="65">
        <v>403</v>
      </c>
      <c r="F340" s="67" t="s">
        <v>1592</v>
      </c>
      <c r="G340" s="65">
        <v>40303</v>
      </c>
      <c r="H340" s="67" t="s">
        <v>1593</v>
      </c>
      <c r="I340" s="67" t="s">
        <v>325</v>
      </c>
      <c r="J340" s="67" t="str">
        <f>INDEX(数据元说明!A:F,MATCH(I340,数据元说明!C:C,0),2)</f>
        <v>001001</v>
      </c>
      <c r="K340" s="68" t="str">
        <f>INDEX(数据元说明!A:F,MATCH(I340,数据元说明!C:C,0),5)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340" s="67" t="str">
        <f>INDEX(数据元说明!A:F,MATCH(I340,数据元说明!C:C,0),6)</f>
        <v>C..450</v>
      </c>
      <c r="M340" s="68" t="s">
        <v>2124</v>
      </c>
      <c r="N340" s="68" t="s">
        <v>1583</v>
      </c>
      <c r="O340" s="68" t="s">
        <v>322</v>
      </c>
      <c r="P340" s="68" t="s">
        <v>1634</v>
      </c>
    </row>
    <row r="341" ht="39.95" hidden="1" customHeight="1" outlineLevel="1" spans="1:16">
      <c r="A341" s="63"/>
      <c r="B341" s="64"/>
      <c r="C341" s="59" t="s">
        <v>102</v>
      </c>
      <c r="D341" s="59" t="s">
        <v>2121</v>
      </c>
      <c r="E341" s="65">
        <v>403</v>
      </c>
      <c r="F341" s="67" t="s">
        <v>2125</v>
      </c>
      <c r="G341" s="65">
        <v>40304</v>
      </c>
      <c r="H341" s="67" t="s">
        <v>2126</v>
      </c>
      <c r="I341" s="67" t="s">
        <v>609</v>
      </c>
      <c r="J341" s="67" t="str">
        <f>INDEX(数据元说明!A:F,MATCH(I341,数据元说明!C:C,0),2)</f>
        <v>003002</v>
      </c>
      <c r="K341" s="68" t="str">
        <f>INDEX(数据元说明!A:F,MATCH(I341,数据元说明!C:C,0),5)</f>
        <v>机构实际使用的总账会计科目编码。</v>
      </c>
      <c r="L341" s="67" t="str">
        <f>INDEX(数据元说明!A:F,MATCH(I341,数据元说明!C:C,0),6)</f>
        <v>C..60</v>
      </c>
      <c r="M341" s="68" t="s">
        <v>2127</v>
      </c>
      <c r="N341" s="68" t="s">
        <v>1583</v>
      </c>
      <c r="O341" s="68" t="s">
        <v>1577</v>
      </c>
      <c r="P341" s="68"/>
    </row>
    <row r="342" ht="39.95" hidden="1" customHeight="1" outlineLevel="1" spans="1:16">
      <c r="A342" s="63"/>
      <c r="B342" s="64"/>
      <c r="C342" s="59" t="s">
        <v>102</v>
      </c>
      <c r="D342" s="59" t="s">
        <v>2121</v>
      </c>
      <c r="E342" s="65">
        <v>403</v>
      </c>
      <c r="F342" s="67" t="s">
        <v>2128</v>
      </c>
      <c r="G342" s="65">
        <v>40305</v>
      </c>
      <c r="H342" s="67" t="s">
        <v>2129</v>
      </c>
      <c r="I342" s="67" t="s">
        <v>613</v>
      </c>
      <c r="J342" s="67" t="str">
        <f>INDEX(数据元说明!A:F,MATCH(I342,数据元说明!C:C,0),2)</f>
        <v>003003</v>
      </c>
      <c r="K342" s="68" t="str">
        <f>INDEX(数据元说明!A:F,MATCH(I342,数据元说明!C:C,0),5)</f>
        <v>机构实际使用的总账会计科目编码对应的名称。</v>
      </c>
      <c r="L342" s="67" t="str">
        <f>INDEX(数据元说明!A:F,MATCH(I342,数据元说明!C:C,0),6)</f>
        <v>C..300</v>
      </c>
      <c r="M342" s="68" t="s">
        <v>2127</v>
      </c>
      <c r="N342" s="68" t="s">
        <v>1583</v>
      </c>
      <c r="O342" s="68" t="s">
        <v>484</v>
      </c>
      <c r="P342" s="68"/>
    </row>
    <row r="343" ht="39.95" hidden="1" customHeight="1" outlineLevel="1" spans="1:16">
      <c r="A343" s="63"/>
      <c r="B343" s="64"/>
      <c r="C343" s="59" t="s">
        <v>102</v>
      </c>
      <c r="D343" s="59" t="s">
        <v>2121</v>
      </c>
      <c r="E343" s="65">
        <v>403</v>
      </c>
      <c r="F343" s="67" t="s">
        <v>488</v>
      </c>
      <c r="G343" s="65">
        <v>40306</v>
      </c>
      <c r="H343" s="67" t="s">
        <v>1699</v>
      </c>
      <c r="I343" s="67" t="s">
        <v>488</v>
      </c>
      <c r="J343" s="67" t="str">
        <f>INDEX(数据元说明!A:F,MATCH(I343,数据元说明!C:C,0),2)</f>
        <v>002001</v>
      </c>
      <c r="K343" s="68" t="str">
        <f>INDEX(数据元说明!A:F,MATCH(I343,数据元说明!C:C,0),5)</f>
        <v>银行自定义的唯一识别客户的标识。供应链融资的填写供应链融资编码。</v>
      </c>
      <c r="L343" s="67" t="str">
        <f>INDEX(数据元说明!A:F,MATCH(I343,数据元说明!C:C,0),6)</f>
        <v>C..60</v>
      </c>
      <c r="M343" s="68" t="s">
        <v>2130</v>
      </c>
      <c r="N343" s="68" t="s">
        <v>1583</v>
      </c>
      <c r="O343" s="68"/>
      <c r="P343" s="68" t="s">
        <v>1634</v>
      </c>
    </row>
    <row r="344" ht="39.95" hidden="1" customHeight="1" outlineLevel="1" spans="1:16">
      <c r="A344" s="63"/>
      <c r="B344" s="64"/>
      <c r="C344" s="59" t="s">
        <v>102</v>
      </c>
      <c r="D344" s="59" t="s">
        <v>2121</v>
      </c>
      <c r="E344" s="65">
        <v>403</v>
      </c>
      <c r="F344" s="67" t="s">
        <v>646</v>
      </c>
      <c r="G344" s="65">
        <v>40307</v>
      </c>
      <c r="H344" s="67" t="s">
        <v>2131</v>
      </c>
      <c r="I344" s="67" t="s">
        <v>646</v>
      </c>
      <c r="J344" s="67" t="str">
        <f>INDEX(数据元说明!A:F,MATCH(I344,数据元说明!C:C,0),2)</f>
        <v>003011</v>
      </c>
      <c r="K344" s="68" t="str">
        <f>INDEX(数据元说明!A:F,MATCH(I344,数据元说明!C:C,0),5)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344" s="67" t="str">
        <f>INDEX(数据元说明!A:F,MATCH(I344,数据元说明!C:C,0),6)</f>
        <v>C..450</v>
      </c>
      <c r="M344" s="68" t="s">
        <v>2132</v>
      </c>
      <c r="N344" s="68" t="s">
        <v>1583</v>
      </c>
      <c r="O344" s="68" t="s">
        <v>484</v>
      </c>
      <c r="P344" s="68"/>
    </row>
    <row r="345" ht="39.95" hidden="1" customHeight="1" outlineLevel="1" spans="1:16">
      <c r="A345" s="63"/>
      <c r="B345" s="64"/>
      <c r="C345" s="59" t="s">
        <v>102</v>
      </c>
      <c r="D345" s="59" t="s">
        <v>2121</v>
      </c>
      <c r="E345" s="65">
        <v>403</v>
      </c>
      <c r="F345" s="67" t="s">
        <v>2133</v>
      </c>
      <c r="G345" s="65">
        <v>40308</v>
      </c>
      <c r="H345" s="67" t="s">
        <v>2134</v>
      </c>
      <c r="I345" s="67" t="s">
        <v>605</v>
      </c>
      <c r="J345" s="67" t="str">
        <f>INDEX(数据元说明!A:F,MATCH(I345,数据元说明!C:C,0),2)</f>
        <v>003001</v>
      </c>
      <c r="K345" s="68" t="str">
        <f>INDEX(数据元说明!A:F,MATCH(I345,数据元说明!C:C,0),5)</f>
        <v>系统内最细一级的账号，无唯一性约束，不需要和序号、子序号等做拼接。</v>
      </c>
      <c r="L345" s="67" t="str">
        <f>INDEX(数据元说明!A:F,MATCH(I345,数据元说明!C:C,0),6)</f>
        <v>C..60</v>
      </c>
      <c r="M345" s="68" t="s">
        <v>1587</v>
      </c>
      <c r="N345" s="68" t="s">
        <v>1583</v>
      </c>
      <c r="O345" s="68" t="s">
        <v>2135</v>
      </c>
      <c r="P345" s="68" t="s">
        <v>1634</v>
      </c>
    </row>
    <row r="346" ht="39.95" hidden="1" customHeight="1" outlineLevel="1" spans="1:16">
      <c r="A346" s="63"/>
      <c r="B346" s="64"/>
      <c r="C346" s="59" t="s">
        <v>102</v>
      </c>
      <c r="D346" s="59" t="s">
        <v>2121</v>
      </c>
      <c r="E346" s="65">
        <v>403</v>
      </c>
      <c r="F346" s="67" t="s">
        <v>650</v>
      </c>
      <c r="G346" s="65">
        <v>40309</v>
      </c>
      <c r="H346" s="67" t="s">
        <v>2136</v>
      </c>
      <c r="I346" s="67" t="s">
        <v>650</v>
      </c>
      <c r="J346" s="67" t="str">
        <f>INDEX(数据元说明!A:F,MATCH(I346,数据元说明!C:C,0),2)</f>
        <v>003012</v>
      </c>
      <c r="K346" s="68" t="str">
        <f>INDEX(数据元说明!A:F,MATCH(I346,数据元说明!C:C,0),5)</f>
        <v>个人活期存款，个人定期存款，定活两便存款，个人通知存款，个人协议存款，个人协定存款，个人保证金存款，个人结构性存款（不含保本理财），个人其他存款。</v>
      </c>
      <c r="L346" s="67" t="str">
        <f>INDEX(数据元说明!A:F,MATCH(I346,数据元说明!C:C,0),6)</f>
        <v>C..60</v>
      </c>
      <c r="M346" s="68" t="s">
        <v>2137</v>
      </c>
      <c r="N346" s="68" t="s">
        <v>1583</v>
      </c>
      <c r="O346" s="68" t="s">
        <v>2135</v>
      </c>
      <c r="P346" s="68" t="s">
        <v>1648</v>
      </c>
    </row>
    <row r="347" ht="39.95" hidden="1" customHeight="1" outlineLevel="1" spans="1:16">
      <c r="A347" s="63"/>
      <c r="B347" s="64"/>
      <c r="C347" s="59" t="s">
        <v>102</v>
      </c>
      <c r="D347" s="59" t="s">
        <v>2121</v>
      </c>
      <c r="E347" s="65">
        <v>403</v>
      </c>
      <c r="F347" s="67" t="s">
        <v>2138</v>
      </c>
      <c r="G347" s="65">
        <v>40310</v>
      </c>
      <c r="H347" s="67" t="s">
        <v>2139</v>
      </c>
      <c r="I347" s="67" t="s">
        <v>330</v>
      </c>
      <c r="J347" s="67" t="str">
        <f>INDEX(数据元说明!A:F,MATCH(I347,数据元说明!C:C,0),2)</f>
        <v>001002</v>
      </c>
      <c r="K347" s="68" t="str">
        <f>INDEX(数据元说明!A:F,MATCH(I347,数据元说明!C:C,0),5)</f>
        <v>是，否。</v>
      </c>
      <c r="L347" s="67" t="str">
        <f>INDEX(数据元说明!A:F,MATCH(I347,数据元说明!C:C,0),6)</f>
        <v>C3</v>
      </c>
      <c r="M347" s="68"/>
      <c r="N347" s="68"/>
      <c r="O347" s="68"/>
      <c r="P347" s="68"/>
    </row>
    <row r="348" ht="39.95" hidden="1" customHeight="1" outlineLevel="1" spans="1:16">
      <c r="A348" s="63"/>
      <c r="B348" s="64"/>
      <c r="C348" s="59" t="s">
        <v>102</v>
      </c>
      <c r="D348" s="59" t="s">
        <v>2121</v>
      </c>
      <c r="E348" s="65">
        <v>403</v>
      </c>
      <c r="F348" s="67" t="s">
        <v>670</v>
      </c>
      <c r="G348" s="65">
        <v>40311</v>
      </c>
      <c r="H348" s="67" t="s">
        <v>2140</v>
      </c>
      <c r="I348" s="67" t="s">
        <v>670</v>
      </c>
      <c r="J348" s="67" t="str">
        <f>INDEX(数据元说明!A:F,MATCH(I348,数据元说明!C:C,0),2)</f>
        <v>003017</v>
      </c>
      <c r="K348" s="68" t="str">
        <f>INDEX(数据元说明!A:F,MATCH(I348,数据元说明!C:C,0),5)</f>
        <v>百分比为单位，即%，如4.5%填报为4.5。</v>
      </c>
      <c r="L348" s="67" t="str">
        <f>INDEX(数据元说明!A:F,MATCH(I348,数据元说明!C:C,0),6)</f>
        <v>D20.4</v>
      </c>
      <c r="M348" s="68"/>
      <c r="N348" s="68"/>
      <c r="O348" s="68"/>
      <c r="P348" s="68"/>
    </row>
    <row r="349" ht="39.95" hidden="1" customHeight="1" outlineLevel="1" spans="1:16">
      <c r="A349" s="63"/>
      <c r="B349" s="64"/>
      <c r="C349" s="59" t="s">
        <v>102</v>
      </c>
      <c r="D349" s="59" t="s">
        <v>2121</v>
      </c>
      <c r="E349" s="65">
        <v>403</v>
      </c>
      <c r="F349" s="67" t="s">
        <v>642</v>
      </c>
      <c r="G349" s="65">
        <v>40312</v>
      </c>
      <c r="H349" s="67" t="s">
        <v>1914</v>
      </c>
      <c r="I349" s="67" t="s">
        <v>642</v>
      </c>
      <c r="J349" s="67" t="str">
        <f>INDEX(数据元说明!A:F,MATCH(I349,数据元说明!C:C,0),2)</f>
        <v>003010</v>
      </c>
      <c r="K349" s="68" t="str">
        <f>INDEX(数据元说明!A:F,MATCH(I349,数据元说明!C:C,0),5)</f>
        <v>遵循《GB/T 12406 表示货币和资金的代码》的字母代码，如CNY。上述文件所列币种无法涵盖的，允许银行自定义填报。多个币种合计折算为人民币（本外币合计）的，填报为BWB。</v>
      </c>
      <c r="L349" s="67" t="str">
        <f>INDEX(数据元说明!A:F,MATCH(I349,数据元说明!C:C,0),6)</f>
        <v>C3</v>
      </c>
      <c r="M349" s="68" t="s">
        <v>1587</v>
      </c>
      <c r="N349" s="68" t="s">
        <v>1583</v>
      </c>
      <c r="O349" s="68"/>
      <c r="P349" s="68" t="s">
        <v>1634</v>
      </c>
    </row>
    <row r="350" ht="39.95" hidden="1" customHeight="1" outlineLevel="1" spans="1:16">
      <c r="A350" s="63"/>
      <c r="B350" s="64"/>
      <c r="C350" s="59" t="s">
        <v>102</v>
      </c>
      <c r="D350" s="59" t="s">
        <v>2121</v>
      </c>
      <c r="E350" s="65">
        <v>403</v>
      </c>
      <c r="F350" s="67" t="s">
        <v>2141</v>
      </c>
      <c r="G350" s="65">
        <v>40313</v>
      </c>
      <c r="H350" s="67" t="s">
        <v>2142</v>
      </c>
      <c r="I350" s="67" t="s">
        <v>638</v>
      </c>
      <c r="J350" s="67" t="str">
        <f>INDEX(数据元说明!A:F,MATCH(I350,数据元说明!C:C,0),2)</f>
        <v>003009</v>
      </c>
      <c r="K350" s="68" t="str">
        <f>INDEX(数据元说明!A:F,MATCH(I350,数据元说明!C:C,0),5)</f>
        <v>与币种相对应金额。(以正数填列。如信贷分户账，某客户初次获得贷款1万元，此时余额为10000；如活期存款明细，某客户初次开户存入10000元，此时余额为10000）</v>
      </c>
      <c r="L350" s="67" t="str">
        <f>INDEX(数据元说明!A:F,MATCH(I350,数据元说明!C:C,0),6)</f>
        <v>D20.2</v>
      </c>
      <c r="M350" s="68" t="s">
        <v>2143</v>
      </c>
      <c r="N350" s="68"/>
      <c r="O350" s="68"/>
      <c r="P350" s="68"/>
    </row>
    <row r="351" ht="39.95" hidden="1" customHeight="1" outlineLevel="1" spans="1:16">
      <c r="A351" s="63"/>
      <c r="B351" s="64"/>
      <c r="C351" s="59" t="s">
        <v>102</v>
      </c>
      <c r="D351" s="59" t="s">
        <v>2121</v>
      </c>
      <c r="E351" s="65">
        <v>403</v>
      </c>
      <c r="F351" s="67" t="s">
        <v>2144</v>
      </c>
      <c r="G351" s="65">
        <v>40314</v>
      </c>
      <c r="H351" s="67" t="s">
        <v>2145</v>
      </c>
      <c r="I351" s="67" t="s">
        <v>345</v>
      </c>
      <c r="J351" s="67" t="str">
        <f>INDEX(数据元说明!A:F,MATCH(I351,数据元说明!C:C,0),2)</f>
        <v>001005</v>
      </c>
      <c r="K351" s="68" t="str">
        <f>INDEX(数据元说明!A:F,MATCH(I351,数据元说明!C:C,0),5)</f>
        <v>YYYYMMDD，默认值99991231。</v>
      </c>
      <c r="L351" s="67" t="str">
        <f>INDEX(数据元说明!A:F,MATCH(I351,数据元说明!C:C,0),6)</f>
        <v>C8</v>
      </c>
      <c r="M351" s="68" t="s">
        <v>2146</v>
      </c>
      <c r="N351" s="68"/>
      <c r="O351" s="68"/>
      <c r="P351" s="68"/>
    </row>
    <row r="352" ht="39.95" hidden="1" customHeight="1" outlineLevel="1" spans="1:16">
      <c r="A352" s="70"/>
      <c r="B352" s="71"/>
      <c r="C352" s="59" t="s">
        <v>102</v>
      </c>
      <c r="D352" s="59" t="s">
        <v>2121</v>
      </c>
      <c r="E352" s="65">
        <v>403</v>
      </c>
      <c r="F352" s="67" t="s">
        <v>2147</v>
      </c>
      <c r="G352" s="65">
        <v>40315</v>
      </c>
      <c r="H352" s="67" t="s">
        <v>2148</v>
      </c>
      <c r="I352" s="67" t="s">
        <v>409</v>
      </c>
      <c r="J352" s="67" t="str">
        <f>INDEX(数据元说明!A:F,MATCH(I352,数据元说明!C:C,0),2)</f>
        <v>001020</v>
      </c>
      <c r="K352" s="68" t="str">
        <f>INDEX(数据元说明!A:F,MATCH(I352,数据元说明!C:C,0),5)</f>
        <v>柜员编号，银行自定义。</v>
      </c>
      <c r="L352" s="67" t="str">
        <f>INDEX(数据元说明!A:F,MATCH(I352,数据元说明!C:C,0),6)</f>
        <v>C..30</v>
      </c>
      <c r="M352" s="69" t="s">
        <v>2014</v>
      </c>
      <c r="N352" s="68"/>
      <c r="O352" s="68"/>
      <c r="P352" s="68"/>
    </row>
    <row r="353" ht="39.95" hidden="1" customHeight="1" outlineLevel="1" spans="1:16">
      <c r="A353" s="70"/>
      <c r="B353" s="71"/>
      <c r="C353" s="59" t="s">
        <v>102</v>
      </c>
      <c r="D353" s="59" t="s">
        <v>2121</v>
      </c>
      <c r="E353" s="65">
        <v>403</v>
      </c>
      <c r="F353" s="67" t="s">
        <v>2149</v>
      </c>
      <c r="G353" s="65">
        <v>40316</v>
      </c>
      <c r="H353" s="67" t="s">
        <v>2150</v>
      </c>
      <c r="I353" s="67" t="s">
        <v>345</v>
      </c>
      <c r="J353" s="67" t="str">
        <f>INDEX(数据元说明!A:F,MATCH(I353,数据元说明!C:C,0),2)</f>
        <v>001005</v>
      </c>
      <c r="K353" s="68" t="str">
        <f>INDEX(数据元说明!A:F,MATCH(I353,数据元说明!C:C,0),5)</f>
        <v>YYYYMMDD，默认值99991231。</v>
      </c>
      <c r="L353" s="67" t="str">
        <f>INDEX(数据元说明!A:F,MATCH(I353,数据元说明!C:C,0),6)</f>
        <v>C8</v>
      </c>
      <c r="M353" s="68"/>
      <c r="N353" s="68"/>
      <c r="O353" s="68"/>
      <c r="P353" s="68"/>
    </row>
    <row r="354" ht="39.95" hidden="1" customHeight="1" outlineLevel="1" spans="1:16">
      <c r="A354" s="70"/>
      <c r="B354" s="71"/>
      <c r="C354" s="59" t="s">
        <v>102</v>
      </c>
      <c r="D354" s="59" t="s">
        <v>2121</v>
      </c>
      <c r="E354" s="65">
        <v>403</v>
      </c>
      <c r="F354" s="67" t="s">
        <v>2151</v>
      </c>
      <c r="G354" s="65">
        <v>40317</v>
      </c>
      <c r="H354" s="67" t="s">
        <v>2152</v>
      </c>
      <c r="I354" s="67" t="s">
        <v>345</v>
      </c>
      <c r="J354" s="67" t="str">
        <f>INDEX(数据元说明!A:F,MATCH(I354,数据元说明!C:C,0),2)</f>
        <v>001005</v>
      </c>
      <c r="K354" s="68" t="str">
        <f>INDEX(数据元说明!A:F,MATCH(I354,数据元说明!C:C,0),5)</f>
        <v>YYYYMMDD，默认值99991231。</v>
      </c>
      <c r="L354" s="67" t="str">
        <f>INDEX(数据元说明!A:F,MATCH(I354,数据元说明!C:C,0),6)</f>
        <v>C8</v>
      </c>
      <c r="M354" s="68" t="s">
        <v>2153</v>
      </c>
      <c r="N354" s="68" t="s">
        <v>1583</v>
      </c>
      <c r="O354" s="68"/>
      <c r="P354" s="68" t="s">
        <v>1648</v>
      </c>
    </row>
    <row r="355" ht="39.95" hidden="1" customHeight="1" outlineLevel="1" spans="1:16">
      <c r="A355" s="70"/>
      <c r="B355" s="71"/>
      <c r="C355" s="59" t="s">
        <v>102</v>
      </c>
      <c r="D355" s="59" t="s">
        <v>2121</v>
      </c>
      <c r="E355" s="65">
        <v>403</v>
      </c>
      <c r="F355" s="67" t="s">
        <v>658</v>
      </c>
      <c r="G355" s="65">
        <v>40318</v>
      </c>
      <c r="H355" s="67" t="s">
        <v>2154</v>
      </c>
      <c r="I355" s="67" t="s">
        <v>658</v>
      </c>
      <c r="J355" s="67" t="str">
        <f>INDEX(数据元说明!A:F,MATCH(I355,数据元说明!C:C,0),2)</f>
        <v>003014</v>
      </c>
      <c r="K355" s="68" t="str">
        <f>INDEX(数据元说明!A:F,MATCH(I355,数据元说明!C:C,0),5)</f>
        <v>人民币，钞，汇，可钞可汇等。其中，人民币账户填写“人民币”，外币账户填写枚举值范围为“钞，汇，可钞可汇，其他-银行自定义。无法以枚举类型填报的，以“其他-XX”填报，其中“XX”为银行自定义类型。”</v>
      </c>
      <c r="L355" s="67" t="str">
        <f>INDEX(数据元说明!A:F,MATCH(I355,数据元说明!C:C,0),6)</f>
        <v>C..12</v>
      </c>
      <c r="M355" s="68" t="s">
        <v>1587</v>
      </c>
      <c r="N355" s="68"/>
      <c r="O355" s="68"/>
      <c r="P355" s="68"/>
    </row>
    <row r="356" ht="39.95" hidden="1" customHeight="1" outlineLevel="1" spans="1:16">
      <c r="A356" s="70"/>
      <c r="B356" s="71"/>
      <c r="C356" s="59" t="s">
        <v>102</v>
      </c>
      <c r="D356" s="59" t="s">
        <v>2121</v>
      </c>
      <c r="E356" s="65">
        <v>403</v>
      </c>
      <c r="F356" s="67" t="s">
        <v>654</v>
      </c>
      <c r="G356" s="65">
        <v>40319</v>
      </c>
      <c r="H356" s="67" t="s">
        <v>2155</v>
      </c>
      <c r="I356" s="67" t="s">
        <v>654</v>
      </c>
      <c r="J356" s="67" t="str">
        <f>INDEX(数据元说明!A:F,MATCH(I356,数据元说明!C:C,0),2)</f>
        <v>003013</v>
      </c>
      <c r="K356" s="68" t="str">
        <f>INDEX(数据元说明!A:F,MATCH(I356,数据元说明!C:C,0),5)</f>
        <v>正常，预销户，销户，冻结，止付，其他-银行自定义。无法以枚举类型填报的，以“其他-XX”填报，其中“XX”为银行自定义类型。</v>
      </c>
      <c r="L356" s="67" t="str">
        <f>INDEX(数据元说明!A:F,MATCH(I356,数据元说明!C:C,0),6)</f>
        <v>C..30</v>
      </c>
      <c r="M356" s="68"/>
      <c r="N356" s="68" t="s">
        <v>1583</v>
      </c>
      <c r="O356" s="68" t="s">
        <v>321</v>
      </c>
      <c r="P356" s="68" t="s">
        <v>1648</v>
      </c>
    </row>
    <row r="357" ht="39.95" hidden="1" customHeight="1" outlineLevel="1" spans="1:16">
      <c r="A357" s="63"/>
      <c r="B357" s="64"/>
      <c r="C357" s="59" t="s">
        <v>102</v>
      </c>
      <c r="D357" s="59" t="s">
        <v>2121</v>
      </c>
      <c r="E357" s="65">
        <v>403</v>
      </c>
      <c r="F357" s="67" t="s">
        <v>484</v>
      </c>
      <c r="G357" s="65">
        <v>40320</v>
      </c>
      <c r="H357" s="67" t="s">
        <v>1623</v>
      </c>
      <c r="I357" s="67" t="s">
        <v>484</v>
      </c>
      <c r="J357" s="67" t="str">
        <f>INDEX(数据元说明!A:F,MATCH(I357,数据元说明!C:C,0),2)</f>
        <v>001038</v>
      </c>
      <c r="K357" s="68" t="str">
        <f>INDEX(数据元说明!A:F,MATCH(I357,数据元说明!C:C,0),5)</f>
        <v>银行自定义。</v>
      </c>
      <c r="L357" s="67" t="str">
        <f>INDEX(数据元说明!A:F,MATCH(I357,数据元说明!C:C,0),6)</f>
        <v>C..600</v>
      </c>
      <c r="M357" s="68" t="s">
        <v>1624</v>
      </c>
      <c r="N357" s="68" t="s">
        <v>1601</v>
      </c>
      <c r="O357" s="68"/>
      <c r="P357" s="68"/>
    </row>
    <row r="358" ht="39.95" hidden="1" customHeight="1" outlineLevel="1" spans="1:16">
      <c r="A358" s="63"/>
      <c r="B358" s="64"/>
      <c r="C358" s="59" t="s">
        <v>102</v>
      </c>
      <c r="D358" s="59" t="s">
        <v>2121</v>
      </c>
      <c r="E358" s="65">
        <v>403</v>
      </c>
      <c r="F358" s="67" t="s">
        <v>1625</v>
      </c>
      <c r="G358" s="65">
        <v>40321</v>
      </c>
      <c r="H358" s="67" t="s">
        <v>1626</v>
      </c>
      <c r="I358" s="67" t="s">
        <v>345</v>
      </c>
      <c r="J358" s="67" t="str">
        <f>INDEX(数据元说明!A:F,MATCH(I358,数据元说明!C:C,0),2)</f>
        <v>001005</v>
      </c>
      <c r="K358" s="68" t="str">
        <f>INDEX(数据元说明!A:F,MATCH(I358,数据元说明!C:C,0),5)</f>
        <v>YYYYMMDD，默认值99991231。</v>
      </c>
      <c r="L358" s="67" t="str">
        <f>INDEX(数据元说明!A:F,MATCH(I358,数据元说明!C:C,0),6)</f>
        <v>C8</v>
      </c>
      <c r="M358" s="68" t="s">
        <v>1627</v>
      </c>
      <c r="N358" s="68"/>
      <c r="O358" s="68"/>
      <c r="P358" s="68"/>
    </row>
    <row r="359" ht="39.95" hidden="1" customHeight="1" collapsed="1" spans="1:16">
      <c r="A359" s="70"/>
      <c r="B359" s="71"/>
      <c r="C359" s="59" t="s">
        <v>106</v>
      </c>
      <c r="D359" s="59" t="s">
        <v>2156</v>
      </c>
      <c r="E359" s="65">
        <v>404</v>
      </c>
      <c r="F359" s="67"/>
      <c r="G359" s="65"/>
      <c r="H359" s="67"/>
      <c r="I359" s="67"/>
      <c r="J359" s="67"/>
      <c r="K359" s="68"/>
      <c r="L359" s="67"/>
      <c r="M359" s="68" t="str">
        <f>INDEX(表结构总览!D:G,MATCH(D359,表结构总览!D:D,0),4)</f>
        <v>除计息、扣利息税外，所有影响个人存款账户余额变动的交易信息，包括结息交易，不包括查询交易。</v>
      </c>
      <c r="N359" s="68" t="s">
        <v>1583</v>
      </c>
      <c r="O359" s="80"/>
      <c r="P359" s="68"/>
    </row>
    <row r="360" ht="39.95" hidden="1" customHeight="1" spans="1:16">
      <c r="A360" s="70"/>
      <c r="B360" s="71"/>
      <c r="C360" s="59" t="s">
        <v>106</v>
      </c>
      <c r="D360" s="59" t="s">
        <v>2156</v>
      </c>
      <c r="E360" s="65">
        <v>404</v>
      </c>
      <c r="F360" s="67" t="s">
        <v>709</v>
      </c>
      <c r="G360" s="65">
        <v>40401</v>
      </c>
      <c r="H360" s="67" t="s">
        <v>2157</v>
      </c>
      <c r="I360" s="67" t="s">
        <v>709</v>
      </c>
      <c r="J360" s="67" t="str">
        <f>INDEX(数据元说明!A:F,MATCH(I360,数据元说明!C:C,0),2)</f>
        <v>004001</v>
      </c>
      <c r="K360" s="68" t="str">
        <f>INDEX(数据元说明!A:F,MATCH(I360,数据元说明!C:C,0),5)</f>
        <v>唯一标识该笔交易的编号，银行自定义。可以是业务编号，也可以是交易系统中使用的时间戳，需能够体现交易次序，如：时间戳(纳秒)：1530027865231834600。</v>
      </c>
      <c r="L360" s="67" t="str">
        <f>INDEX(数据元说明!A:F,MATCH(I360,数据元说明!C:C,0),6)</f>
        <v>C..100</v>
      </c>
      <c r="M360" s="68" t="s">
        <v>1679</v>
      </c>
      <c r="N360" s="68" t="s">
        <v>1601</v>
      </c>
      <c r="O360" s="80"/>
      <c r="P360" s="68"/>
    </row>
    <row r="361" ht="39.95" hidden="1" customHeight="1" outlineLevel="1" spans="1:16">
      <c r="A361" s="63"/>
      <c r="B361" s="64"/>
      <c r="C361" s="59" t="s">
        <v>106</v>
      </c>
      <c r="D361" s="59" t="s">
        <v>2156</v>
      </c>
      <c r="E361" s="65">
        <v>404</v>
      </c>
      <c r="F361" s="67" t="s">
        <v>373</v>
      </c>
      <c r="G361" s="65">
        <v>40402</v>
      </c>
      <c r="H361" s="67" t="s">
        <v>1588</v>
      </c>
      <c r="I361" s="67" t="s">
        <v>373</v>
      </c>
      <c r="J361" s="67" t="str">
        <f>INDEX(数据元说明!A:F,MATCH(I361,数据元说明!C:C,0),2)</f>
        <v>001011</v>
      </c>
      <c r="K361" s="68" t="str">
        <f>INDEX(数据元说明!A:F,MATCH(I361,数据元说明!C:C,0),5)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61" s="67" t="str">
        <f>INDEX(数据元说明!A:F,MATCH(I361,数据元说明!C:C,0),6)</f>
        <v>C..30</v>
      </c>
      <c r="M361" s="68" t="s">
        <v>2122</v>
      </c>
      <c r="N361" s="68" t="s">
        <v>1583</v>
      </c>
      <c r="O361" s="68" t="s">
        <v>484</v>
      </c>
      <c r="P361" s="68"/>
    </row>
    <row r="362" ht="39.95" hidden="1" customHeight="1" outlineLevel="1" spans="1:16">
      <c r="A362" s="70"/>
      <c r="B362" s="71"/>
      <c r="C362" s="59" t="s">
        <v>106</v>
      </c>
      <c r="D362" s="59" t="s">
        <v>2156</v>
      </c>
      <c r="E362" s="65">
        <v>404</v>
      </c>
      <c r="F362" s="67" t="s">
        <v>377</v>
      </c>
      <c r="G362" s="65">
        <v>40403</v>
      </c>
      <c r="H362" s="67" t="s">
        <v>1586</v>
      </c>
      <c r="I362" s="67" t="s">
        <v>377</v>
      </c>
      <c r="J362" s="67" t="str">
        <f>INDEX(数据元说明!A:F,MATCH(I362,数据元说明!C:C,0),2)</f>
        <v>001012</v>
      </c>
      <c r="K362" s="68" t="str">
        <f>INDEX(数据元说明!A:F,MATCH(I362,数据元说明!C:C,0),5)</f>
        <v>银行内部机构号。应具有标识机构的唯一性。</v>
      </c>
      <c r="L362" s="67" t="str">
        <f>INDEX(数据元说明!A:F,MATCH(I362,数据元说明!C:C,0),6)</f>
        <v>C..30</v>
      </c>
      <c r="M362" s="68" t="s">
        <v>2123</v>
      </c>
      <c r="N362" s="68"/>
      <c r="O362" s="68"/>
      <c r="P362" s="68"/>
    </row>
    <row r="363" ht="39.95" hidden="1" customHeight="1" outlineLevel="1" spans="1:16">
      <c r="A363" s="70"/>
      <c r="B363" s="71"/>
      <c r="C363" s="59" t="s">
        <v>106</v>
      </c>
      <c r="D363" s="59" t="s">
        <v>2156</v>
      </c>
      <c r="E363" s="65">
        <v>404</v>
      </c>
      <c r="F363" s="67" t="s">
        <v>2158</v>
      </c>
      <c r="G363" s="65">
        <v>40404</v>
      </c>
      <c r="H363" s="67" t="s">
        <v>2159</v>
      </c>
      <c r="I363" s="67" t="s">
        <v>377</v>
      </c>
      <c r="J363" s="67" t="str">
        <f>INDEX(数据元说明!A:F,MATCH(I363,数据元说明!C:C,0),2)</f>
        <v>001012</v>
      </c>
      <c r="K363" s="68" t="str">
        <f>INDEX(数据元说明!A:F,MATCH(I363,数据元说明!C:C,0),5)</f>
        <v>银行内部机构号。应具有标识机构的唯一性。</v>
      </c>
      <c r="L363" s="67" t="str">
        <f>INDEX(数据元说明!A:F,MATCH(I363,数据元说明!C:C,0),6)</f>
        <v>C..30</v>
      </c>
      <c r="M363" s="68" t="s">
        <v>2160</v>
      </c>
      <c r="N363" s="68"/>
      <c r="O363" s="68"/>
      <c r="P363" s="68"/>
    </row>
    <row r="364" ht="39.95" hidden="1" customHeight="1" outlineLevel="1" spans="1:16">
      <c r="A364" s="70"/>
      <c r="B364" s="71"/>
      <c r="C364" s="59" t="s">
        <v>106</v>
      </c>
      <c r="D364" s="59" t="s">
        <v>2156</v>
      </c>
      <c r="E364" s="65">
        <v>404</v>
      </c>
      <c r="F364" s="67" t="s">
        <v>1592</v>
      </c>
      <c r="G364" s="65">
        <v>40405</v>
      </c>
      <c r="H364" s="67" t="s">
        <v>1593</v>
      </c>
      <c r="I364" s="67" t="s">
        <v>325</v>
      </c>
      <c r="J364" s="67" t="str">
        <f>INDEX(数据元说明!A:F,MATCH(I364,数据元说明!C:C,0),2)</f>
        <v>001001</v>
      </c>
      <c r="K364" s="68" t="str">
        <f>INDEX(数据元说明!A:F,MATCH(I364,数据元说明!C:C,0),5)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364" s="67" t="str">
        <f>INDEX(数据元说明!A:F,MATCH(I364,数据元说明!C:C,0),6)</f>
        <v>C..450</v>
      </c>
      <c r="M364" s="68" t="s">
        <v>2124</v>
      </c>
      <c r="N364" s="68" t="s">
        <v>1583</v>
      </c>
      <c r="O364" s="68" t="s">
        <v>322</v>
      </c>
      <c r="P364" s="68" t="s">
        <v>1634</v>
      </c>
    </row>
    <row r="365" ht="39.95" hidden="1" customHeight="1" outlineLevel="1" spans="1:16">
      <c r="A365" s="70"/>
      <c r="B365" s="71"/>
      <c r="C365" s="59" t="s">
        <v>106</v>
      </c>
      <c r="D365" s="59" t="s">
        <v>2156</v>
      </c>
      <c r="E365" s="65">
        <v>404</v>
      </c>
      <c r="F365" s="67" t="s">
        <v>2125</v>
      </c>
      <c r="G365" s="65">
        <v>40406</v>
      </c>
      <c r="H365" s="67" t="s">
        <v>2126</v>
      </c>
      <c r="I365" s="67" t="s">
        <v>609</v>
      </c>
      <c r="J365" s="67" t="str">
        <f>INDEX(数据元说明!A:F,MATCH(I365,数据元说明!C:C,0),2)</f>
        <v>003002</v>
      </c>
      <c r="K365" s="68" t="str">
        <f>INDEX(数据元说明!A:F,MATCH(I365,数据元说明!C:C,0),5)</f>
        <v>机构实际使用的总账会计科目编码。</v>
      </c>
      <c r="L365" s="67" t="str">
        <f>INDEX(数据元说明!A:F,MATCH(I365,数据元说明!C:C,0),6)</f>
        <v>C..60</v>
      </c>
      <c r="M365" s="68" t="s">
        <v>2127</v>
      </c>
      <c r="N365" s="68" t="s">
        <v>1583</v>
      </c>
      <c r="O365" s="68" t="s">
        <v>1577</v>
      </c>
      <c r="P365" s="68"/>
    </row>
    <row r="366" ht="39.95" hidden="1" customHeight="1" outlineLevel="1" spans="1:16">
      <c r="A366" s="70"/>
      <c r="B366" s="71"/>
      <c r="C366" s="59" t="s">
        <v>106</v>
      </c>
      <c r="D366" s="59" t="s">
        <v>2156</v>
      </c>
      <c r="E366" s="65">
        <v>404</v>
      </c>
      <c r="F366" s="67" t="s">
        <v>2128</v>
      </c>
      <c r="G366" s="65">
        <v>40407</v>
      </c>
      <c r="H366" s="67" t="s">
        <v>2129</v>
      </c>
      <c r="I366" s="67" t="s">
        <v>613</v>
      </c>
      <c r="J366" s="67" t="str">
        <f>INDEX(数据元说明!A:F,MATCH(I366,数据元说明!C:C,0),2)</f>
        <v>003003</v>
      </c>
      <c r="K366" s="68" t="str">
        <f>INDEX(数据元说明!A:F,MATCH(I366,数据元说明!C:C,0),5)</f>
        <v>机构实际使用的总账会计科目编码对应的名称。</v>
      </c>
      <c r="L366" s="67" t="str">
        <f>INDEX(数据元说明!A:F,MATCH(I366,数据元说明!C:C,0),6)</f>
        <v>C..300</v>
      </c>
      <c r="M366" s="68" t="s">
        <v>2127</v>
      </c>
      <c r="N366" s="68" t="s">
        <v>1583</v>
      </c>
      <c r="O366" s="68" t="s">
        <v>484</v>
      </c>
      <c r="P366" s="68"/>
    </row>
    <row r="367" ht="39.95" hidden="1" customHeight="1" outlineLevel="1" spans="1:16">
      <c r="A367" s="70"/>
      <c r="B367" s="71"/>
      <c r="C367" s="59" t="s">
        <v>106</v>
      </c>
      <c r="D367" s="59" t="s">
        <v>2156</v>
      </c>
      <c r="E367" s="65">
        <v>404</v>
      </c>
      <c r="F367" s="67" t="s">
        <v>488</v>
      </c>
      <c r="G367" s="65">
        <v>40408</v>
      </c>
      <c r="H367" s="67" t="s">
        <v>1699</v>
      </c>
      <c r="I367" s="67" t="s">
        <v>488</v>
      </c>
      <c r="J367" s="67" t="str">
        <f>INDEX(数据元说明!A:F,MATCH(I367,数据元说明!C:C,0),2)</f>
        <v>002001</v>
      </c>
      <c r="K367" s="68" t="str">
        <f>INDEX(数据元说明!A:F,MATCH(I367,数据元说明!C:C,0),5)</f>
        <v>银行自定义的唯一识别客户的标识。供应链融资的填写供应链融资编码。</v>
      </c>
      <c r="L367" s="67" t="str">
        <f>INDEX(数据元说明!A:F,MATCH(I367,数据元说明!C:C,0),6)</f>
        <v>C..60</v>
      </c>
      <c r="M367" s="68" t="s">
        <v>2130</v>
      </c>
      <c r="N367" s="68" t="s">
        <v>1583</v>
      </c>
      <c r="O367" s="68"/>
      <c r="P367" s="68" t="s">
        <v>1634</v>
      </c>
    </row>
    <row r="368" ht="39.95" hidden="1" customHeight="1" outlineLevel="1" spans="1:16">
      <c r="A368" s="70"/>
      <c r="B368" s="71"/>
      <c r="C368" s="59" t="s">
        <v>106</v>
      </c>
      <c r="D368" s="59" t="s">
        <v>2156</v>
      </c>
      <c r="E368" s="65">
        <v>404</v>
      </c>
      <c r="F368" s="67" t="s">
        <v>646</v>
      </c>
      <c r="G368" s="65">
        <v>40409</v>
      </c>
      <c r="H368" s="67" t="s">
        <v>2131</v>
      </c>
      <c r="I368" s="67" t="s">
        <v>646</v>
      </c>
      <c r="J368" s="67" t="str">
        <f>INDEX(数据元说明!A:F,MATCH(I368,数据元说明!C:C,0),2)</f>
        <v>003011</v>
      </c>
      <c r="K368" s="68" t="str">
        <f>INDEX(数据元说明!A:F,MATCH(I368,数据元说明!C:C,0),5)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368" s="67" t="str">
        <f>INDEX(数据元说明!A:F,MATCH(I368,数据元说明!C:C,0),6)</f>
        <v>C..450</v>
      </c>
      <c r="M368" s="69" t="s">
        <v>2132</v>
      </c>
      <c r="N368" s="68" t="s">
        <v>1583</v>
      </c>
      <c r="O368" s="68" t="s">
        <v>484</v>
      </c>
      <c r="P368" s="68" t="s">
        <v>1634</v>
      </c>
    </row>
    <row r="369" ht="39.95" hidden="1" customHeight="1" outlineLevel="1" spans="1:16">
      <c r="A369" s="63"/>
      <c r="B369" s="64"/>
      <c r="C369" s="59" t="s">
        <v>106</v>
      </c>
      <c r="D369" s="59" t="s">
        <v>2156</v>
      </c>
      <c r="E369" s="65">
        <v>404</v>
      </c>
      <c r="F369" s="67" t="s">
        <v>492</v>
      </c>
      <c r="G369" s="65">
        <v>40410</v>
      </c>
      <c r="H369" s="67" t="s">
        <v>1639</v>
      </c>
      <c r="I369" s="67" t="s">
        <v>492</v>
      </c>
      <c r="J369" s="67" t="str">
        <f>INDEX(数据元说明!A:F,MATCH(I369,数据元说明!C:C,0),2)</f>
        <v>002002</v>
      </c>
      <c r="K369" s="68" t="str">
        <f>INDEX(数据元说明!A:F,MATCH(I369,数据元说明!C:C,0),5)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369" s="67" t="str">
        <f>INDEX(数据元说明!A:F,MATCH(I369,数据元说明!C:C,0),6)</f>
        <v>C..60</v>
      </c>
      <c r="M369" s="68"/>
      <c r="N369" s="68" t="s">
        <v>1601</v>
      </c>
      <c r="O369" s="68"/>
      <c r="P369" s="69"/>
    </row>
    <row r="370" ht="39.95" hidden="1" customHeight="1" outlineLevel="1" spans="1:16">
      <c r="A370" s="63"/>
      <c r="B370" s="64"/>
      <c r="C370" s="59" t="s">
        <v>106</v>
      </c>
      <c r="D370" s="59" t="s">
        <v>2156</v>
      </c>
      <c r="E370" s="65">
        <v>404</v>
      </c>
      <c r="F370" s="67" t="s">
        <v>496</v>
      </c>
      <c r="G370" s="65">
        <v>40411</v>
      </c>
      <c r="H370" s="67" t="s">
        <v>1640</v>
      </c>
      <c r="I370" s="67" t="s">
        <v>496</v>
      </c>
      <c r="J370" s="67" t="str">
        <f>INDEX(数据元说明!A:F,MATCH(I370,数据元说明!C:C,0),2)</f>
        <v>002003</v>
      </c>
      <c r="K370" s="68" t="str">
        <f>INDEX(数据元说明!A:F,MATCH(I370,数据元说明!C:C,0),5)</f>
        <v>与证件类别对应的证件号码。涉及个人身份证件时需按照本规范给定规则进行脱敏处理。</v>
      </c>
      <c r="L370" s="67" t="str">
        <f>INDEX(数据元说明!A:F,MATCH(I370,数据元说明!C:C,0),6)</f>
        <v>C..70</v>
      </c>
      <c r="M370" s="68" t="s">
        <v>2161</v>
      </c>
      <c r="N370" s="68" t="s">
        <v>1601</v>
      </c>
      <c r="O370" s="68"/>
      <c r="P370" s="69"/>
    </row>
    <row r="371" ht="39.95" hidden="1" customHeight="1" outlineLevel="1" spans="1:16">
      <c r="A371" s="70"/>
      <c r="B371" s="71"/>
      <c r="C371" s="59" t="s">
        <v>106</v>
      </c>
      <c r="D371" s="59" t="s">
        <v>2156</v>
      </c>
      <c r="E371" s="65">
        <v>404</v>
      </c>
      <c r="F371" s="67" t="s">
        <v>2133</v>
      </c>
      <c r="G371" s="65">
        <v>40412</v>
      </c>
      <c r="H371" s="67" t="s">
        <v>2134</v>
      </c>
      <c r="I371" s="67" t="s">
        <v>605</v>
      </c>
      <c r="J371" s="67" t="str">
        <f>INDEX(数据元说明!A:F,MATCH(I371,数据元说明!C:C,0),2)</f>
        <v>003001</v>
      </c>
      <c r="K371" s="68" t="str">
        <f>INDEX(数据元说明!A:F,MATCH(I371,数据元说明!C:C,0),5)</f>
        <v>系统内最细一级的账号，无唯一性约束，不需要和序号、子序号等做拼接。</v>
      </c>
      <c r="L371" s="67" t="str">
        <f>INDEX(数据元说明!A:F,MATCH(I371,数据元说明!C:C,0),6)</f>
        <v>C..60</v>
      </c>
      <c r="M371" s="68" t="s">
        <v>2162</v>
      </c>
      <c r="N371" s="68" t="s">
        <v>1583</v>
      </c>
      <c r="O371" s="68"/>
      <c r="P371" s="68" t="s">
        <v>1634</v>
      </c>
    </row>
    <row r="372" ht="39.95" hidden="1" customHeight="1" outlineLevel="1" spans="1:16">
      <c r="A372" s="70"/>
      <c r="B372" s="71"/>
      <c r="C372" s="59" t="s">
        <v>106</v>
      </c>
      <c r="D372" s="59" t="s">
        <v>2156</v>
      </c>
      <c r="E372" s="65">
        <v>404</v>
      </c>
      <c r="F372" s="67" t="s">
        <v>704</v>
      </c>
      <c r="G372" s="65">
        <v>40413</v>
      </c>
      <c r="H372" s="67" t="s">
        <v>2163</v>
      </c>
      <c r="I372" s="67" t="s">
        <v>704</v>
      </c>
      <c r="J372" s="67" t="str">
        <f>INDEX(数据元说明!A:F,MATCH(I372,数据元说明!C:C,0),2)</f>
        <v>003025</v>
      </c>
      <c r="K372" s="68" t="str">
        <f>INDEX(数据元说明!A:F,MATCH(I372,数据元说明!C:C,0),5)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372" s="67" t="str">
        <f>INDEX(数据元说明!A:F,MATCH(I372,数据元说明!C:C,0),6)</f>
        <v>C..60</v>
      </c>
      <c r="M372" s="69"/>
      <c r="N372" s="68" t="s">
        <v>1583</v>
      </c>
      <c r="O372" s="68"/>
      <c r="P372" s="68" t="s">
        <v>1634</v>
      </c>
    </row>
    <row r="373" ht="39.95" hidden="1" customHeight="1" outlineLevel="1" spans="1:16">
      <c r="A373" s="70"/>
      <c r="B373" s="71"/>
      <c r="C373" s="59" t="s">
        <v>106</v>
      </c>
      <c r="D373" s="59" t="s">
        <v>2156</v>
      </c>
      <c r="E373" s="65">
        <v>404</v>
      </c>
      <c r="F373" s="67" t="s">
        <v>713</v>
      </c>
      <c r="G373" s="65">
        <v>40414</v>
      </c>
      <c r="H373" s="67" t="s">
        <v>2164</v>
      </c>
      <c r="I373" s="67" t="s">
        <v>713</v>
      </c>
      <c r="J373" s="67" t="str">
        <f>INDEX(数据元说明!A:F,MATCH(I373,数据元说明!C:C,0),2)</f>
        <v>004002</v>
      </c>
      <c r="K373" s="68" t="str">
        <f>INDEX(数据元说明!A:F,MATCH(I373,数据元说明!C:C,0),5)</f>
        <v>转账，取现，存现，消费，代发，代扣，代缴，结息，批量交易，贷款发放，贷款还本，贷款还息，银证业务，投资理财，其他-银行自定义类型。无法以枚举类型填报的，以“其他-XX”报送，其中“XX”为银行自定义类型。</v>
      </c>
      <c r="L373" s="67" t="str">
        <f>INDEX(数据元说明!A:F,MATCH(I373,数据元说明!C:C,0),6)</f>
        <v>C..60</v>
      </c>
      <c r="M373" s="69"/>
      <c r="N373" s="68" t="s">
        <v>1583</v>
      </c>
      <c r="O373" s="68" t="s">
        <v>321</v>
      </c>
      <c r="P373" s="68"/>
    </row>
    <row r="374" ht="39.95" hidden="1" customHeight="1" outlineLevel="1" spans="1:16">
      <c r="A374" s="70"/>
      <c r="B374" s="71"/>
      <c r="C374" s="59" t="s">
        <v>106</v>
      </c>
      <c r="D374" s="59" t="s">
        <v>2156</v>
      </c>
      <c r="E374" s="65">
        <v>404</v>
      </c>
      <c r="F374" s="67" t="s">
        <v>700</v>
      </c>
      <c r="G374" s="65">
        <v>40415</v>
      </c>
      <c r="H374" s="67" t="s">
        <v>2165</v>
      </c>
      <c r="I374" s="67" t="s">
        <v>700</v>
      </c>
      <c r="J374" s="67" t="str">
        <f>INDEX(数据元说明!A:F,MATCH(I374,数据元说明!C:C,0),2)</f>
        <v>003024</v>
      </c>
      <c r="K374" s="68" t="str">
        <f>INDEX(数据元说明!A:F,MATCH(I374,数据元说明!C:C,0),5)</f>
        <v>借，贷。</v>
      </c>
      <c r="L374" s="67" t="str">
        <f>INDEX(数据元说明!A:F,MATCH(I374,数据元说明!C:C,0),6)</f>
        <v>C3</v>
      </c>
      <c r="M374" s="69"/>
      <c r="N374" s="68" t="s">
        <v>1583</v>
      </c>
      <c r="O374" s="68" t="s">
        <v>322</v>
      </c>
      <c r="P374" s="68" t="s">
        <v>1634</v>
      </c>
    </row>
    <row r="375" ht="39.95" hidden="1" customHeight="1" outlineLevel="1" spans="1:16">
      <c r="A375" s="70"/>
      <c r="B375" s="71"/>
      <c r="C375" s="59" t="s">
        <v>106</v>
      </c>
      <c r="D375" s="59" t="s">
        <v>2156</v>
      </c>
      <c r="E375" s="65">
        <v>404</v>
      </c>
      <c r="F375" s="67" t="s">
        <v>2166</v>
      </c>
      <c r="G375" s="65">
        <v>40416</v>
      </c>
      <c r="H375" s="67" t="s">
        <v>2167</v>
      </c>
      <c r="I375" s="67" t="s">
        <v>345</v>
      </c>
      <c r="J375" s="67" t="str">
        <f>INDEX(数据元说明!A:F,MATCH(I375,数据元说明!C:C,0),2)</f>
        <v>001005</v>
      </c>
      <c r="K375" s="68" t="str">
        <f>INDEX(数据元说明!A:F,MATCH(I375,数据元说明!C:C,0),5)</f>
        <v>YYYYMMDD，默认值99991231。</v>
      </c>
      <c r="L375" s="67" t="str">
        <f>INDEX(数据元说明!A:F,MATCH(I375,数据元说明!C:C,0),6)</f>
        <v>C8</v>
      </c>
      <c r="M375" s="68" t="s">
        <v>2168</v>
      </c>
      <c r="N375" s="80"/>
      <c r="O375" s="80"/>
      <c r="P375" s="80"/>
    </row>
    <row r="376" ht="39.95" hidden="1" customHeight="1" outlineLevel="1" spans="1:16">
      <c r="A376" s="70"/>
      <c r="B376" s="71"/>
      <c r="C376" s="59" t="s">
        <v>106</v>
      </c>
      <c r="D376" s="59" t="s">
        <v>2156</v>
      </c>
      <c r="E376" s="65">
        <v>404</v>
      </c>
      <c r="F376" s="67" t="s">
        <v>2169</v>
      </c>
      <c r="G376" s="65">
        <v>40417</v>
      </c>
      <c r="H376" s="67" t="s">
        <v>2170</v>
      </c>
      <c r="I376" s="67" t="s">
        <v>355</v>
      </c>
      <c r="J376" s="67" t="str">
        <f>INDEX(数据元说明!A:F,MATCH(I376,数据元说明!C:C,0),2)</f>
        <v>001007</v>
      </c>
      <c r="K376" s="68" t="str">
        <f>INDEX(数据元说明!A:F,MATCH(I376,数据元说明!C:C,0),5)</f>
        <v>24小时制时间，精确到秒。hhmmss，默认值000000。</v>
      </c>
      <c r="L376" s="67" t="str">
        <f>INDEX(数据元说明!A:F,MATCH(I376,数据元说明!C:C,0),6)</f>
        <v>C6</v>
      </c>
      <c r="M376" s="68" t="s">
        <v>2171</v>
      </c>
      <c r="N376" s="80"/>
      <c r="O376" s="80"/>
      <c r="P376" s="80"/>
    </row>
    <row r="377" ht="39.95" hidden="1" customHeight="1" outlineLevel="1" spans="1:16">
      <c r="A377" s="70"/>
      <c r="B377" s="71"/>
      <c r="C377" s="59" t="s">
        <v>106</v>
      </c>
      <c r="D377" s="59" t="s">
        <v>2156</v>
      </c>
      <c r="E377" s="65">
        <v>404</v>
      </c>
      <c r="F377" s="67" t="s">
        <v>642</v>
      </c>
      <c r="G377" s="65">
        <v>40418</v>
      </c>
      <c r="H377" s="67" t="s">
        <v>1914</v>
      </c>
      <c r="I377" s="67" t="s">
        <v>642</v>
      </c>
      <c r="J377" s="67" t="str">
        <f>INDEX(数据元说明!A:F,MATCH(I377,数据元说明!C:C,0),2)</f>
        <v>003010</v>
      </c>
      <c r="K377" s="68" t="str">
        <f>INDEX(数据元说明!A:F,MATCH(I377,数据元说明!C:C,0),5)</f>
        <v>遵循《GB/T 12406 表示货币和资金的代码》的字母代码，如CNY。上述文件所列币种无法涵盖的，允许银行自定义填报。多个币种合计折算为人民币（本外币合计）的，填报为BWB。</v>
      </c>
      <c r="L377" s="67" t="str">
        <f>INDEX(数据元说明!A:F,MATCH(I377,数据元说明!C:C,0),6)</f>
        <v>C3</v>
      </c>
      <c r="M377" s="69"/>
      <c r="N377" s="68" t="s">
        <v>1583</v>
      </c>
      <c r="O377" s="68"/>
      <c r="P377" s="68" t="s">
        <v>1634</v>
      </c>
    </row>
    <row r="378" ht="39.95" hidden="1" customHeight="1" outlineLevel="1" spans="1:16">
      <c r="A378" s="70"/>
      <c r="B378" s="71"/>
      <c r="C378" s="59" t="s">
        <v>106</v>
      </c>
      <c r="D378" s="59" t="s">
        <v>2156</v>
      </c>
      <c r="E378" s="65">
        <v>404</v>
      </c>
      <c r="F378" s="67" t="s">
        <v>2172</v>
      </c>
      <c r="G378" s="65">
        <v>40419</v>
      </c>
      <c r="H378" s="67" t="s">
        <v>2173</v>
      </c>
      <c r="I378" s="67" t="s">
        <v>634</v>
      </c>
      <c r="J378" s="67" t="str">
        <f>INDEX(数据元说明!A:F,MATCH(I378,数据元说明!C:C,0),2)</f>
        <v>003008</v>
      </c>
      <c r="K378" s="68" t="str">
        <f>INDEX(数据元说明!A:F,MATCH(I378,数据元说明!C:C,0),5)</f>
        <v>与币种相对应金额。</v>
      </c>
      <c r="L378" s="67" t="str">
        <f>INDEX(数据元说明!A:F,MATCH(I378,数据元说明!C:C,0),6)</f>
        <v>D20.2</v>
      </c>
      <c r="M378" s="69"/>
      <c r="N378" s="68"/>
      <c r="O378" s="68"/>
      <c r="P378" s="68"/>
    </row>
    <row r="379" ht="39.95" hidden="1" customHeight="1" outlineLevel="1" spans="1:16">
      <c r="A379" s="70"/>
      <c r="B379" s="71"/>
      <c r="C379" s="59" t="s">
        <v>106</v>
      </c>
      <c r="D379" s="59" t="s">
        <v>2156</v>
      </c>
      <c r="E379" s="65">
        <v>404</v>
      </c>
      <c r="F379" s="67" t="s">
        <v>2174</v>
      </c>
      <c r="G379" s="65">
        <v>40420</v>
      </c>
      <c r="H379" s="67" t="s">
        <v>2175</v>
      </c>
      <c r="I379" s="67" t="s">
        <v>638</v>
      </c>
      <c r="J379" s="67" t="str">
        <f>INDEX(数据元说明!A:F,MATCH(I379,数据元说明!C:C,0),2)</f>
        <v>003009</v>
      </c>
      <c r="K379" s="68" t="str">
        <f>INDEX(数据元说明!A:F,MATCH(I379,数据元说明!C:C,0),5)</f>
        <v>与币种相对应金额。(以正数填列。如信贷分户账，某客户初次获得贷款1万元，此时余额为10000；如活期存款明细，某客户初次开户存入10000元，此时余额为10000）</v>
      </c>
      <c r="L379" s="67" t="str">
        <f>INDEX(数据元说明!A:F,MATCH(I379,数据元说明!C:C,0),6)</f>
        <v>D20.2</v>
      </c>
      <c r="M379" s="68" t="s">
        <v>2176</v>
      </c>
      <c r="N379" s="68"/>
      <c r="O379" s="68"/>
      <c r="P379" s="68"/>
    </row>
    <row r="380" ht="39.95" hidden="1" customHeight="1" outlineLevel="1" spans="1:16">
      <c r="A380" s="70"/>
      <c r="B380" s="71"/>
      <c r="C380" s="59" t="s">
        <v>106</v>
      </c>
      <c r="D380" s="59" t="s">
        <v>2156</v>
      </c>
      <c r="E380" s="65">
        <v>404</v>
      </c>
      <c r="F380" s="67" t="s">
        <v>2177</v>
      </c>
      <c r="G380" s="65">
        <v>40421</v>
      </c>
      <c r="H380" s="67" t="s">
        <v>2178</v>
      </c>
      <c r="I380" s="67" t="s">
        <v>704</v>
      </c>
      <c r="J380" s="67" t="str">
        <f>INDEX(数据元说明!A:F,MATCH(I380,数据元说明!C:C,0),2)</f>
        <v>003025</v>
      </c>
      <c r="K380" s="68" t="str">
        <f>INDEX(数据元说明!A:F,MATCH(I380,数据元说明!C:C,0),5)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380" s="67" t="str">
        <f>INDEX(数据元说明!A:F,MATCH(I380,数据元说明!C:C,0),6)</f>
        <v>C..60</v>
      </c>
      <c r="M380" s="68" t="s">
        <v>2179</v>
      </c>
      <c r="N380" s="68" t="s">
        <v>1583</v>
      </c>
      <c r="O380" s="68" t="s">
        <v>484</v>
      </c>
      <c r="P380" s="68"/>
    </row>
    <row r="381" ht="39.95" hidden="1" customHeight="1" outlineLevel="1" spans="1:16">
      <c r="A381" s="70"/>
      <c r="B381" s="71"/>
      <c r="C381" s="59" t="s">
        <v>106</v>
      </c>
      <c r="D381" s="59" t="s">
        <v>2156</v>
      </c>
      <c r="E381" s="65">
        <v>404</v>
      </c>
      <c r="F381" s="67" t="s">
        <v>2180</v>
      </c>
      <c r="G381" s="65">
        <v>40422</v>
      </c>
      <c r="H381" s="67" t="s">
        <v>2181</v>
      </c>
      <c r="I381" s="67" t="s">
        <v>646</v>
      </c>
      <c r="J381" s="67" t="str">
        <f>INDEX(数据元说明!A:F,MATCH(I381,数据元说明!C:C,0),2)</f>
        <v>003011</v>
      </c>
      <c r="K381" s="68" t="str">
        <f>INDEX(数据元说明!A:F,MATCH(I381,数据元说明!C:C,0),5)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381" s="67" t="str">
        <f>INDEX(数据元说明!A:F,MATCH(I381,数据元说明!C:C,0),6)</f>
        <v>C..450</v>
      </c>
      <c r="M381" s="68" t="s">
        <v>2179</v>
      </c>
      <c r="N381" s="68" t="s">
        <v>1583</v>
      </c>
      <c r="O381" s="68" t="s">
        <v>1660</v>
      </c>
      <c r="P381" s="68"/>
    </row>
    <row r="382" ht="39.95" hidden="1" customHeight="1" outlineLevel="1" spans="1:16">
      <c r="A382" s="70"/>
      <c r="B382" s="71"/>
      <c r="C382" s="59" t="s">
        <v>106</v>
      </c>
      <c r="D382" s="59" t="s">
        <v>2156</v>
      </c>
      <c r="E382" s="65">
        <v>404</v>
      </c>
      <c r="F382" s="67" t="s">
        <v>2182</v>
      </c>
      <c r="G382" s="65">
        <v>40423</v>
      </c>
      <c r="H382" s="67" t="s">
        <v>2183</v>
      </c>
      <c r="I382" s="67" t="s">
        <v>369</v>
      </c>
      <c r="J382" s="67" t="str">
        <f>INDEX(数据元说明!A:F,MATCH(I382,数据元说明!C:C,0),2)</f>
        <v>001010</v>
      </c>
      <c r="K382" s="68" t="str">
        <f>INDEX(数据元说明!A:F,MATCH(I382,数据元说明!C:C,0),5)</f>
        <v>12位人行支付行号或SWIFT行号。</v>
      </c>
      <c r="L382" s="67" t="str">
        <f>INDEX(数据元说明!A:F,MATCH(I382,数据元说明!C:C,0),6)</f>
        <v>C..30</v>
      </c>
      <c r="M382" s="80" t="s">
        <v>2179</v>
      </c>
      <c r="N382" s="80" t="s">
        <v>1583</v>
      </c>
      <c r="O382" s="80" t="s">
        <v>484</v>
      </c>
      <c r="P382" s="80"/>
    </row>
    <row r="383" ht="39.95" hidden="1" customHeight="1" outlineLevel="1" spans="1:16">
      <c r="A383" s="70"/>
      <c r="B383" s="71"/>
      <c r="C383" s="59" t="s">
        <v>106</v>
      </c>
      <c r="D383" s="59" t="s">
        <v>2156</v>
      </c>
      <c r="E383" s="65">
        <v>404</v>
      </c>
      <c r="F383" s="67" t="s">
        <v>2184</v>
      </c>
      <c r="G383" s="65">
        <v>40424</v>
      </c>
      <c r="H383" s="67" t="s">
        <v>2185</v>
      </c>
      <c r="I383" s="67" t="s">
        <v>325</v>
      </c>
      <c r="J383" s="67" t="str">
        <f>INDEX(数据元说明!A:F,MATCH(I383,数据元说明!C:C,0),2)</f>
        <v>001001</v>
      </c>
      <c r="K383" s="68" t="str">
        <f>INDEX(数据元说明!A:F,MATCH(I383,数据元说明!C:C,0),5)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383" s="67" t="str">
        <f>INDEX(数据元说明!A:F,MATCH(I383,数据元说明!C:C,0),6)</f>
        <v>C..450</v>
      </c>
      <c r="M383" s="80" t="s">
        <v>2179</v>
      </c>
      <c r="N383" s="80" t="s">
        <v>1583</v>
      </c>
      <c r="O383" s="80" t="s">
        <v>1695</v>
      </c>
      <c r="P383" s="80"/>
    </row>
    <row r="384" ht="39.95" hidden="1" customHeight="1" outlineLevel="1" spans="1:16">
      <c r="A384" s="70"/>
      <c r="B384" s="71"/>
      <c r="C384" s="59" t="s">
        <v>106</v>
      </c>
      <c r="D384" s="59" t="s">
        <v>2156</v>
      </c>
      <c r="E384" s="65">
        <v>404</v>
      </c>
      <c r="F384" s="67" t="s">
        <v>725</v>
      </c>
      <c r="G384" s="65">
        <v>40425</v>
      </c>
      <c r="H384" s="67" t="s">
        <v>1792</v>
      </c>
      <c r="I384" s="67" t="s">
        <v>725</v>
      </c>
      <c r="J384" s="67" t="str">
        <f>INDEX(数据元说明!A:F,MATCH(I384,数据元说明!C:C,0),2)</f>
        <v>004005</v>
      </c>
      <c r="K384" s="68" t="str">
        <f>INDEX(数据元说明!A:F,MATCH(I384,数据元说明!C:C,0),5)</f>
        <v>银行自定义交易内容的简要描述。</v>
      </c>
      <c r="L384" s="67" t="str">
        <f>INDEX(数据元说明!A:F,MATCH(I384,数据元说明!C:C,0),6)</f>
        <v>C..600</v>
      </c>
      <c r="M384" s="69"/>
      <c r="N384" s="68" t="s">
        <v>1583</v>
      </c>
      <c r="O384" s="68" t="s">
        <v>321</v>
      </c>
      <c r="P384" s="68" t="s">
        <v>1634</v>
      </c>
    </row>
    <row r="385" ht="39.95" hidden="1" customHeight="1" outlineLevel="1" spans="1:16">
      <c r="A385" s="70"/>
      <c r="B385" s="71"/>
      <c r="C385" s="59" t="s">
        <v>106</v>
      </c>
      <c r="D385" s="59" t="s">
        <v>2156</v>
      </c>
      <c r="E385" s="65">
        <v>404</v>
      </c>
      <c r="F385" s="67" t="s">
        <v>729</v>
      </c>
      <c r="G385" s="65">
        <v>40426</v>
      </c>
      <c r="H385" s="67" t="s">
        <v>2186</v>
      </c>
      <c r="I385" s="67" t="s">
        <v>729</v>
      </c>
      <c r="J385" s="67" t="str">
        <f>INDEX(数据元说明!A:F,MATCH(I385,数据元说明!C:C,0),2)</f>
        <v>004006</v>
      </c>
      <c r="K385" s="68" t="str">
        <f>INDEX(数据元说明!A:F,MATCH(I385,数据元说明!C:C,0),5)</f>
        <v>客户在交易凭证上的真实备注、附言。</v>
      </c>
      <c r="L385" s="67" t="str">
        <f>INDEX(数据元说明!A:F,MATCH(I385,数据元说明!C:C,0),6)</f>
        <v>C..600</v>
      </c>
      <c r="M385" s="69"/>
      <c r="N385" s="68" t="s">
        <v>1601</v>
      </c>
      <c r="O385" s="68"/>
      <c r="P385" s="68"/>
    </row>
    <row r="386" ht="39.95" hidden="1" customHeight="1" outlineLevel="1" spans="1:16">
      <c r="A386" s="70"/>
      <c r="B386" s="71"/>
      <c r="C386" s="59" t="s">
        <v>106</v>
      </c>
      <c r="D386" s="59" t="s">
        <v>2156</v>
      </c>
      <c r="E386" s="65">
        <v>404</v>
      </c>
      <c r="F386" s="67" t="s">
        <v>733</v>
      </c>
      <c r="G386" s="65">
        <v>40427</v>
      </c>
      <c r="H386" s="67" t="s">
        <v>2187</v>
      </c>
      <c r="I386" s="67" t="s">
        <v>733</v>
      </c>
      <c r="J386" s="67" t="str">
        <f>INDEX(数据元说明!A:F,MATCH(I386,数据元说明!C:C,0),2)</f>
        <v>004007</v>
      </c>
      <c r="K386" s="68" t="str">
        <f>INDEX(数据元说明!A:F,MATCH(I386,数据元说明!C:C,0),5)</f>
        <v>正常，冲补抹。</v>
      </c>
      <c r="L386" s="67" t="str">
        <f>INDEX(数据元说明!A:F,MATCH(I386,数据元说明!C:C,0),6)</f>
        <v>C..9</v>
      </c>
      <c r="M386" s="69" t="s">
        <v>2188</v>
      </c>
      <c r="N386" s="68" t="s">
        <v>1583</v>
      </c>
      <c r="O386" s="68"/>
      <c r="P386" s="68" t="s">
        <v>1634</v>
      </c>
    </row>
    <row r="387" ht="39.95" hidden="1" customHeight="1" outlineLevel="1" spans="1:16">
      <c r="A387" s="70"/>
      <c r="B387" s="71"/>
      <c r="C387" s="59" t="s">
        <v>106</v>
      </c>
      <c r="D387" s="59" t="s">
        <v>2156</v>
      </c>
      <c r="E387" s="65">
        <v>404</v>
      </c>
      <c r="F387" s="67" t="s">
        <v>721</v>
      </c>
      <c r="G387" s="65">
        <v>40428</v>
      </c>
      <c r="H387" s="67" t="s">
        <v>2189</v>
      </c>
      <c r="I387" s="67" t="s">
        <v>721</v>
      </c>
      <c r="J387" s="67" t="str">
        <f>INDEX(数据元说明!A:F,MATCH(I387,数据元说明!C:C,0),2)</f>
        <v>004004</v>
      </c>
      <c r="K387" s="68" t="str">
        <f>INDEX(数据元说明!A:F,MATCH(I387,数据元说明!C:C,0),5)</f>
        <v>现，转。</v>
      </c>
      <c r="L387" s="67" t="str">
        <f>INDEX(数据元说明!A:F,MATCH(I387,数据元说明!C:C,0),6)</f>
        <v>C3</v>
      </c>
      <c r="M387" s="68" t="s">
        <v>2190</v>
      </c>
      <c r="N387" s="68" t="s">
        <v>1583</v>
      </c>
      <c r="O387" s="68" t="s">
        <v>484</v>
      </c>
      <c r="P387" s="68"/>
    </row>
    <row r="388" ht="39.95" hidden="1" customHeight="1" outlineLevel="1" spans="1:16">
      <c r="A388" s="70"/>
      <c r="B388" s="71"/>
      <c r="C388" s="59" t="s">
        <v>106</v>
      </c>
      <c r="D388" s="59" t="s">
        <v>2156</v>
      </c>
      <c r="E388" s="65">
        <v>404</v>
      </c>
      <c r="F388" s="67" t="s">
        <v>717</v>
      </c>
      <c r="G388" s="65">
        <v>40429</v>
      </c>
      <c r="H388" s="67" t="s">
        <v>2191</v>
      </c>
      <c r="I388" s="67" t="s">
        <v>717</v>
      </c>
      <c r="J388" s="67" t="str">
        <f>INDEX(数据元说明!A:F,MATCH(I388,数据元说明!C:C,0),2)</f>
        <v>004003</v>
      </c>
      <c r="K388" s="68" t="str">
        <f>INDEX(数据元说明!A:F,MATCH(I388,数据元说明!C:C,0),5)</f>
        <v>柜面，ATM，VTM，POS，网银，手机银行，银联交易，第三方支付-银行自定义，其他-银行自定义。交易类型为第三方支付的，以“第三方支付-XX”填报，其中“XX”为第三方支付平台名称。如无法以枚举类型填报，则以“其他-XX”填报，其中“XX”为银行自定义类型。</v>
      </c>
      <c r="L388" s="67" t="str">
        <f>INDEX(数据元说明!A:F,MATCH(I388,数据元说明!C:C,0),6)</f>
        <v>C..60</v>
      </c>
      <c r="M388" s="69" t="s">
        <v>2192</v>
      </c>
      <c r="N388" s="68" t="s">
        <v>1583</v>
      </c>
      <c r="O388" s="68" t="s">
        <v>321</v>
      </c>
      <c r="P388" s="68" t="s">
        <v>1648</v>
      </c>
    </row>
    <row r="389" ht="39.95" hidden="1" customHeight="1" outlineLevel="1" spans="1:16">
      <c r="A389" s="70"/>
      <c r="B389" s="71"/>
      <c r="C389" s="59" t="s">
        <v>106</v>
      </c>
      <c r="D389" s="59" t="s">
        <v>2156</v>
      </c>
      <c r="E389" s="65">
        <v>404</v>
      </c>
      <c r="F389" s="67" t="s">
        <v>475</v>
      </c>
      <c r="G389" s="65">
        <v>40430</v>
      </c>
      <c r="H389" s="67" t="s">
        <v>2193</v>
      </c>
      <c r="I389" s="67" t="s">
        <v>475</v>
      </c>
      <c r="J389" s="67" t="str">
        <f>INDEX(数据元说明!A:F,MATCH(I389,数据元说明!C:C,0),2)</f>
        <v>001036</v>
      </c>
      <c r="K389" s="68" t="str">
        <f>INDEX(数据元说明!A:F,MATCH(I389,数据元说明!C:C,0),5)</f>
        <v>点分十进制格式表示的IPV4地址，或者IPV6地址。</v>
      </c>
      <c r="L389" s="67" t="str">
        <f>INDEX(数据元说明!A:F,MATCH(I389,数据元说明!C:C,0),6)</f>
        <v>C..40</v>
      </c>
      <c r="M389" s="69" t="s">
        <v>2194</v>
      </c>
      <c r="N389" s="68" t="s">
        <v>1601</v>
      </c>
      <c r="O389" s="68"/>
      <c r="P389" s="68"/>
    </row>
    <row r="390" ht="39.95" hidden="1" customHeight="1" outlineLevel="1" spans="1:16">
      <c r="A390" s="70"/>
      <c r="B390" s="71"/>
      <c r="C390" s="59" t="s">
        <v>106</v>
      </c>
      <c r="D390" s="59" t="s">
        <v>2156</v>
      </c>
      <c r="E390" s="65">
        <v>404</v>
      </c>
      <c r="F390" s="67" t="s">
        <v>480</v>
      </c>
      <c r="G390" s="65">
        <v>40431</v>
      </c>
      <c r="H390" s="67" t="s">
        <v>2195</v>
      </c>
      <c r="I390" s="67" t="s">
        <v>480</v>
      </c>
      <c r="J390" s="67" t="str">
        <f>INDEX(数据元说明!A:F,MATCH(I390,数据元说明!C:C,0),2)</f>
        <v>001037</v>
      </c>
      <c r="K390" s="68" t="str">
        <f>INDEX(数据元说明!A:F,MATCH(I390,数据元说明!C:C,0),5)</f>
        <v>网络设备唯一的网络标识：
1.可以是MAC地址，以12个16进制数表示（6个字节），每个字节以英文半角冒号（:）隔开。
2.若交易渠道为网银、手机银行，Android7.0以上系统可填报设备IMEI码；IOS7以上系统科填报UUID码，唯一对应设备即可。</v>
      </c>
      <c r="L390" s="67" t="str">
        <f>INDEX(数据元说明!A:F,MATCH(I390,数据元说明!C:C,0),6)</f>
        <v>C..60</v>
      </c>
      <c r="M390" s="69" t="s">
        <v>2196</v>
      </c>
      <c r="N390" s="68" t="s">
        <v>1601</v>
      </c>
      <c r="O390" s="68"/>
      <c r="P390" s="68"/>
    </row>
    <row r="391" ht="39.95" hidden="1" customHeight="1" outlineLevel="1" spans="1:16">
      <c r="A391" s="63"/>
      <c r="B391" s="64"/>
      <c r="C391" s="59" t="s">
        <v>106</v>
      </c>
      <c r="D391" s="59" t="s">
        <v>2156</v>
      </c>
      <c r="E391" s="65">
        <v>404</v>
      </c>
      <c r="F391" s="67" t="s">
        <v>2197</v>
      </c>
      <c r="G391" s="65">
        <v>40432</v>
      </c>
      <c r="H391" s="67" t="s">
        <v>2198</v>
      </c>
      <c r="I391" s="67" t="s">
        <v>393</v>
      </c>
      <c r="J391" s="67" t="str">
        <f>INDEX(数据元说明!A:F,MATCH(I391,数据元说明!C:C,0),2)</f>
        <v>001016</v>
      </c>
      <c r="K391" s="68" t="str">
        <f>INDEX(数据元说明!A:F,MATCH(I391,数据元说明!C:C,0),5)</f>
        <v>姓名。</v>
      </c>
      <c r="L391" s="67" t="str">
        <f>INDEX(数据元说明!A:F,MATCH(I391,数据元说明!C:C,0),6)</f>
        <v>C..150</v>
      </c>
      <c r="M391" s="68" t="s">
        <v>2199</v>
      </c>
      <c r="N391" s="68" t="s">
        <v>1583</v>
      </c>
      <c r="O391" s="68" t="s">
        <v>484</v>
      </c>
      <c r="P391" s="68"/>
    </row>
    <row r="392" ht="39.95" hidden="1" customHeight="1" outlineLevel="1" spans="1:16">
      <c r="A392" s="63"/>
      <c r="B392" s="64"/>
      <c r="C392" s="59" t="s">
        <v>106</v>
      </c>
      <c r="D392" s="59" t="s">
        <v>2156</v>
      </c>
      <c r="E392" s="65">
        <v>404</v>
      </c>
      <c r="F392" s="67" t="s">
        <v>2200</v>
      </c>
      <c r="G392" s="65">
        <v>40433</v>
      </c>
      <c r="H392" s="67" t="s">
        <v>2201</v>
      </c>
      <c r="I392" s="67" t="s">
        <v>492</v>
      </c>
      <c r="J392" s="67" t="str">
        <f>INDEX(数据元说明!A:F,MATCH(I392,数据元说明!C:C,0),2)</f>
        <v>002002</v>
      </c>
      <c r="K392" s="68" t="str">
        <f>INDEX(数据元说明!A:F,MATCH(I392,数据元说明!C:C,0),5)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392" s="67" t="str">
        <f>INDEX(数据元说明!A:F,MATCH(I392,数据元说明!C:C,0),6)</f>
        <v>C..60</v>
      </c>
      <c r="M392" s="68" t="s">
        <v>2202</v>
      </c>
      <c r="N392" s="68" t="s">
        <v>1583</v>
      </c>
      <c r="O392" s="68" t="s">
        <v>484</v>
      </c>
      <c r="P392" s="68"/>
    </row>
    <row r="393" ht="39.95" hidden="1" customHeight="1" outlineLevel="1" spans="1:16">
      <c r="A393" s="63"/>
      <c r="B393" s="64"/>
      <c r="C393" s="59" t="s">
        <v>106</v>
      </c>
      <c r="D393" s="59" t="s">
        <v>2156</v>
      </c>
      <c r="E393" s="65">
        <v>404</v>
      </c>
      <c r="F393" s="67" t="s">
        <v>2203</v>
      </c>
      <c r="G393" s="65">
        <v>40434</v>
      </c>
      <c r="H393" s="67" t="s">
        <v>2204</v>
      </c>
      <c r="I393" s="67" t="s">
        <v>496</v>
      </c>
      <c r="J393" s="67" t="str">
        <f>INDEX(数据元说明!A:F,MATCH(I393,数据元说明!C:C,0),2)</f>
        <v>002003</v>
      </c>
      <c r="K393" s="68" t="str">
        <f>INDEX(数据元说明!A:F,MATCH(I393,数据元说明!C:C,0),5)</f>
        <v>与证件类别对应的证件号码。涉及个人身份证件时需按照本规范给定规则进行脱敏处理。</v>
      </c>
      <c r="L393" s="67" t="str">
        <f>INDEX(数据元说明!A:F,MATCH(I393,数据元说明!C:C,0),6)</f>
        <v>C..70</v>
      </c>
      <c r="M393" s="68" t="s">
        <v>2205</v>
      </c>
      <c r="N393" s="68" t="s">
        <v>1583</v>
      </c>
      <c r="O393" s="68" t="s">
        <v>2206</v>
      </c>
      <c r="P393" s="68"/>
    </row>
    <row r="394" ht="39.95" hidden="1" customHeight="1" outlineLevel="1" spans="1:16">
      <c r="A394" s="70"/>
      <c r="B394" s="71"/>
      <c r="C394" s="59" t="s">
        <v>106</v>
      </c>
      <c r="D394" s="59" t="s">
        <v>2156</v>
      </c>
      <c r="E394" s="65">
        <v>404</v>
      </c>
      <c r="F394" s="67" t="s">
        <v>2207</v>
      </c>
      <c r="G394" s="65">
        <v>40435</v>
      </c>
      <c r="H394" s="67" t="s">
        <v>2208</v>
      </c>
      <c r="I394" s="67" t="s">
        <v>409</v>
      </c>
      <c r="J394" s="67" t="str">
        <f>INDEX(数据元说明!A:F,MATCH(I394,数据元说明!C:C,0),2)</f>
        <v>001020</v>
      </c>
      <c r="K394" s="68" t="str">
        <f>INDEX(数据元说明!A:F,MATCH(I394,数据元说明!C:C,0),5)</f>
        <v>柜员编号，银行自定义。</v>
      </c>
      <c r="L394" s="67" t="str">
        <f>INDEX(数据元说明!A:F,MATCH(I394,数据元说明!C:C,0),6)</f>
        <v>C..30</v>
      </c>
      <c r="M394" s="69" t="s">
        <v>2014</v>
      </c>
      <c r="N394" s="68"/>
      <c r="O394" s="68"/>
      <c r="P394" s="68"/>
    </row>
    <row r="395" ht="39.95" hidden="1" customHeight="1" outlineLevel="1" spans="1:16">
      <c r="A395" s="70"/>
      <c r="B395" s="71"/>
      <c r="C395" s="59" t="s">
        <v>106</v>
      </c>
      <c r="D395" s="59" t="s">
        <v>2156</v>
      </c>
      <c r="E395" s="65">
        <v>404</v>
      </c>
      <c r="F395" s="67" t="s">
        <v>2209</v>
      </c>
      <c r="G395" s="65">
        <v>40436</v>
      </c>
      <c r="H395" s="67" t="s">
        <v>2210</v>
      </c>
      <c r="I395" s="67" t="s">
        <v>409</v>
      </c>
      <c r="J395" s="67" t="str">
        <f>INDEX(数据元说明!A:F,MATCH(I395,数据元说明!C:C,0),2)</f>
        <v>001020</v>
      </c>
      <c r="K395" s="68" t="str">
        <f>INDEX(数据元说明!A:F,MATCH(I395,数据元说明!C:C,0),5)</f>
        <v>柜员编号，银行自定义。</v>
      </c>
      <c r="L395" s="67" t="str">
        <f>INDEX(数据元说明!A:F,MATCH(I395,数据元说明!C:C,0),6)</f>
        <v>C..30</v>
      </c>
      <c r="M395" s="69" t="s">
        <v>2211</v>
      </c>
      <c r="N395" s="68" t="s">
        <v>1583</v>
      </c>
      <c r="O395" s="68" t="s">
        <v>484</v>
      </c>
      <c r="P395" s="68"/>
    </row>
    <row r="396" ht="39.95" hidden="1" customHeight="1" outlineLevel="1" spans="1:16">
      <c r="A396" s="63"/>
      <c r="B396" s="64"/>
      <c r="C396" s="59" t="s">
        <v>106</v>
      </c>
      <c r="D396" s="59" t="s">
        <v>2156</v>
      </c>
      <c r="E396" s="65">
        <v>404</v>
      </c>
      <c r="F396" s="67" t="s">
        <v>484</v>
      </c>
      <c r="G396" s="65">
        <v>40437</v>
      </c>
      <c r="H396" s="67" t="s">
        <v>1623</v>
      </c>
      <c r="I396" s="67" t="s">
        <v>484</v>
      </c>
      <c r="J396" s="67" t="str">
        <f>INDEX(数据元说明!A:F,MATCH(I396,数据元说明!C:C,0),2)</f>
        <v>001038</v>
      </c>
      <c r="K396" s="68" t="str">
        <f>INDEX(数据元说明!A:F,MATCH(I396,数据元说明!C:C,0),5)</f>
        <v>银行自定义。</v>
      </c>
      <c r="L396" s="67" t="str">
        <f>INDEX(数据元说明!A:F,MATCH(I396,数据元说明!C:C,0),6)</f>
        <v>C..600</v>
      </c>
      <c r="M396" s="68" t="s">
        <v>1624</v>
      </c>
      <c r="N396" s="68" t="s">
        <v>1601</v>
      </c>
      <c r="O396" s="68"/>
      <c r="P396" s="68"/>
    </row>
    <row r="397" ht="39.95" hidden="1" customHeight="1" outlineLevel="1" spans="1:16">
      <c r="A397" s="63"/>
      <c r="B397" s="64"/>
      <c r="C397" s="59" t="s">
        <v>106</v>
      </c>
      <c r="D397" s="59" t="s">
        <v>2156</v>
      </c>
      <c r="E397" s="65">
        <v>404</v>
      </c>
      <c r="F397" s="67" t="s">
        <v>1625</v>
      </c>
      <c r="G397" s="65">
        <v>40438</v>
      </c>
      <c r="H397" s="67" t="s">
        <v>1626</v>
      </c>
      <c r="I397" s="67" t="s">
        <v>345</v>
      </c>
      <c r="J397" s="67" t="str">
        <f>INDEX(数据元说明!A:F,MATCH(I397,数据元说明!C:C,0),2)</f>
        <v>001005</v>
      </c>
      <c r="K397" s="68" t="str">
        <f>INDEX(数据元说明!A:F,MATCH(I397,数据元说明!C:C,0),5)</f>
        <v>YYYYMMDD，默认值99991231。</v>
      </c>
      <c r="L397" s="67" t="str">
        <f>INDEX(数据元说明!A:F,MATCH(I397,数据元说明!C:C,0),6)</f>
        <v>C8</v>
      </c>
      <c r="M397" s="68" t="s">
        <v>1627</v>
      </c>
      <c r="N397" s="68"/>
      <c r="O397" s="68"/>
      <c r="P397" s="68"/>
    </row>
    <row r="398" ht="39.95" hidden="1" customHeight="1" collapsed="1" spans="1:16">
      <c r="A398" s="70"/>
      <c r="B398" s="71"/>
      <c r="C398" s="59" t="s">
        <v>110</v>
      </c>
      <c r="D398" s="59" t="s">
        <v>2212</v>
      </c>
      <c r="E398" s="65">
        <v>405</v>
      </c>
      <c r="F398" s="67"/>
      <c r="G398" s="65"/>
      <c r="H398" s="67"/>
      <c r="I398" s="67"/>
      <c r="J398" s="67"/>
      <c r="K398" s="68"/>
      <c r="L398" s="67"/>
      <c r="M398" s="68" t="str">
        <f>INDEX(表结构总览!D:G,MATCH(D398,表结构总览!D:D,0),4)</f>
        <v>填报银行机构吸收的除个人以外的机构（包括企业、财政部门、社保基金、部队、住房公积金、社会团体、同业机构等）开立的所有存款账户信息。个人存款账户和对公存款账户按照《人民币银行结算账户管理办法》（中国人民银行令2003年第5号）划分。个体工商户、私营业主以营业执照等证件开立的对公账户计入本表，以个人名义开立的账户不计入本表。以存款账号为最小颗粒报送，如账户注销或终结，在报送该账户最终状态后的次月可不再报送。</v>
      </c>
      <c r="N398" s="68" t="s">
        <v>1583</v>
      </c>
      <c r="O398" s="68" t="s">
        <v>484</v>
      </c>
      <c r="P398" s="68"/>
    </row>
    <row r="399" ht="39.95" hidden="1" customHeight="1" outlineLevel="1" spans="1:16">
      <c r="A399" s="63"/>
      <c r="B399" s="64"/>
      <c r="C399" s="59" t="s">
        <v>110</v>
      </c>
      <c r="D399" s="59" t="s">
        <v>2212</v>
      </c>
      <c r="E399" s="65">
        <v>405</v>
      </c>
      <c r="F399" s="67" t="s">
        <v>373</v>
      </c>
      <c r="G399" s="65">
        <v>40501</v>
      </c>
      <c r="H399" s="67" t="s">
        <v>1588</v>
      </c>
      <c r="I399" s="67" t="s">
        <v>373</v>
      </c>
      <c r="J399" s="67" t="str">
        <f>INDEX(数据元说明!A:F,MATCH(I399,数据元说明!C:C,0),2)</f>
        <v>001011</v>
      </c>
      <c r="K399" s="68" t="str">
        <f>INDEX(数据元说明!A:F,MATCH(I399,数据元说明!C:C,0),5)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99" s="67" t="str">
        <f>INDEX(数据元说明!A:F,MATCH(I399,数据元说明!C:C,0),6)</f>
        <v>C..30</v>
      </c>
      <c r="M399" s="68" t="s">
        <v>2122</v>
      </c>
      <c r="N399" s="68" t="s">
        <v>1583</v>
      </c>
      <c r="O399" s="68" t="s">
        <v>484</v>
      </c>
      <c r="P399" s="68"/>
    </row>
    <row r="400" ht="39.95" hidden="1" customHeight="1" outlineLevel="1" spans="1:16">
      <c r="A400" s="70"/>
      <c r="B400" s="71"/>
      <c r="C400" s="59" t="s">
        <v>110</v>
      </c>
      <c r="D400" s="59" t="s">
        <v>2212</v>
      </c>
      <c r="E400" s="65">
        <v>405</v>
      </c>
      <c r="F400" s="67" t="s">
        <v>377</v>
      </c>
      <c r="G400" s="65">
        <v>40502</v>
      </c>
      <c r="H400" s="67" t="s">
        <v>1586</v>
      </c>
      <c r="I400" s="67" t="s">
        <v>377</v>
      </c>
      <c r="J400" s="67" t="str">
        <f>INDEX(数据元说明!A:F,MATCH(I400,数据元说明!C:C,0),2)</f>
        <v>001012</v>
      </c>
      <c r="K400" s="68" t="str">
        <f>INDEX(数据元说明!A:F,MATCH(I400,数据元说明!C:C,0),5)</f>
        <v>银行内部机构号。应具有标识机构的唯一性。</v>
      </c>
      <c r="L400" s="67" t="str">
        <f>INDEX(数据元说明!A:F,MATCH(I400,数据元说明!C:C,0),6)</f>
        <v>C..30</v>
      </c>
      <c r="M400" s="68" t="s">
        <v>2123</v>
      </c>
      <c r="N400" s="68"/>
      <c r="O400" s="68"/>
      <c r="P400" s="68"/>
    </row>
    <row r="401" ht="39.95" hidden="1" customHeight="1" outlineLevel="1" spans="1:16">
      <c r="A401" s="70"/>
      <c r="B401" s="71"/>
      <c r="C401" s="59" t="s">
        <v>110</v>
      </c>
      <c r="D401" s="59" t="s">
        <v>2212</v>
      </c>
      <c r="E401" s="65">
        <v>405</v>
      </c>
      <c r="F401" s="67" t="s">
        <v>1592</v>
      </c>
      <c r="G401" s="65">
        <v>40503</v>
      </c>
      <c r="H401" s="67" t="s">
        <v>1593</v>
      </c>
      <c r="I401" s="67" t="s">
        <v>325</v>
      </c>
      <c r="J401" s="67" t="str">
        <f>INDEX(数据元说明!A:F,MATCH(I401,数据元说明!C:C,0),2)</f>
        <v>001001</v>
      </c>
      <c r="K401" s="68" t="str">
        <f>INDEX(数据元说明!A:F,MATCH(I401,数据元说明!C:C,0),5)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401" s="67" t="str">
        <f>INDEX(数据元说明!A:F,MATCH(I401,数据元说明!C:C,0),6)</f>
        <v>C..450</v>
      </c>
      <c r="M401" s="68" t="s">
        <v>2124</v>
      </c>
      <c r="N401" s="68" t="s">
        <v>1583</v>
      </c>
      <c r="O401" s="68" t="s">
        <v>322</v>
      </c>
      <c r="P401" s="68" t="s">
        <v>1634</v>
      </c>
    </row>
    <row r="402" ht="39.95" hidden="1" customHeight="1" outlineLevel="1" spans="1:16">
      <c r="A402" s="70"/>
      <c r="B402" s="71"/>
      <c r="C402" s="59" t="s">
        <v>110</v>
      </c>
      <c r="D402" s="59" t="s">
        <v>2212</v>
      </c>
      <c r="E402" s="65">
        <v>405</v>
      </c>
      <c r="F402" s="67" t="s">
        <v>2125</v>
      </c>
      <c r="G402" s="65">
        <v>40504</v>
      </c>
      <c r="H402" s="67" t="s">
        <v>2126</v>
      </c>
      <c r="I402" s="67" t="s">
        <v>609</v>
      </c>
      <c r="J402" s="67" t="str">
        <f>INDEX(数据元说明!A:F,MATCH(I402,数据元说明!C:C,0),2)</f>
        <v>003002</v>
      </c>
      <c r="K402" s="68" t="str">
        <f>INDEX(数据元说明!A:F,MATCH(I402,数据元说明!C:C,0),5)</f>
        <v>机构实际使用的总账会计科目编码。</v>
      </c>
      <c r="L402" s="67" t="str">
        <f>INDEX(数据元说明!A:F,MATCH(I402,数据元说明!C:C,0),6)</f>
        <v>C..60</v>
      </c>
      <c r="M402" s="68" t="s">
        <v>2127</v>
      </c>
      <c r="N402" s="68" t="s">
        <v>1583</v>
      </c>
      <c r="O402" s="68" t="s">
        <v>1577</v>
      </c>
      <c r="P402" s="68"/>
    </row>
    <row r="403" ht="39.95" hidden="1" customHeight="1" outlineLevel="1" spans="1:16">
      <c r="A403" s="70"/>
      <c r="B403" s="71"/>
      <c r="C403" s="59" t="s">
        <v>110</v>
      </c>
      <c r="D403" s="59" t="s">
        <v>2212</v>
      </c>
      <c r="E403" s="65">
        <v>405</v>
      </c>
      <c r="F403" s="67" t="s">
        <v>2128</v>
      </c>
      <c r="G403" s="65">
        <v>40505</v>
      </c>
      <c r="H403" s="67" t="s">
        <v>2129</v>
      </c>
      <c r="I403" s="67" t="s">
        <v>613</v>
      </c>
      <c r="J403" s="67" t="str">
        <f>INDEX(数据元说明!A:F,MATCH(I403,数据元说明!C:C,0),2)</f>
        <v>003003</v>
      </c>
      <c r="K403" s="68" t="str">
        <f>INDEX(数据元说明!A:F,MATCH(I403,数据元说明!C:C,0),5)</f>
        <v>机构实际使用的总账会计科目编码对应的名称。</v>
      </c>
      <c r="L403" s="67" t="str">
        <f>INDEX(数据元说明!A:F,MATCH(I403,数据元说明!C:C,0),6)</f>
        <v>C..300</v>
      </c>
      <c r="M403" s="68" t="s">
        <v>2127</v>
      </c>
      <c r="N403" s="68" t="s">
        <v>1583</v>
      </c>
      <c r="O403" s="68" t="s">
        <v>484</v>
      </c>
      <c r="P403" s="68"/>
    </row>
    <row r="404" ht="39.95" hidden="1" customHeight="1" outlineLevel="1" spans="1:16">
      <c r="A404" s="70"/>
      <c r="B404" s="71"/>
      <c r="C404" s="59" t="s">
        <v>110</v>
      </c>
      <c r="D404" s="59" t="s">
        <v>2212</v>
      </c>
      <c r="E404" s="65">
        <v>405</v>
      </c>
      <c r="F404" s="67" t="s">
        <v>488</v>
      </c>
      <c r="G404" s="65">
        <v>40506</v>
      </c>
      <c r="H404" s="67" t="s">
        <v>1699</v>
      </c>
      <c r="I404" s="67" t="s">
        <v>488</v>
      </c>
      <c r="J404" s="67" t="str">
        <f>INDEX(数据元说明!A:F,MATCH(I404,数据元说明!C:C,0),2)</f>
        <v>002001</v>
      </c>
      <c r="K404" s="68" t="str">
        <f>INDEX(数据元说明!A:F,MATCH(I404,数据元说明!C:C,0),5)</f>
        <v>银行自定义的唯一识别客户的标识。供应链融资的填写供应链融资编码。</v>
      </c>
      <c r="L404" s="67" t="str">
        <f>INDEX(数据元说明!A:F,MATCH(I404,数据元说明!C:C,0),6)</f>
        <v>C..60</v>
      </c>
      <c r="M404" s="68" t="s">
        <v>2213</v>
      </c>
      <c r="N404" s="68" t="s">
        <v>1583</v>
      </c>
      <c r="O404" s="68"/>
      <c r="P404" s="68" t="s">
        <v>1634</v>
      </c>
    </row>
    <row r="405" ht="39.95" hidden="1" customHeight="1" outlineLevel="1" spans="1:16">
      <c r="A405" s="70"/>
      <c r="B405" s="71"/>
      <c r="C405" s="59" t="s">
        <v>110</v>
      </c>
      <c r="D405" s="59" t="s">
        <v>2212</v>
      </c>
      <c r="E405" s="65">
        <v>405</v>
      </c>
      <c r="F405" s="67" t="s">
        <v>646</v>
      </c>
      <c r="G405" s="65">
        <v>40507</v>
      </c>
      <c r="H405" s="67" t="s">
        <v>2131</v>
      </c>
      <c r="I405" s="67" t="s">
        <v>646</v>
      </c>
      <c r="J405" s="67" t="str">
        <f>INDEX(数据元说明!A:F,MATCH(I405,数据元说明!C:C,0),2)</f>
        <v>003011</v>
      </c>
      <c r="K405" s="68" t="str">
        <f>INDEX(数据元说明!A:F,MATCH(I405,数据元说明!C:C,0),5)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405" s="67" t="str">
        <f>INDEX(数据元说明!A:F,MATCH(I405,数据元说明!C:C,0),6)</f>
        <v>C..450</v>
      </c>
      <c r="M405" s="68"/>
      <c r="N405" s="68" t="s">
        <v>1583</v>
      </c>
      <c r="O405" s="68" t="s">
        <v>484</v>
      </c>
      <c r="P405" s="68"/>
    </row>
    <row r="406" ht="39.95" hidden="1" customHeight="1" outlineLevel="1" spans="1:16">
      <c r="A406" s="70"/>
      <c r="B406" s="71"/>
      <c r="C406" s="59" t="s">
        <v>110</v>
      </c>
      <c r="D406" s="59" t="s">
        <v>2212</v>
      </c>
      <c r="E406" s="65">
        <v>405</v>
      </c>
      <c r="F406" s="67" t="s">
        <v>2214</v>
      </c>
      <c r="G406" s="65">
        <v>40508</v>
      </c>
      <c r="H406" s="67" t="s">
        <v>2215</v>
      </c>
      <c r="I406" s="67" t="s">
        <v>605</v>
      </c>
      <c r="J406" s="67" t="str">
        <f>INDEX(数据元说明!A:F,MATCH(I406,数据元说明!C:C,0),2)</f>
        <v>003001</v>
      </c>
      <c r="K406" s="68" t="str">
        <f>INDEX(数据元说明!A:F,MATCH(I406,数据元说明!C:C,0),5)</f>
        <v>系统内最细一级的账号，无唯一性约束，不需要和序号、子序号等做拼接。</v>
      </c>
      <c r="L406" s="67" t="str">
        <f>INDEX(数据元说明!A:F,MATCH(I406,数据元说明!C:C,0),6)</f>
        <v>C..60</v>
      </c>
      <c r="M406" s="68" t="s">
        <v>1679</v>
      </c>
      <c r="N406" s="68" t="s">
        <v>1583</v>
      </c>
      <c r="O406" s="68" t="s">
        <v>2135</v>
      </c>
      <c r="P406" s="68" t="s">
        <v>1634</v>
      </c>
    </row>
    <row r="407" ht="39.95" hidden="1" customHeight="1" outlineLevel="1" spans="1:16">
      <c r="A407" s="70"/>
      <c r="B407" s="71"/>
      <c r="C407" s="59" t="s">
        <v>110</v>
      </c>
      <c r="D407" s="59" t="s">
        <v>2212</v>
      </c>
      <c r="E407" s="65">
        <v>405</v>
      </c>
      <c r="F407" s="67" t="s">
        <v>662</v>
      </c>
      <c r="G407" s="65">
        <v>40509</v>
      </c>
      <c r="H407" s="67" t="s">
        <v>2216</v>
      </c>
      <c r="I407" s="67" t="s">
        <v>662</v>
      </c>
      <c r="J407" s="67" t="str">
        <f>INDEX(数据元说明!A:F,MATCH(I407,数据元说明!C:C,0),2)</f>
        <v>003015</v>
      </c>
      <c r="K407" s="68" t="str">
        <f>INDEX(数据元说明!A:F,MATCH(I407,数据元说明!C:C,0),5)</f>
        <v>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v>
      </c>
      <c r="L407" s="67" t="str">
        <f>INDEX(数据元说明!A:F,MATCH(I407,数据元说明!C:C,0),6)</f>
        <v>C..60</v>
      </c>
      <c r="M407" s="68"/>
      <c r="N407" s="68" t="s">
        <v>1583</v>
      </c>
      <c r="O407" s="68" t="s">
        <v>2135</v>
      </c>
      <c r="P407" s="68"/>
    </row>
    <row r="408" ht="39.95" hidden="1" customHeight="1" outlineLevel="1" spans="1:16">
      <c r="A408" s="70"/>
      <c r="B408" s="71"/>
      <c r="C408" s="59" t="s">
        <v>110</v>
      </c>
      <c r="D408" s="59" t="s">
        <v>2212</v>
      </c>
      <c r="E408" s="65">
        <v>405</v>
      </c>
      <c r="F408" s="67" t="s">
        <v>2138</v>
      </c>
      <c r="G408" s="65">
        <v>40510</v>
      </c>
      <c r="H408" s="67" t="s">
        <v>2139</v>
      </c>
      <c r="I408" s="67" t="s">
        <v>330</v>
      </c>
      <c r="J408" s="67" t="str">
        <f>INDEX(数据元说明!A:F,MATCH(I408,数据元说明!C:C,0),2)</f>
        <v>001002</v>
      </c>
      <c r="K408" s="68" t="str">
        <f>INDEX(数据元说明!A:F,MATCH(I408,数据元说明!C:C,0),5)</f>
        <v>是，否。</v>
      </c>
      <c r="L408" s="67" t="str">
        <f>INDEX(数据元说明!A:F,MATCH(I408,数据元说明!C:C,0),6)</f>
        <v>C3</v>
      </c>
      <c r="M408" s="68"/>
      <c r="N408" s="68"/>
      <c r="O408" s="68"/>
      <c r="P408" s="68"/>
    </row>
    <row r="409" ht="39.95" hidden="1" customHeight="1" outlineLevel="1" spans="1:16">
      <c r="A409" s="70"/>
      <c r="B409" s="71"/>
      <c r="C409" s="59" t="s">
        <v>110</v>
      </c>
      <c r="D409" s="59" t="s">
        <v>2212</v>
      </c>
      <c r="E409" s="65">
        <v>405</v>
      </c>
      <c r="F409" s="67" t="s">
        <v>670</v>
      </c>
      <c r="G409" s="65">
        <v>40511</v>
      </c>
      <c r="H409" s="67" t="s">
        <v>2140</v>
      </c>
      <c r="I409" s="67" t="s">
        <v>670</v>
      </c>
      <c r="J409" s="67" t="str">
        <f>INDEX(数据元说明!A:F,MATCH(I409,数据元说明!C:C,0),2)</f>
        <v>003017</v>
      </c>
      <c r="K409" s="68" t="str">
        <f>INDEX(数据元说明!A:F,MATCH(I409,数据元说明!C:C,0),5)</f>
        <v>百分比为单位，即%，如4.5%填报为4.5。</v>
      </c>
      <c r="L409" s="67" t="str">
        <f>INDEX(数据元说明!A:F,MATCH(I409,数据元说明!C:C,0),6)</f>
        <v>D20.4</v>
      </c>
      <c r="M409" s="68"/>
      <c r="N409" s="68"/>
      <c r="O409" s="68"/>
      <c r="P409" s="68"/>
    </row>
    <row r="410" ht="39.95" hidden="1" customHeight="1" outlineLevel="1" spans="1:16">
      <c r="A410" s="70"/>
      <c r="B410" s="71"/>
      <c r="C410" s="59" t="s">
        <v>110</v>
      </c>
      <c r="D410" s="59" t="s">
        <v>2212</v>
      </c>
      <c r="E410" s="65">
        <v>405</v>
      </c>
      <c r="F410" s="67" t="s">
        <v>642</v>
      </c>
      <c r="G410" s="65">
        <v>40512</v>
      </c>
      <c r="H410" s="67" t="s">
        <v>1914</v>
      </c>
      <c r="I410" s="67" t="s">
        <v>642</v>
      </c>
      <c r="J410" s="67" t="str">
        <f>INDEX(数据元说明!A:F,MATCH(I410,数据元说明!C:C,0),2)</f>
        <v>003010</v>
      </c>
      <c r="K410" s="68" t="str">
        <f>INDEX(数据元说明!A:F,MATCH(I410,数据元说明!C:C,0),5)</f>
        <v>遵循《GB/T 12406 表示货币和资金的代码》的字母代码，如CNY。上述文件所列币种无法涵盖的，允许银行自定义填报。多个币种合计折算为人民币（本外币合计）的，填报为BWB。</v>
      </c>
      <c r="L410" s="67" t="str">
        <f>INDEX(数据元说明!A:F,MATCH(I410,数据元说明!C:C,0),6)</f>
        <v>C3</v>
      </c>
      <c r="M410" s="68" t="s">
        <v>1587</v>
      </c>
      <c r="N410" s="68" t="s">
        <v>1583</v>
      </c>
      <c r="O410" s="68"/>
      <c r="P410" s="68" t="s">
        <v>1634</v>
      </c>
    </row>
    <row r="411" ht="39.95" hidden="1" customHeight="1" outlineLevel="1" spans="1:16">
      <c r="A411" s="70"/>
      <c r="B411" s="71"/>
      <c r="C411" s="59" t="s">
        <v>110</v>
      </c>
      <c r="D411" s="59" t="s">
        <v>2212</v>
      </c>
      <c r="E411" s="65">
        <v>405</v>
      </c>
      <c r="F411" s="67" t="s">
        <v>2141</v>
      </c>
      <c r="G411" s="65">
        <v>40513</v>
      </c>
      <c r="H411" s="67" t="s">
        <v>2142</v>
      </c>
      <c r="I411" s="67" t="s">
        <v>638</v>
      </c>
      <c r="J411" s="67" t="str">
        <f>INDEX(数据元说明!A:F,MATCH(I411,数据元说明!C:C,0),2)</f>
        <v>003009</v>
      </c>
      <c r="K411" s="68" t="str">
        <f>INDEX(数据元说明!A:F,MATCH(I411,数据元说明!C:C,0),5)</f>
        <v>与币种相对应金额。(以正数填列。如信贷分户账，某客户初次获得贷款1万元，此时余额为10000；如活期存款明细，某客户初次开户存入10000元，此时余额为10000）</v>
      </c>
      <c r="L411" s="67" t="str">
        <f>INDEX(数据元说明!A:F,MATCH(I411,数据元说明!C:C,0),6)</f>
        <v>D20.2</v>
      </c>
      <c r="M411" s="68" t="s">
        <v>2217</v>
      </c>
      <c r="N411" s="68"/>
      <c r="O411" s="68"/>
      <c r="P411" s="68"/>
    </row>
    <row r="412" ht="39.95" hidden="1" customHeight="1" outlineLevel="1" spans="1:16">
      <c r="A412" s="70"/>
      <c r="B412" s="71"/>
      <c r="C412" s="59" t="s">
        <v>110</v>
      </c>
      <c r="D412" s="59" t="s">
        <v>2212</v>
      </c>
      <c r="E412" s="65">
        <v>405</v>
      </c>
      <c r="F412" s="67" t="s">
        <v>2144</v>
      </c>
      <c r="G412" s="65">
        <v>40514</v>
      </c>
      <c r="H412" s="67" t="s">
        <v>2145</v>
      </c>
      <c r="I412" s="67" t="s">
        <v>345</v>
      </c>
      <c r="J412" s="67" t="str">
        <f>INDEX(数据元说明!A:F,MATCH(I412,数据元说明!C:C,0),2)</f>
        <v>001005</v>
      </c>
      <c r="K412" s="68" t="str">
        <f>INDEX(数据元说明!A:F,MATCH(I412,数据元说明!C:C,0),5)</f>
        <v>YYYYMMDD，默认值99991231。</v>
      </c>
      <c r="L412" s="67" t="str">
        <f>INDEX(数据元说明!A:F,MATCH(I412,数据元说明!C:C,0),6)</f>
        <v>C8</v>
      </c>
      <c r="M412" s="68" t="s">
        <v>2146</v>
      </c>
      <c r="N412" s="68" t="s">
        <v>1583</v>
      </c>
      <c r="O412" s="68"/>
      <c r="P412" s="68" t="s">
        <v>1648</v>
      </c>
    </row>
    <row r="413" ht="39.95" hidden="1" customHeight="1" outlineLevel="1" spans="1:16">
      <c r="A413" s="70"/>
      <c r="B413" s="71"/>
      <c r="C413" s="59" t="s">
        <v>110</v>
      </c>
      <c r="D413" s="59" t="s">
        <v>2212</v>
      </c>
      <c r="E413" s="65">
        <v>405</v>
      </c>
      <c r="F413" s="67" t="s">
        <v>2147</v>
      </c>
      <c r="G413" s="65">
        <v>40515</v>
      </c>
      <c r="H413" s="67" t="s">
        <v>2148</v>
      </c>
      <c r="I413" s="67" t="s">
        <v>409</v>
      </c>
      <c r="J413" s="67" t="str">
        <f>INDEX(数据元说明!A:F,MATCH(I413,数据元说明!C:C,0),2)</f>
        <v>001020</v>
      </c>
      <c r="K413" s="68" t="str">
        <f>INDEX(数据元说明!A:F,MATCH(I413,数据元说明!C:C,0),5)</f>
        <v>柜员编号，银行自定义。</v>
      </c>
      <c r="L413" s="67" t="str">
        <f>INDEX(数据元说明!A:F,MATCH(I413,数据元说明!C:C,0),6)</f>
        <v>C..30</v>
      </c>
      <c r="M413" s="69" t="s">
        <v>2014</v>
      </c>
      <c r="N413" s="68"/>
      <c r="O413" s="68"/>
      <c r="P413" s="68"/>
    </row>
    <row r="414" ht="39.95" hidden="1" customHeight="1" outlineLevel="1" spans="1:16">
      <c r="A414" s="70"/>
      <c r="B414" s="71"/>
      <c r="C414" s="59" t="s">
        <v>110</v>
      </c>
      <c r="D414" s="59" t="s">
        <v>2212</v>
      </c>
      <c r="E414" s="65">
        <v>405</v>
      </c>
      <c r="F414" s="67" t="s">
        <v>2151</v>
      </c>
      <c r="G414" s="65">
        <v>40516</v>
      </c>
      <c r="H414" s="67" t="s">
        <v>2152</v>
      </c>
      <c r="I414" s="67" t="s">
        <v>345</v>
      </c>
      <c r="J414" s="67" t="str">
        <f>INDEX(数据元说明!A:F,MATCH(I414,数据元说明!C:C,0),2)</f>
        <v>001005</v>
      </c>
      <c r="K414" s="68" t="str">
        <f>INDEX(数据元说明!A:F,MATCH(I414,数据元说明!C:C,0),5)</f>
        <v>YYYYMMDD，默认值99991231。</v>
      </c>
      <c r="L414" s="67" t="str">
        <f>INDEX(数据元说明!A:F,MATCH(I414,数据元说明!C:C,0),6)</f>
        <v>C8</v>
      </c>
      <c r="M414" s="68" t="s">
        <v>2153</v>
      </c>
      <c r="N414" s="68" t="s">
        <v>1583</v>
      </c>
      <c r="O414" s="68"/>
      <c r="P414" s="68" t="s">
        <v>1648</v>
      </c>
    </row>
    <row r="415" ht="39.95" hidden="1" customHeight="1" outlineLevel="1" spans="1:16">
      <c r="A415" s="70"/>
      <c r="B415" s="71"/>
      <c r="C415" s="59" t="s">
        <v>110</v>
      </c>
      <c r="D415" s="59" t="s">
        <v>2212</v>
      </c>
      <c r="E415" s="65">
        <v>405</v>
      </c>
      <c r="F415" s="67" t="s">
        <v>2149</v>
      </c>
      <c r="G415" s="65">
        <v>40517</v>
      </c>
      <c r="H415" s="67" t="s">
        <v>2150</v>
      </c>
      <c r="I415" s="67" t="s">
        <v>345</v>
      </c>
      <c r="J415" s="67" t="str">
        <f>INDEX(数据元说明!A:F,MATCH(I415,数据元说明!C:C,0),2)</f>
        <v>001005</v>
      </c>
      <c r="K415" s="68" t="str">
        <f>INDEX(数据元说明!A:F,MATCH(I415,数据元说明!C:C,0),5)</f>
        <v>YYYYMMDD，默认值99991231。</v>
      </c>
      <c r="L415" s="67" t="str">
        <f>INDEX(数据元说明!A:F,MATCH(I415,数据元说明!C:C,0),6)</f>
        <v>C8</v>
      </c>
      <c r="M415" s="68"/>
      <c r="N415" s="68"/>
      <c r="O415" s="68"/>
      <c r="P415" s="68"/>
    </row>
    <row r="416" ht="39.95" hidden="1" customHeight="1" outlineLevel="1" spans="1:16">
      <c r="A416" s="70"/>
      <c r="B416" s="71"/>
      <c r="C416" s="59" t="s">
        <v>110</v>
      </c>
      <c r="D416" s="59" t="s">
        <v>2212</v>
      </c>
      <c r="E416" s="65">
        <v>405</v>
      </c>
      <c r="F416" s="67" t="s">
        <v>658</v>
      </c>
      <c r="G416" s="65">
        <v>40518</v>
      </c>
      <c r="H416" s="67" t="s">
        <v>2154</v>
      </c>
      <c r="I416" s="67" t="s">
        <v>658</v>
      </c>
      <c r="J416" s="67" t="str">
        <f>INDEX(数据元说明!A:F,MATCH(I416,数据元说明!C:C,0),2)</f>
        <v>003014</v>
      </c>
      <c r="K416" s="68" t="str">
        <f>INDEX(数据元说明!A:F,MATCH(I416,数据元说明!C:C,0),5)</f>
        <v>人民币，钞，汇，可钞可汇等。其中，人民币账户填写“人民币”，外币账户填写枚举值范围为“钞，汇，可钞可汇，其他-银行自定义。无法以枚举类型填报的，以“其他-XX”填报，其中“XX”为银行自定义类型。”</v>
      </c>
      <c r="L416" s="67" t="str">
        <f>INDEX(数据元说明!A:F,MATCH(I416,数据元说明!C:C,0),6)</f>
        <v>C..12</v>
      </c>
      <c r="M416" s="68" t="s">
        <v>1587</v>
      </c>
      <c r="N416" s="68"/>
      <c r="O416" s="68"/>
      <c r="P416" s="68"/>
    </row>
    <row r="417" ht="39.95" hidden="1" customHeight="1" outlineLevel="1" spans="1:16">
      <c r="A417" s="70"/>
      <c r="B417" s="71"/>
      <c r="C417" s="59" t="s">
        <v>110</v>
      </c>
      <c r="D417" s="59" t="s">
        <v>2212</v>
      </c>
      <c r="E417" s="65">
        <v>405</v>
      </c>
      <c r="F417" s="67" t="s">
        <v>654</v>
      </c>
      <c r="G417" s="65">
        <v>40519</v>
      </c>
      <c r="H417" s="67" t="s">
        <v>2155</v>
      </c>
      <c r="I417" s="67" t="s">
        <v>654</v>
      </c>
      <c r="J417" s="67" t="str">
        <f>INDEX(数据元说明!A:F,MATCH(I417,数据元说明!C:C,0),2)</f>
        <v>003013</v>
      </c>
      <c r="K417" s="68" t="str">
        <f>INDEX(数据元说明!A:F,MATCH(I417,数据元说明!C:C,0),5)</f>
        <v>正常，预销户，销户，冻结，止付，其他-银行自定义。无法以枚举类型填报的，以“其他-XX”填报，其中“XX”为银行自定义类型。</v>
      </c>
      <c r="L417" s="67" t="str">
        <f>INDEX(数据元说明!A:F,MATCH(I417,数据元说明!C:C,0),6)</f>
        <v>C..30</v>
      </c>
      <c r="M417" s="68"/>
      <c r="N417" s="68" t="s">
        <v>1583</v>
      </c>
      <c r="O417" s="68" t="s">
        <v>321</v>
      </c>
      <c r="P417" s="68" t="s">
        <v>1648</v>
      </c>
    </row>
    <row r="418" ht="39.95" hidden="1" customHeight="1" outlineLevel="1" spans="1:16">
      <c r="A418" s="63"/>
      <c r="B418" s="64"/>
      <c r="C418" s="59" t="s">
        <v>110</v>
      </c>
      <c r="D418" s="59" t="s">
        <v>2212</v>
      </c>
      <c r="E418" s="65">
        <v>405</v>
      </c>
      <c r="F418" s="67" t="s">
        <v>484</v>
      </c>
      <c r="G418" s="65">
        <v>40520</v>
      </c>
      <c r="H418" s="67" t="s">
        <v>1623</v>
      </c>
      <c r="I418" s="67" t="s">
        <v>484</v>
      </c>
      <c r="J418" s="67" t="str">
        <f>INDEX(数据元说明!A:F,MATCH(I418,数据元说明!C:C,0),2)</f>
        <v>001038</v>
      </c>
      <c r="K418" s="68" t="str">
        <f>INDEX(数据元说明!A:F,MATCH(I418,数据元说明!C:C,0),5)</f>
        <v>银行自定义。</v>
      </c>
      <c r="L418" s="67" t="str">
        <f>INDEX(数据元说明!A:F,MATCH(I418,数据元说明!C:C,0),6)</f>
        <v>C..600</v>
      </c>
      <c r="M418" s="68" t="s">
        <v>1624</v>
      </c>
      <c r="N418" s="68" t="s">
        <v>1601</v>
      </c>
      <c r="O418" s="68"/>
      <c r="P418" s="68"/>
    </row>
    <row r="419" ht="39.95" hidden="1" customHeight="1" outlineLevel="1" spans="1:16">
      <c r="A419" s="63"/>
      <c r="B419" s="64"/>
      <c r="C419" s="59" t="s">
        <v>110</v>
      </c>
      <c r="D419" s="59" t="s">
        <v>2212</v>
      </c>
      <c r="E419" s="65">
        <v>405</v>
      </c>
      <c r="F419" s="67" t="s">
        <v>1625</v>
      </c>
      <c r="G419" s="65">
        <v>40521</v>
      </c>
      <c r="H419" s="67" t="s">
        <v>1626</v>
      </c>
      <c r="I419" s="67" t="s">
        <v>345</v>
      </c>
      <c r="J419" s="67" t="str">
        <f>INDEX(数据元说明!A:F,MATCH(I419,数据元说明!C:C,0),2)</f>
        <v>001005</v>
      </c>
      <c r="K419" s="68" t="str">
        <f>INDEX(数据元说明!A:F,MATCH(I419,数据元说明!C:C,0),5)</f>
        <v>YYYYMMDD，默认值99991231。</v>
      </c>
      <c r="L419" s="67" t="str">
        <f>INDEX(数据元说明!A:F,MATCH(I419,数据元说明!C:C,0),6)</f>
        <v>C8</v>
      </c>
      <c r="M419" s="68" t="s">
        <v>1627</v>
      </c>
      <c r="N419" s="68"/>
      <c r="O419" s="68"/>
      <c r="P419" s="68"/>
    </row>
    <row r="420" ht="39.95" hidden="1" customHeight="1" collapsed="1" spans="1:16">
      <c r="A420" s="70"/>
      <c r="B420" s="71"/>
      <c r="C420" s="59" t="s">
        <v>114</v>
      </c>
      <c r="D420" s="59" t="s">
        <v>2218</v>
      </c>
      <c r="E420" s="65">
        <v>406</v>
      </c>
      <c r="F420" s="67"/>
      <c r="G420" s="65"/>
      <c r="H420" s="67"/>
      <c r="I420" s="67"/>
      <c r="J420" s="67"/>
      <c r="K420" s="68"/>
      <c r="L420" s="67"/>
      <c r="M420" s="68" t="str">
        <f>INDEX(表结构总览!D:G,MATCH(D420,表结构总览!D:D,0),4)</f>
        <v>除计息、扣利息税外，所有影响对公存款账户余额变动的交易信息，包括结息交易，不包括查询交易。</v>
      </c>
      <c r="N420" s="68" t="s">
        <v>1583</v>
      </c>
      <c r="O420" s="68"/>
      <c r="P420" s="68"/>
    </row>
    <row r="421" ht="39.95" hidden="1" customHeight="1" spans="1:16">
      <c r="A421" s="70"/>
      <c r="B421" s="71"/>
      <c r="C421" s="59" t="s">
        <v>114</v>
      </c>
      <c r="D421" s="59" t="s">
        <v>2218</v>
      </c>
      <c r="E421" s="65">
        <v>406</v>
      </c>
      <c r="F421" s="67" t="s">
        <v>709</v>
      </c>
      <c r="G421" s="65">
        <v>40601</v>
      </c>
      <c r="H421" s="67" t="s">
        <v>2157</v>
      </c>
      <c r="I421" s="67" t="s">
        <v>709</v>
      </c>
      <c r="J421" s="67" t="str">
        <f>INDEX(数据元说明!A:F,MATCH(I421,数据元说明!C:C,0),2)</f>
        <v>004001</v>
      </c>
      <c r="K421" s="68" t="str">
        <f>INDEX(数据元说明!A:F,MATCH(I421,数据元说明!C:C,0),5)</f>
        <v>唯一标识该笔交易的编号，银行自定义。可以是业务编号，也可以是交易系统中使用的时间戳，需能够体现交易次序，如：时间戳(纳秒)：1530027865231834600。</v>
      </c>
      <c r="L421" s="67" t="str">
        <f>INDEX(数据元说明!A:F,MATCH(I421,数据元说明!C:C,0),6)</f>
        <v>C..100</v>
      </c>
      <c r="M421" s="68" t="s">
        <v>1679</v>
      </c>
      <c r="N421" s="68" t="s">
        <v>1601</v>
      </c>
      <c r="O421" s="80"/>
      <c r="P421" s="68"/>
    </row>
    <row r="422" ht="39.95" hidden="1" customHeight="1" outlineLevel="1" spans="1:16">
      <c r="A422" s="63"/>
      <c r="B422" s="64"/>
      <c r="C422" s="59" t="s">
        <v>114</v>
      </c>
      <c r="D422" s="59" t="s">
        <v>2218</v>
      </c>
      <c r="E422" s="65">
        <v>406</v>
      </c>
      <c r="F422" s="67" t="s">
        <v>373</v>
      </c>
      <c r="G422" s="65">
        <v>40602</v>
      </c>
      <c r="H422" s="67" t="s">
        <v>1588</v>
      </c>
      <c r="I422" s="67" t="s">
        <v>373</v>
      </c>
      <c r="J422" s="67" t="str">
        <f>INDEX(数据元说明!A:F,MATCH(I422,数据元说明!C:C,0),2)</f>
        <v>001011</v>
      </c>
      <c r="K422" s="68" t="str">
        <f>INDEX(数据元说明!A:F,MATCH(I422,数据元说明!C:C,0),5)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22" s="67" t="str">
        <f>INDEX(数据元说明!A:F,MATCH(I422,数据元说明!C:C,0),6)</f>
        <v>C..30</v>
      </c>
      <c r="M422" s="68" t="s">
        <v>2122</v>
      </c>
      <c r="N422" s="68" t="s">
        <v>1583</v>
      </c>
      <c r="O422" s="68" t="s">
        <v>484</v>
      </c>
      <c r="P422" s="68"/>
    </row>
    <row r="423" ht="39.95" hidden="1" customHeight="1" outlineLevel="1" spans="1:16">
      <c r="A423" s="70"/>
      <c r="B423" s="71"/>
      <c r="C423" s="59" t="s">
        <v>114</v>
      </c>
      <c r="D423" s="59" t="s">
        <v>2218</v>
      </c>
      <c r="E423" s="65">
        <v>406</v>
      </c>
      <c r="F423" s="67" t="s">
        <v>377</v>
      </c>
      <c r="G423" s="65">
        <v>40603</v>
      </c>
      <c r="H423" s="67" t="s">
        <v>1586</v>
      </c>
      <c r="I423" s="67" t="s">
        <v>377</v>
      </c>
      <c r="J423" s="67" t="str">
        <f>INDEX(数据元说明!A:F,MATCH(I423,数据元说明!C:C,0),2)</f>
        <v>001012</v>
      </c>
      <c r="K423" s="68" t="str">
        <f>INDEX(数据元说明!A:F,MATCH(I423,数据元说明!C:C,0),5)</f>
        <v>银行内部机构号。应具有标识机构的唯一性。</v>
      </c>
      <c r="L423" s="67" t="str">
        <f>INDEX(数据元说明!A:F,MATCH(I423,数据元说明!C:C,0),6)</f>
        <v>C..30</v>
      </c>
      <c r="M423" s="68" t="s">
        <v>2123</v>
      </c>
      <c r="N423" s="68"/>
      <c r="O423" s="68"/>
      <c r="P423" s="68"/>
    </row>
    <row r="424" ht="39.95" hidden="1" customHeight="1" outlineLevel="1" spans="1:16">
      <c r="A424" s="70"/>
      <c r="B424" s="71"/>
      <c r="C424" s="59" t="s">
        <v>114</v>
      </c>
      <c r="D424" s="59" t="s">
        <v>2218</v>
      </c>
      <c r="E424" s="65">
        <v>406</v>
      </c>
      <c r="F424" s="67" t="s">
        <v>2158</v>
      </c>
      <c r="G424" s="65">
        <v>40604</v>
      </c>
      <c r="H424" s="67" t="s">
        <v>2159</v>
      </c>
      <c r="I424" s="67" t="s">
        <v>377</v>
      </c>
      <c r="J424" s="67" t="str">
        <f>INDEX(数据元说明!A:F,MATCH(I424,数据元说明!C:C,0),2)</f>
        <v>001012</v>
      </c>
      <c r="K424" s="68" t="str">
        <f>INDEX(数据元说明!A:F,MATCH(I424,数据元说明!C:C,0),5)</f>
        <v>银行内部机构号。应具有标识机构的唯一性。</v>
      </c>
      <c r="L424" s="67" t="str">
        <f>INDEX(数据元说明!A:F,MATCH(I424,数据元说明!C:C,0),6)</f>
        <v>C..30</v>
      </c>
      <c r="M424" s="68" t="s">
        <v>2160</v>
      </c>
      <c r="N424" s="68"/>
      <c r="O424" s="68"/>
      <c r="P424" s="68"/>
    </row>
    <row r="425" ht="39.95" hidden="1" customHeight="1" outlineLevel="1" spans="1:16">
      <c r="A425" s="70"/>
      <c r="B425" s="71"/>
      <c r="C425" s="59" t="s">
        <v>114</v>
      </c>
      <c r="D425" s="59" t="s">
        <v>2218</v>
      </c>
      <c r="E425" s="65">
        <v>406</v>
      </c>
      <c r="F425" s="67" t="s">
        <v>1592</v>
      </c>
      <c r="G425" s="65">
        <v>40605</v>
      </c>
      <c r="H425" s="67" t="s">
        <v>1593</v>
      </c>
      <c r="I425" s="67" t="s">
        <v>325</v>
      </c>
      <c r="J425" s="67" t="str">
        <f>INDEX(数据元说明!A:F,MATCH(I425,数据元说明!C:C,0),2)</f>
        <v>001001</v>
      </c>
      <c r="K425" s="68" t="str">
        <f>INDEX(数据元说明!A:F,MATCH(I425,数据元说明!C:C,0),5)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425" s="67" t="str">
        <f>INDEX(数据元说明!A:F,MATCH(I425,数据元说明!C:C,0),6)</f>
        <v>C..450</v>
      </c>
      <c r="M425" s="68" t="s">
        <v>2124</v>
      </c>
      <c r="N425" s="68" t="s">
        <v>1583</v>
      </c>
      <c r="O425" s="68" t="s">
        <v>322</v>
      </c>
      <c r="P425" s="68" t="s">
        <v>1634</v>
      </c>
    </row>
    <row r="426" ht="39.95" hidden="1" customHeight="1" outlineLevel="1" spans="1:16">
      <c r="A426" s="70"/>
      <c r="B426" s="71"/>
      <c r="C426" s="59" t="s">
        <v>114</v>
      </c>
      <c r="D426" s="59" t="s">
        <v>2218</v>
      </c>
      <c r="E426" s="65">
        <v>406</v>
      </c>
      <c r="F426" s="67" t="s">
        <v>2125</v>
      </c>
      <c r="G426" s="65">
        <v>40606</v>
      </c>
      <c r="H426" s="67" t="s">
        <v>2126</v>
      </c>
      <c r="I426" s="67" t="s">
        <v>609</v>
      </c>
      <c r="J426" s="67" t="str">
        <f>INDEX(数据元说明!A:F,MATCH(I426,数据元说明!C:C,0),2)</f>
        <v>003002</v>
      </c>
      <c r="K426" s="68" t="str">
        <f>INDEX(数据元说明!A:F,MATCH(I426,数据元说明!C:C,0),5)</f>
        <v>机构实际使用的总账会计科目编码。</v>
      </c>
      <c r="L426" s="67" t="str">
        <f>INDEX(数据元说明!A:F,MATCH(I426,数据元说明!C:C,0),6)</f>
        <v>C..60</v>
      </c>
      <c r="M426" s="68" t="s">
        <v>2219</v>
      </c>
      <c r="N426" s="68" t="s">
        <v>1583</v>
      </c>
      <c r="O426" s="68" t="s">
        <v>1577</v>
      </c>
      <c r="P426" s="80"/>
    </row>
    <row r="427" ht="39.95" hidden="1" customHeight="1" outlineLevel="1" spans="1:16">
      <c r="A427" s="70"/>
      <c r="B427" s="71"/>
      <c r="C427" s="59" t="s">
        <v>114</v>
      </c>
      <c r="D427" s="59" t="s">
        <v>2218</v>
      </c>
      <c r="E427" s="65">
        <v>406</v>
      </c>
      <c r="F427" s="67" t="s">
        <v>2128</v>
      </c>
      <c r="G427" s="65">
        <v>40607</v>
      </c>
      <c r="H427" s="67" t="s">
        <v>2129</v>
      </c>
      <c r="I427" s="67" t="s">
        <v>613</v>
      </c>
      <c r="J427" s="67" t="str">
        <f>INDEX(数据元说明!A:F,MATCH(I427,数据元说明!C:C,0),2)</f>
        <v>003003</v>
      </c>
      <c r="K427" s="68" t="str">
        <f>INDEX(数据元说明!A:F,MATCH(I427,数据元说明!C:C,0),5)</f>
        <v>机构实际使用的总账会计科目编码对应的名称。</v>
      </c>
      <c r="L427" s="67" t="str">
        <f>INDEX(数据元说明!A:F,MATCH(I427,数据元说明!C:C,0),6)</f>
        <v>C..300</v>
      </c>
      <c r="M427" s="68" t="s">
        <v>2219</v>
      </c>
      <c r="N427" s="68" t="s">
        <v>1583</v>
      </c>
      <c r="O427" s="68" t="s">
        <v>484</v>
      </c>
      <c r="P427" s="68"/>
    </row>
    <row r="428" ht="39.95" hidden="1" customHeight="1" outlineLevel="1" spans="1:16">
      <c r="A428" s="70"/>
      <c r="B428" s="71"/>
      <c r="C428" s="59" t="s">
        <v>114</v>
      </c>
      <c r="D428" s="59" t="s">
        <v>2218</v>
      </c>
      <c r="E428" s="65">
        <v>406</v>
      </c>
      <c r="F428" s="67" t="s">
        <v>488</v>
      </c>
      <c r="G428" s="65">
        <v>40608</v>
      </c>
      <c r="H428" s="67" t="s">
        <v>1699</v>
      </c>
      <c r="I428" s="67" t="s">
        <v>488</v>
      </c>
      <c r="J428" s="67" t="str">
        <f>INDEX(数据元说明!A:F,MATCH(I428,数据元说明!C:C,0),2)</f>
        <v>002001</v>
      </c>
      <c r="K428" s="68" t="str">
        <f>INDEX(数据元说明!A:F,MATCH(I428,数据元说明!C:C,0),5)</f>
        <v>银行自定义的唯一识别客户的标识。供应链融资的填写供应链融资编码。</v>
      </c>
      <c r="L428" s="67" t="str">
        <f>INDEX(数据元说明!A:F,MATCH(I428,数据元说明!C:C,0),6)</f>
        <v>C..60</v>
      </c>
      <c r="M428" s="68" t="s">
        <v>2213</v>
      </c>
      <c r="N428" s="68" t="s">
        <v>1583</v>
      </c>
      <c r="O428" s="68"/>
      <c r="P428" s="68" t="s">
        <v>1634</v>
      </c>
    </row>
    <row r="429" ht="39.95" hidden="1" customHeight="1" outlineLevel="1" spans="1:16">
      <c r="A429" s="70"/>
      <c r="B429" s="71"/>
      <c r="C429" s="59" t="s">
        <v>114</v>
      </c>
      <c r="D429" s="59" t="s">
        <v>2218</v>
      </c>
      <c r="E429" s="65">
        <v>406</v>
      </c>
      <c r="F429" s="67" t="s">
        <v>646</v>
      </c>
      <c r="G429" s="65">
        <v>40609</v>
      </c>
      <c r="H429" s="67" t="s">
        <v>2131</v>
      </c>
      <c r="I429" s="67" t="s">
        <v>646</v>
      </c>
      <c r="J429" s="67" t="str">
        <f>INDEX(数据元说明!A:F,MATCH(I429,数据元说明!C:C,0),2)</f>
        <v>003011</v>
      </c>
      <c r="K429" s="68" t="str">
        <f>INDEX(数据元说明!A:F,MATCH(I429,数据元说明!C:C,0),5)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429" s="67" t="str">
        <f>INDEX(数据元说明!A:F,MATCH(I429,数据元说明!C:C,0),6)</f>
        <v>C..450</v>
      </c>
      <c r="M429" s="68"/>
      <c r="N429" s="68" t="s">
        <v>1583</v>
      </c>
      <c r="O429" s="68" t="s">
        <v>484</v>
      </c>
      <c r="P429" s="68" t="s">
        <v>1634</v>
      </c>
    </row>
    <row r="430" ht="39.95" hidden="1" customHeight="1" outlineLevel="1" spans="1:16">
      <c r="A430" s="70"/>
      <c r="B430" s="71"/>
      <c r="C430" s="59" t="s">
        <v>114</v>
      </c>
      <c r="D430" s="59" t="s">
        <v>2218</v>
      </c>
      <c r="E430" s="65">
        <v>406</v>
      </c>
      <c r="F430" s="67" t="s">
        <v>2214</v>
      </c>
      <c r="G430" s="65">
        <v>40610</v>
      </c>
      <c r="H430" s="67" t="s">
        <v>2215</v>
      </c>
      <c r="I430" s="67" t="s">
        <v>605</v>
      </c>
      <c r="J430" s="67" t="str">
        <f>INDEX(数据元说明!A:F,MATCH(I430,数据元说明!C:C,0),2)</f>
        <v>003001</v>
      </c>
      <c r="K430" s="68" t="str">
        <f>INDEX(数据元说明!A:F,MATCH(I430,数据元说明!C:C,0),5)</f>
        <v>系统内最细一级的账号，无唯一性约束，不需要和序号、子序号等做拼接。</v>
      </c>
      <c r="L430" s="67" t="str">
        <f>INDEX(数据元说明!A:F,MATCH(I430,数据元说明!C:C,0),6)</f>
        <v>C..60</v>
      </c>
      <c r="M430" s="69" t="s">
        <v>2220</v>
      </c>
      <c r="N430" s="68" t="s">
        <v>1583</v>
      </c>
      <c r="O430" s="68" t="s">
        <v>2135</v>
      </c>
      <c r="P430" s="68" t="s">
        <v>1634</v>
      </c>
    </row>
    <row r="431" ht="39.95" hidden="1" customHeight="1" outlineLevel="1" spans="1:16">
      <c r="A431" s="70"/>
      <c r="B431" s="71"/>
      <c r="C431" s="59" t="s">
        <v>114</v>
      </c>
      <c r="D431" s="59" t="s">
        <v>2218</v>
      </c>
      <c r="E431" s="65">
        <v>406</v>
      </c>
      <c r="F431" s="67" t="s">
        <v>704</v>
      </c>
      <c r="G431" s="65">
        <v>40611</v>
      </c>
      <c r="H431" s="67" t="s">
        <v>2163</v>
      </c>
      <c r="I431" s="67" t="s">
        <v>704</v>
      </c>
      <c r="J431" s="67" t="str">
        <f>INDEX(数据元说明!A:F,MATCH(I431,数据元说明!C:C,0),2)</f>
        <v>003025</v>
      </c>
      <c r="K431" s="68" t="str">
        <f>INDEX(数据元说明!A:F,MATCH(I431,数据元说明!C:C,0),5)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431" s="67" t="str">
        <f>INDEX(数据元说明!A:F,MATCH(I431,数据元说明!C:C,0),6)</f>
        <v>C..60</v>
      </c>
      <c r="M431" s="69"/>
      <c r="N431" s="68" t="s">
        <v>1583</v>
      </c>
      <c r="O431" s="68"/>
      <c r="P431" s="68" t="s">
        <v>1634</v>
      </c>
    </row>
    <row r="432" ht="39.95" hidden="1" customHeight="1" outlineLevel="1" spans="1:16">
      <c r="A432" s="70"/>
      <c r="B432" s="71"/>
      <c r="C432" s="59" t="s">
        <v>114</v>
      </c>
      <c r="D432" s="59" t="s">
        <v>2218</v>
      </c>
      <c r="E432" s="65">
        <v>406</v>
      </c>
      <c r="F432" s="67" t="s">
        <v>713</v>
      </c>
      <c r="G432" s="65">
        <v>40612</v>
      </c>
      <c r="H432" s="67" t="s">
        <v>2164</v>
      </c>
      <c r="I432" s="67" t="s">
        <v>713</v>
      </c>
      <c r="J432" s="67" t="str">
        <f>INDEX(数据元说明!A:F,MATCH(I432,数据元说明!C:C,0),2)</f>
        <v>004002</v>
      </c>
      <c r="K432" s="68" t="str">
        <f>INDEX(数据元说明!A:F,MATCH(I432,数据元说明!C:C,0),5)</f>
        <v>转账，取现，存现，消费，代发，代扣，代缴，结息，批量交易，贷款发放，贷款还本，贷款还息，银证业务，投资理财，其他-银行自定义类型。无法以枚举类型填报的，以“其他-XX”报送，其中“XX”为银行自定义类型。</v>
      </c>
      <c r="L432" s="67" t="str">
        <f>INDEX(数据元说明!A:F,MATCH(I432,数据元说明!C:C,0),6)</f>
        <v>C..60</v>
      </c>
      <c r="M432" s="69"/>
      <c r="N432" s="68" t="s">
        <v>1583</v>
      </c>
      <c r="O432" s="68" t="s">
        <v>321</v>
      </c>
      <c r="P432" s="68"/>
    </row>
    <row r="433" ht="39.95" hidden="1" customHeight="1" outlineLevel="1" spans="1:16">
      <c r="A433" s="70"/>
      <c r="B433" s="71"/>
      <c r="C433" s="59" t="s">
        <v>114</v>
      </c>
      <c r="D433" s="59" t="s">
        <v>2218</v>
      </c>
      <c r="E433" s="65">
        <v>406</v>
      </c>
      <c r="F433" s="67" t="s">
        <v>700</v>
      </c>
      <c r="G433" s="65">
        <v>40613</v>
      </c>
      <c r="H433" s="67" t="s">
        <v>2165</v>
      </c>
      <c r="I433" s="67" t="s">
        <v>700</v>
      </c>
      <c r="J433" s="67" t="str">
        <f>INDEX(数据元说明!A:F,MATCH(I433,数据元说明!C:C,0),2)</f>
        <v>003024</v>
      </c>
      <c r="K433" s="68" t="str">
        <f>INDEX(数据元说明!A:F,MATCH(I433,数据元说明!C:C,0),5)</f>
        <v>借，贷。</v>
      </c>
      <c r="L433" s="67" t="str">
        <f>INDEX(数据元说明!A:F,MATCH(I433,数据元说明!C:C,0),6)</f>
        <v>C3</v>
      </c>
      <c r="M433" s="68"/>
      <c r="N433" s="68" t="s">
        <v>1583</v>
      </c>
      <c r="O433" s="68" t="s">
        <v>322</v>
      </c>
      <c r="P433" s="68" t="s">
        <v>1634</v>
      </c>
    </row>
    <row r="434" ht="39.95" hidden="1" customHeight="1" outlineLevel="1" spans="1:16">
      <c r="A434" s="70"/>
      <c r="B434" s="71"/>
      <c r="C434" s="59" t="s">
        <v>114</v>
      </c>
      <c r="D434" s="59" t="s">
        <v>2218</v>
      </c>
      <c r="E434" s="65">
        <v>406</v>
      </c>
      <c r="F434" s="67" t="s">
        <v>2166</v>
      </c>
      <c r="G434" s="65">
        <v>40614</v>
      </c>
      <c r="H434" s="67" t="s">
        <v>2167</v>
      </c>
      <c r="I434" s="67" t="s">
        <v>345</v>
      </c>
      <c r="J434" s="67" t="str">
        <f>INDEX(数据元说明!A:F,MATCH(I434,数据元说明!C:C,0),2)</f>
        <v>001005</v>
      </c>
      <c r="K434" s="68" t="str">
        <f>INDEX(数据元说明!A:F,MATCH(I434,数据元说明!C:C,0),5)</f>
        <v>YYYYMMDD，默认值99991231。</v>
      </c>
      <c r="L434" s="67" t="str">
        <f>INDEX(数据元说明!A:F,MATCH(I434,数据元说明!C:C,0),6)</f>
        <v>C8</v>
      </c>
      <c r="M434" s="68" t="s">
        <v>2168</v>
      </c>
      <c r="N434" s="80"/>
      <c r="O434" s="80"/>
      <c r="P434" s="80"/>
    </row>
    <row r="435" ht="39.95" hidden="1" customHeight="1" outlineLevel="1" spans="1:16">
      <c r="A435" s="70"/>
      <c r="B435" s="71"/>
      <c r="C435" s="59" t="s">
        <v>114</v>
      </c>
      <c r="D435" s="59" t="s">
        <v>2218</v>
      </c>
      <c r="E435" s="65">
        <v>406</v>
      </c>
      <c r="F435" s="67" t="s">
        <v>2169</v>
      </c>
      <c r="G435" s="65">
        <v>40615</v>
      </c>
      <c r="H435" s="67" t="s">
        <v>2170</v>
      </c>
      <c r="I435" s="67" t="s">
        <v>355</v>
      </c>
      <c r="J435" s="67" t="str">
        <f>INDEX(数据元说明!A:F,MATCH(I435,数据元说明!C:C,0),2)</f>
        <v>001007</v>
      </c>
      <c r="K435" s="68" t="str">
        <f>INDEX(数据元说明!A:F,MATCH(I435,数据元说明!C:C,0),5)</f>
        <v>24小时制时间，精确到秒。hhmmss，默认值000000。</v>
      </c>
      <c r="L435" s="67" t="str">
        <f>INDEX(数据元说明!A:F,MATCH(I435,数据元说明!C:C,0),6)</f>
        <v>C6</v>
      </c>
      <c r="M435" s="68" t="s">
        <v>2171</v>
      </c>
      <c r="N435" s="80"/>
      <c r="O435" s="80"/>
      <c r="P435" s="80"/>
    </row>
    <row r="436" ht="39.95" hidden="1" customHeight="1" outlineLevel="1" spans="1:16">
      <c r="A436" s="70"/>
      <c r="B436" s="71"/>
      <c r="C436" s="59" t="s">
        <v>114</v>
      </c>
      <c r="D436" s="59" t="s">
        <v>2218</v>
      </c>
      <c r="E436" s="65">
        <v>406</v>
      </c>
      <c r="F436" s="67" t="s">
        <v>642</v>
      </c>
      <c r="G436" s="65">
        <v>40616</v>
      </c>
      <c r="H436" s="67" t="s">
        <v>1914</v>
      </c>
      <c r="I436" s="67" t="s">
        <v>642</v>
      </c>
      <c r="J436" s="67" t="str">
        <f>INDEX(数据元说明!A:F,MATCH(I436,数据元说明!C:C,0),2)</f>
        <v>003010</v>
      </c>
      <c r="K436" s="68" t="str">
        <f>INDEX(数据元说明!A:F,MATCH(I436,数据元说明!C:C,0),5)</f>
        <v>遵循《GB/T 12406 表示货币和资金的代码》的字母代码，如CNY。上述文件所列币种无法涵盖的，允许银行自定义填报。多个币种合计折算为人民币（本外币合计）的，填报为BWB。</v>
      </c>
      <c r="L436" s="67" t="str">
        <f>INDEX(数据元说明!A:F,MATCH(I436,数据元说明!C:C,0),6)</f>
        <v>C3</v>
      </c>
      <c r="M436" s="68"/>
      <c r="N436" s="68" t="s">
        <v>1583</v>
      </c>
      <c r="O436" s="68"/>
      <c r="P436" s="68" t="s">
        <v>1634</v>
      </c>
    </row>
    <row r="437" ht="39.95" hidden="1" customHeight="1" outlineLevel="1" spans="1:16">
      <c r="A437" s="70"/>
      <c r="B437" s="71"/>
      <c r="C437" s="59" t="s">
        <v>114</v>
      </c>
      <c r="D437" s="59" t="s">
        <v>2218</v>
      </c>
      <c r="E437" s="65">
        <v>406</v>
      </c>
      <c r="F437" s="67" t="s">
        <v>2172</v>
      </c>
      <c r="G437" s="65">
        <v>40617</v>
      </c>
      <c r="H437" s="67" t="s">
        <v>2173</v>
      </c>
      <c r="I437" s="67" t="s">
        <v>634</v>
      </c>
      <c r="J437" s="67" t="str">
        <f>INDEX(数据元说明!A:F,MATCH(I437,数据元说明!C:C,0),2)</f>
        <v>003008</v>
      </c>
      <c r="K437" s="68" t="str">
        <f>INDEX(数据元说明!A:F,MATCH(I437,数据元说明!C:C,0),5)</f>
        <v>与币种相对应金额。</v>
      </c>
      <c r="L437" s="67" t="str">
        <f>INDEX(数据元说明!A:F,MATCH(I437,数据元说明!C:C,0),6)</f>
        <v>D20.2</v>
      </c>
      <c r="M437" s="69"/>
      <c r="N437" s="68"/>
      <c r="O437" s="68"/>
      <c r="P437" s="68"/>
    </row>
    <row r="438" ht="39.95" hidden="1" customHeight="1" outlineLevel="1" spans="1:16">
      <c r="A438" s="70"/>
      <c r="B438" s="71"/>
      <c r="C438" s="59" t="s">
        <v>114</v>
      </c>
      <c r="D438" s="59" t="s">
        <v>2218</v>
      </c>
      <c r="E438" s="65">
        <v>406</v>
      </c>
      <c r="F438" s="67" t="s">
        <v>2174</v>
      </c>
      <c r="G438" s="65">
        <v>40618</v>
      </c>
      <c r="H438" s="67" t="s">
        <v>2175</v>
      </c>
      <c r="I438" s="67" t="s">
        <v>638</v>
      </c>
      <c r="J438" s="67" t="str">
        <f>INDEX(数据元说明!A:F,MATCH(I438,数据元说明!C:C,0),2)</f>
        <v>003009</v>
      </c>
      <c r="K438" s="68" t="str">
        <f>INDEX(数据元说明!A:F,MATCH(I438,数据元说明!C:C,0),5)</f>
        <v>与币种相对应金额。(以正数填列。如信贷分户账，某客户初次获得贷款1万元，此时余额为10000；如活期存款明细，某客户初次开户存入10000元，此时余额为10000）</v>
      </c>
      <c r="L438" s="67" t="str">
        <f>INDEX(数据元说明!A:F,MATCH(I438,数据元说明!C:C,0),6)</f>
        <v>D20.2</v>
      </c>
      <c r="M438" s="68" t="s">
        <v>2176</v>
      </c>
      <c r="N438" s="68"/>
      <c r="O438" s="68"/>
      <c r="P438" s="68"/>
    </row>
    <row r="439" ht="39.95" hidden="1" customHeight="1" outlineLevel="1" spans="1:16">
      <c r="A439" s="70"/>
      <c r="B439" s="71"/>
      <c r="C439" s="59" t="s">
        <v>114</v>
      </c>
      <c r="D439" s="59" t="s">
        <v>2218</v>
      </c>
      <c r="E439" s="65">
        <v>406</v>
      </c>
      <c r="F439" s="67" t="s">
        <v>2177</v>
      </c>
      <c r="G439" s="65">
        <v>40619</v>
      </c>
      <c r="H439" s="67" t="s">
        <v>2178</v>
      </c>
      <c r="I439" s="67" t="s">
        <v>704</v>
      </c>
      <c r="J439" s="67" t="str">
        <f>INDEX(数据元说明!A:F,MATCH(I439,数据元说明!C:C,0),2)</f>
        <v>003025</v>
      </c>
      <c r="K439" s="68" t="str">
        <f>INDEX(数据元说明!A:F,MATCH(I439,数据元说明!C:C,0),5)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439" s="67" t="str">
        <f>INDEX(数据元说明!A:F,MATCH(I439,数据元说明!C:C,0),6)</f>
        <v>C..60</v>
      </c>
      <c r="M439" s="68" t="s">
        <v>2179</v>
      </c>
      <c r="N439" s="80" t="s">
        <v>1583</v>
      </c>
      <c r="O439" s="80" t="s">
        <v>484</v>
      </c>
      <c r="P439" s="80"/>
    </row>
    <row r="440" ht="39.95" hidden="1" customHeight="1" outlineLevel="1" spans="1:16">
      <c r="A440" s="70"/>
      <c r="B440" s="71"/>
      <c r="C440" s="59" t="s">
        <v>114</v>
      </c>
      <c r="D440" s="59" t="s">
        <v>2218</v>
      </c>
      <c r="E440" s="65">
        <v>406</v>
      </c>
      <c r="F440" s="67" t="s">
        <v>2180</v>
      </c>
      <c r="G440" s="65">
        <v>40620</v>
      </c>
      <c r="H440" s="67" t="s">
        <v>2181</v>
      </c>
      <c r="I440" s="67" t="s">
        <v>646</v>
      </c>
      <c r="J440" s="67" t="str">
        <f>INDEX(数据元说明!A:F,MATCH(I440,数据元说明!C:C,0),2)</f>
        <v>003011</v>
      </c>
      <c r="K440" s="68" t="str">
        <f>INDEX(数据元说明!A:F,MATCH(I440,数据元说明!C:C,0),5)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440" s="67" t="str">
        <f>INDEX(数据元说明!A:F,MATCH(I440,数据元说明!C:C,0),6)</f>
        <v>C..450</v>
      </c>
      <c r="M440" s="68" t="s">
        <v>2179</v>
      </c>
      <c r="N440" s="68" t="s">
        <v>1583</v>
      </c>
      <c r="O440" s="68" t="s">
        <v>484</v>
      </c>
      <c r="P440" s="68"/>
    </row>
    <row r="441" ht="39.95" hidden="1" customHeight="1" outlineLevel="1" spans="1:16">
      <c r="A441" s="70"/>
      <c r="B441" s="71"/>
      <c r="C441" s="59" t="s">
        <v>114</v>
      </c>
      <c r="D441" s="59" t="s">
        <v>2218</v>
      </c>
      <c r="E441" s="65">
        <v>406</v>
      </c>
      <c r="F441" s="67" t="s">
        <v>2182</v>
      </c>
      <c r="G441" s="65">
        <v>40621</v>
      </c>
      <c r="H441" s="67" t="s">
        <v>2183</v>
      </c>
      <c r="I441" s="67" t="s">
        <v>369</v>
      </c>
      <c r="J441" s="67" t="str">
        <f>INDEX(数据元说明!A:F,MATCH(I441,数据元说明!C:C,0),2)</f>
        <v>001010</v>
      </c>
      <c r="K441" s="68" t="str">
        <f>INDEX(数据元说明!A:F,MATCH(I441,数据元说明!C:C,0),5)</f>
        <v>12位人行支付行号或SWIFT行号。</v>
      </c>
      <c r="L441" s="67" t="str">
        <f>INDEX(数据元说明!A:F,MATCH(I441,数据元说明!C:C,0),6)</f>
        <v>C..30</v>
      </c>
      <c r="M441" s="80" t="s">
        <v>2179</v>
      </c>
      <c r="N441" s="80" t="s">
        <v>1583</v>
      </c>
      <c r="O441" s="80" t="s">
        <v>484</v>
      </c>
      <c r="P441" s="80"/>
    </row>
    <row r="442" ht="39.95" hidden="1" customHeight="1" outlineLevel="1" spans="1:16">
      <c r="A442" s="70"/>
      <c r="B442" s="71"/>
      <c r="C442" s="59" t="s">
        <v>114</v>
      </c>
      <c r="D442" s="59" t="s">
        <v>2218</v>
      </c>
      <c r="E442" s="65">
        <v>406</v>
      </c>
      <c r="F442" s="67" t="s">
        <v>2184</v>
      </c>
      <c r="G442" s="65">
        <v>40622</v>
      </c>
      <c r="H442" s="67" t="s">
        <v>2185</v>
      </c>
      <c r="I442" s="67" t="s">
        <v>325</v>
      </c>
      <c r="J442" s="67" t="str">
        <f>INDEX(数据元说明!A:F,MATCH(I442,数据元说明!C:C,0),2)</f>
        <v>001001</v>
      </c>
      <c r="K442" s="68" t="str">
        <f>INDEX(数据元说明!A:F,MATCH(I442,数据元说明!C:C,0),5)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442" s="67" t="str">
        <f>INDEX(数据元说明!A:F,MATCH(I442,数据元说明!C:C,0),6)</f>
        <v>C..450</v>
      </c>
      <c r="M442" s="80" t="s">
        <v>2179</v>
      </c>
      <c r="N442" s="80" t="s">
        <v>1583</v>
      </c>
      <c r="O442" s="80" t="s">
        <v>1695</v>
      </c>
      <c r="P442" s="80"/>
    </row>
    <row r="443" ht="39.95" hidden="1" customHeight="1" outlineLevel="1" spans="1:16">
      <c r="A443" s="70"/>
      <c r="B443" s="71"/>
      <c r="C443" s="59" t="s">
        <v>114</v>
      </c>
      <c r="D443" s="59" t="s">
        <v>2218</v>
      </c>
      <c r="E443" s="65">
        <v>406</v>
      </c>
      <c r="F443" s="67" t="s">
        <v>725</v>
      </c>
      <c r="G443" s="65">
        <v>40623</v>
      </c>
      <c r="H443" s="67" t="s">
        <v>1792</v>
      </c>
      <c r="I443" s="67" t="s">
        <v>725</v>
      </c>
      <c r="J443" s="67" t="str">
        <f>INDEX(数据元说明!A:F,MATCH(I443,数据元说明!C:C,0),2)</f>
        <v>004005</v>
      </c>
      <c r="K443" s="68" t="str">
        <f>INDEX(数据元说明!A:F,MATCH(I443,数据元说明!C:C,0),5)</f>
        <v>银行自定义交易内容的简要描述。</v>
      </c>
      <c r="L443" s="67" t="str">
        <f>INDEX(数据元说明!A:F,MATCH(I443,数据元说明!C:C,0),6)</f>
        <v>C..600</v>
      </c>
      <c r="M443" s="68"/>
      <c r="N443" s="68" t="s">
        <v>1583</v>
      </c>
      <c r="O443" s="68" t="s">
        <v>321</v>
      </c>
      <c r="P443" s="68" t="s">
        <v>1634</v>
      </c>
    </row>
    <row r="444" ht="39.95" hidden="1" customHeight="1" outlineLevel="1" spans="1:16">
      <c r="A444" s="70"/>
      <c r="B444" s="71"/>
      <c r="C444" s="59" t="s">
        <v>114</v>
      </c>
      <c r="D444" s="59" t="s">
        <v>2218</v>
      </c>
      <c r="E444" s="65">
        <v>406</v>
      </c>
      <c r="F444" s="67" t="s">
        <v>729</v>
      </c>
      <c r="G444" s="65">
        <v>40624</v>
      </c>
      <c r="H444" s="67" t="s">
        <v>2186</v>
      </c>
      <c r="I444" s="67" t="s">
        <v>729</v>
      </c>
      <c r="J444" s="67" t="str">
        <f>INDEX(数据元说明!A:F,MATCH(I444,数据元说明!C:C,0),2)</f>
        <v>004006</v>
      </c>
      <c r="K444" s="68" t="str">
        <f>INDEX(数据元说明!A:F,MATCH(I444,数据元说明!C:C,0),5)</f>
        <v>客户在交易凭证上的真实备注、附言。</v>
      </c>
      <c r="L444" s="67" t="str">
        <f>INDEX(数据元说明!A:F,MATCH(I444,数据元说明!C:C,0),6)</f>
        <v>C..600</v>
      </c>
      <c r="M444" s="68"/>
      <c r="N444" s="68" t="s">
        <v>1601</v>
      </c>
      <c r="O444" s="68"/>
      <c r="P444" s="68"/>
    </row>
    <row r="445" ht="39.95" hidden="1" customHeight="1" outlineLevel="1" spans="1:16">
      <c r="A445" s="70"/>
      <c r="B445" s="71"/>
      <c r="C445" s="59" t="s">
        <v>114</v>
      </c>
      <c r="D445" s="59" t="s">
        <v>2218</v>
      </c>
      <c r="E445" s="65">
        <v>406</v>
      </c>
      <c r="F445" s="67" t="s">
        <v>733</v>
      </c>
      <c r="G445" s="65">
        <v>40625</v>
      </c>
      <c r="H445" s="67" t="s">
        <v>2187</v>
      </c>
      <c r="I445" s="67" t="s">
        <v>733</v>
      </c>
      <c r="J445" s="67" t="str">
        <f>INDEX(数据元说明!A:F,MATCH(I445,数据元说明!C:C,0),2)</f>
        <v>004007</v>
      </c>
      <c r="K445" s="68" t="str">
        <f>INDEX(数据元说明!A:F,MATCH(I445,数据元说明!C:C,0),5)</f>
        <v>正常，冲补抹。</v>
      </c>
      <c r="L445" s="67" t="str">
        <f>INDEX(数据元说明!A:F,MATCH(I445,数据元说明!C:C,0),6)</f>
        <v>C..9</v>
      </c>
      <c r="M445" s="68" t="s">
        <v>2188</v>
      </c>
      <c r="N445" s="68" t="s">
        <v>1583</v>
      </c>
      <c r="O445" s="68"/>
      <c r="P445" s="68" t="s">
        <v>1634</v>
      </c>
    </row>
    <row r="446" ht="39.95" hidden="1" customHeight="1" outlineLevel="1" spans="1:16">
      <c r="A446" s="70"/>
      <c r="B446" s="71"/>
      <c r="C446" s="59" t="s">
        <v>114</v>
      </c>
      <c r="D446" s="59" t="s">
        <v>2218</v>
      </c>
      <c r="E446" s="65">
        <v>406</v>
      </c>
      <c r="F446" s="67" t="s">
        <v>721</v>
      </c>
      <c r="G446" s="65">
        <v>40626</v>
      </c>
      <c r="H446" s="67" t="s">
        <v>2189</v>
      </c>
      <c r="I446" s="67" t="s">
        <v>721</v>
      </c>
      <c r="J446" s="67" t="str">
        <f>INDEX(数据元说明!A:F,MATCH(I446,数据元说明!C:C,0),2)</f>
        <v>004004</v>
      </c>
      <c r="K446" s="68" t="str">
        <f>INDEX(数据元说明!A:F,MATCH(I446,数据元说明!C:C,0),5)</f>
        <v>现，转。</v>
      </c>
      <c r="L446" s="67" t="str">
        <f>INDEX(数据元说明!A:F,MATCH(I446,数据元说明!C:C,0),6)</f>
        <v>C3</v>
      </c>
      <c r="M446" s="68" t="s">
        <v>2190</v>
      </c>
      <c r="N446" s="68" t="s">
        <v>1583</v>
      </c>
      <c r="O446" s="68" t="s">
        <v>484</v>
      </c>
      <c r="P446" s="68"/>
    </row>
    <row r="447" ht="39.95" hidden="1" customHeight="1" outlineLevel="1" spans="1:16">
      <c r="A447" s="70"/>
      <c r="B447" s="71"/>
      <c r="C447" s="59" t="s">
        <v>114</v>
      </c>
      <c r="D447" s="59" t="s">
        <v>2218</v>
      </c>
      <c r="E447" s="65">
        <v>406</v>
      </c>
      <c r="F447" s="67" t="s">
        <v>717</v>
      </c>
      <c r="G447" s="65">
        <v>40627</v>
      </c>
      <c r="H447" s="67" t="s">
        <v>2191</v>
      </c>
      <c r="I447" s="67" t="s">
        <v>717</v>
      </c>
      <c r="J447" s="67" t="str">
        <f>INDEX(数据元说明!A:F,MATCH(I447,数据元说明!C:C,0),2)</f>
        <v>004003</v>
      </c>
      <c r="K447" s="68" t="str">
        <f>INDEX(数据元说明!A:F,MATCH(I447,数据元说明!C:C,0),5)</f>
        <v>柜面，ATM，VTM，POS，网银，手机银行，银联交易，第三方支付-银行自定义，其他-银行自定义。交易类型为第三方支付的，以“第三方支付-XX”填报，其中“XX”为第三方支付平台名称。如无法以枚举类型填报，则以“其他-XX”填报，其中“XX”为银行自定义类型。</v>
      </c>
      <c r="L447" s="67" t="str">
        <f>INDEX(数据元说明!A:F,MATCH(I447,数据元说明!C:C,0),6)</f>
        <v>C..60</v>
      </c>
      <c r="M447" s="69" t="s">
        <v>2221</v>
      </c>
      <c r="N447" s="68" t="s">
        <v>1583</v>
      </c>
      <c r="O447" s="68" t="s">
        <v>321</v>
      </c>
      <c r="P447" s="68" t="s">
        <v>1648</v>
      </c>
    </row>
    <row r="448" ht="39.95" hidden="1" customHeight="1" outlineLevel="1" spans="1:16">
      <c r="A448" s="70"/>
      <c r="B448" s="71"/>
      <c r="C448" s="59" t="s">
        <v>114</v>
      </c>
      <c r="D448" s="59" t="s">
        <v>2218</v>
      </c>
      <c r="E448" s="65">
        <v>406</v>
      </c>
      <c r="F448" s="67" t="s">
        <v>475</v>
      </c>
      <c r="G448" s="65">
        <v>40628</v>
      </c>
      <c r="H448" s="67" t="s">
        <v>2193</v>
      </c>
      <c r="I448" s="67" t="s">
        <v>475</v>
      </c>
      <c r="J448" s="67" t="str">
        <f>INDEX(数据元说明!A:F,MATCH(I448,数据元说明!C:C,0),2)</f>
        <v>001036</v>
      </c>
      <c r="K448" s="68" t="str">
        <f>INDEX(数据元说明!A:F,MATCH(I448,数据元说明!C:C,0),5)</f>
        <v>点分十进制格式表示的IPV4地址，或者IPV6地址。</v>
      </c>
      <c r="L448" s="67" t="str">
        <f>INDEX(数据元说明!A:F,MATCH(I448,数据元说明!C:C,0),6)</f>
        <v>C..40</v>
      </c>
      <c r="M448" s="69" t="s">
        <v>2194</v>
      </c>
      <c r="N448" s="68" t="s">
        <v>1601</v>
      </c>
      <c r="O448" s="68"/>
      <c r="P448" s="68"/>
    </row>
    <row r="449" ht="39.95" hidden="1" customHeight="1" outlineLevel="1" spans="1:16">
      <c r="A449" s="70"/>
      <c r="B449" s="71"/>
      <c r="C449" s="59" t="s">
        <v>114</v>
      </c>
      <c r="D449" s="59" t="s">
        <v>2218</v>
      </c>
      <c r="E449" s="65">
        <v>406</v>
      </c>
      <c r="F449" s="67" t="s">
        <v>480</v>
      </c>
      <c r="G449" s="65">
        <v>40629</v>
      </c>
      <c r="H449" s="67" t="s">
        <v>2195</v>
      </c>
      <c r="I449" s="67" t="s">
        <v>480</v>
      </c>
      <c r="J449" s="67" t="str">
        <f>INDEX(数据元说明!A:F,MATCH(I449,数据元说明!C:C,0),2)</f>
        <v>001037</v>
      </c>
      <c r="K449" s="68" t="str">
        <f>INDEX(数据元说明!A:F,MATCH(I449,数据元说明!C:C,0),5)</f>
        <v>网络设备唯一的网络标识：
1.可以是MAC地址，以12个16进制数表示（6个字节），每个字节以英文半角冒号（:）隔开。
2.若交易渠道为网银、手机银行，Android7.0以上系统可填报设备IMEI码；IOS7以上系统科填报UUID码，唯一对应设备即可。</v>
      </c>
      <c r="L449" s="67" t="str">
        <f>INDEX(数据元说明!A:F,MATCH(I449,数据元说明!C:C,0),6)</f>
        <v>C..60</v>
      </c>
      <c r="M449" s="69" t="s">
        <v>2196</v>
      </c>
      <c r="N449" s="68" t="s">
        <v>1601</v>
      </c>
      <c r="O449" s="68"/>
      <c r="P449" s="68"/>
    </row>
    <row r="450" ht="39.95" hidden="1" customHeight="1" outlineLevel="1" spans="1:16">
      <c r="A450" s="70"/>
      <c r="B450" s="71"/>
      <c r="C450" s="59" t="s">
        <v>114</v>
      </c>
      <c r="D450" s="59" t="s">
        <v>2218</v>
      </c>
      <c r="E450" s="65">
        <v>406</v>
      </c>
      <c r="F450" s="67" t="s">
        <v>2207</v>
      </c>
      <c r="G450" s="65">
        <v>40630</v>
      </c>
      <c r="H450" s="67" t="s">
        <v>2208</v>
      </c>
      <c r="I450" s="67" t="s">
        <v>409</v>
      </c>
      <c r="J450" s="67" t="str">
        <f>INDEX(数据元说明!A:F,MATCH(I450,数据元说明!C:C,0),2)</f>
        <v>001020</v>
      </c>
      <c r="K450" s="68" t="str">
        <f>INDEX(数据元说明!A:F,MATCH(I450,数据元说明!C:C,0),5)</f>
        <v>柜员编号，银行自定义。</v>
      </c>
      <c r="L450" s="67" t="str">
        <f>INDEX(数据元说明!A:F,MATCH(I450,数据元说明!C:C,0),6)</f>
        <v>C..30</v>
      </c>
      <c r="M450" s="69" t="s">
        <v>2014</v>
      </c>
      <c r="N450" s="68"/>
      <c r="O450" s="68"/>
      <c r="P450" s="68"/>
    </row>
    <row r="451" ht="39.95" hidden="1" customHeight="1" outlineLevel="1" spans="1:16">
      <c r="A451" s="70"/>
      <c r="B451" s="71"/>
      <c r="C451" s="59" t="s">
        <v>114</v>
      </c>
      <c r="D451" s="59" t="s">
        <v>2218</v>
      </c>
      <c r="E451" s="65">
        <v>406</v>
      </c>
      <c r="F451" s="67" t="s">
        <v>2209</v>
      </c>
      <c r="G451" s="65">
        <v>40631</v>
      </c>
      <c r="H451" s="67" t="s">
        <v>2210</v>
      </c>
      <c r="I451" s="67" t="s">
        <v>409</v>
      </c>
      <c r="J451" s="67" t="str">
        <f>INDEX(数据元说明!A:F,MATCH(I451,数据元说明!C:C,0),2)</f>
        <v>001020</v>
      </c>
      <c r="K451" s="68" t="str">
        <f>INDEX(数据元说明!A:F,MATCH(I451,数据元说明!C:C,0),5)</f>
        <v>柜员编号，银行自定义。</v>
      </c>
      <c r="L451" s="67" t="str">
        <f>INDEX(数据元说明!A:F,MATCH(I451,数据元说明!C:C,0),6)</f>
        <v>C..30</v>
      </c>
      <c r="M451" s="69" t="s">
        <v>2211</v>
      </c>
      <c r="N451" s="68" t="s">
        <v>1583</v>
      </c>
      <c r="O451" s="68" t="s">
        <v>484</v>
      </c>
      <c r="P451" s="68"/>
    </row>
    <row r="452" ht="39.95" hidden="1" customHeight="1" outlineLevel="1" spans="1:16">
      <c r="A452" s="63"/>
      <c r="B452" s="64"/>
      <c r="C452" s="59" t="s">
        <v>114</v>
      </c>
      <c r="D452" s="59" t="s">
        <v>2218</v>
      </c>
      <c r="E452" s="65">
        <v>406</v>
      </c>
      <c r="F452" s="67" t="s">
        <v>484</v>
      </c>
      <c r="G452" s="65">
        <v>40632</v>
      </c>
      <c r="H452" s="67" t="s">
        <v>1623</v>
      </c>
      <c r="I452" s="67" t="s">
        <v>484</v>
      </c>
      <c r="J452" s="67" t="str">
        <f>INDEX(数据元说明!A:F,MATCH(I452,数据元说明!C:C,0),2)</f>
        <v>001038</v>
      </c>
      <c r="K452" s="68" t="str">
        <f>INDEX(数据元说明!A:F,MATCH(I452,数据元说明!C:C,0),5)</f>
        <v>银行自定义。</v>
      </c>
      <c r="L452" s="67" t="str">
        <f>INDEX(数据元说明!A:F,MATCH(I452,数据元说明!C:C,0),6)</f>
        <v>C..600</v>
      </c>
      <c r="M452" s="68" t="s">
        <v>1624</v>
      </c>
      <c r="N452" s="68" t="s">
        <v>1601</v>
      </c>
      <c r="O452" s="68"/>
      <c r="P452" s="68"/>
    </row>
    <row r="453" ht="39.95" hidden="1" customHeight="1" outlineLevel="1" spans="1:16">
      <c r="A453" s="63"/>
      <c r="B453" s="64"/>
      <c r="C453" s="59" t="s">
        <v>114</v>
      </c>
      <c r="D453" s="59" t="s">
        <v>2218</v>
      </c>
      <c r="E453" s="65">
        <v>406</v>
      </c>
      <c r="F453" s="67" t="s">
        <v>1625</v>
      </c>
      <c r="G453" s="65">
        <v>40633</v>
      </c>
      <c r="H453" s="67" t="s">
        <v>1626</v>
      </c>
      <c r="I453" s="67" t="s">
        <v>345</v>
      </c>
      <c r="J453" s="67" t="str">
        <f>INDEX(数据元说明!A:F,MATCH(I453,数据元说明!C:C,0),2)</f>
        <v>001005</v>
      </c>
      <c r="K453" s="68" t="str">
        <f>INDEX(数据元说明!A:F,MATCH(I453,数据元说明!C:C,0),5)</f>
        <v>YYYYMMDD，默认值99991231。</v>
      </c>
      <c r="L453" s="67" t="str">
        <f>INDEX(数据元说明!A:F,MATCH(I453,数据元说明!C:C,0),6)</f>
        <v>C8</v>
      </c>
      <c r="M453" s="68" t="s">
        <v>1627</v>
      </c>
      <c r="N453" s="68"/>
      <c r="O453" s="68"/>
      <c r="P453" s="68"/>
    </row>
    <row r="454" ht="39.95" hidden="1" customHeight="1" collapsed="1" spans="1:16">
      <c r="A454" s="63"/>
      <c r="B454" s="64"/>
      <c r="C454" s="59" t="s">
        <v>118</v>
      </c>
      <c r="D454" s="59" t="s">
        <v>2222</v>
      </c>
      <c r="E454" s="65">
        <v>407</v>
      </c>
      <c r="F454" s="67"/>
      <c r="G454" s="65"/>
      <c r="H454" s="67"/>
      <c r="I454" s="67"/>
      <c r="J454" s="67"/>
      <c r="K454" s="68"/>
      <c r="L454" s="67"/>
      <c r="M454" s="68" t="str">
        <f>INDEX(表结构总览!D:G,MATCH(D454,表结构总览!D:D,0),4)</f>
        <v>根据会计核算科目，除单列账之外的科目原则上都归入内部账采集；单列账报送至信用卡、对公/个人等分户账中；资本账户需要报送。以内部分户账号为最小颗粒报送，如账户注销或终结，在报送该账户最终状态后的次月可不再报送。交易与核算分离的机构，应根据总账科目中划分出对应内部分户账性质的科目，自定义内部分户账号进行报送。</v>
      </c>
      <c r="N454" s="68" t="s">
        <v>1583</v>
      </c>
      <c r="O454" s="68" t="s">
        <v>484</v>
      </c>
      <c r="P454" s="68"/>
    </row>
    <row r="455" ht="39.95" hidden="1" customHeight="1" outlineLevel="1" spans="1:16">
      <c r="A455" s="63"/>
      <c r="B455" s="64"/>
      <c r="C455" s="59" t="s">
        <v>118</v>
      </c>
      <c r="D455" s="59" t="s">
        <v>2222</v>
      </c>
      <c r="E455" s="65">
        <v>407</v>
      </c>
      <c r="F455" s="67" t="s">
        <v>373</v>
      </c>
      <c r="G455" s="65">
        <v>40701</v>
      </c>
      <c r="H455" s="67" t="s">
        <v>1588</v>
      </c>
      <c r="I455" s="67" t="s">
        <v>373</v>
      </c>
      <c r="J455" s="67" t="str">
        <f>INDEX(数据元说明!A:F,MATCH(I455,数据元说明!C:C,0),2)</f>
        <v>001011</v>
      </c>
      <c r="K455" s="68" t="str">
        <f>INDEX(数据元说明!A:F,MATCH(I455,数据元说明!C:C,0),5)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55" s="67" t="str">
        <f>INDEX(数据元说明!A:F,MATCH(I455,数据元说明!C:C,0),6)</f>
        <v>C..30</v>
      </c>
      <c r="M455" s="68" t="s">
        <v>2122</v>
      </c>
      <c r="N455" s="68" t="s">
        <v>1583</v>
      </c>
      <c r="O455" s="68" t="s">
        <v>484</v>
      </c>
      <c r="P455" s="68"/>
    </row>
    <row r="456" ht="39.95" hidden="1" customHeight="1" outlineLevel="1" spans="1:16">
      <c r="A456" s="70"/>
      <c r="B456" s="71"/>
      <c r="C456" s="59" t="s">
        <v>118</v>
      </c>
      <c r="D456" s="59" t="s">
        <v>2222</v>
      </c>
      <c r="E456" s="65">
        <v>407</v>
      </c>
      <c r="F456" s="67" t="s">
        <v>377</v>
      </c>
      <c r="G456" s="65">
        <v>40702</v>
      </c>
      <c r="H456" s="67" t="s">
        <v>1586</v>
      </c>
      <c r="I456" s="67" t="s">
        <v>377</v>
      </c>
      <c r="J456" s="67" t="str">
        <f>INDEX(数据元说明!A:F,MATCH(I456,数据元说明!C:C,0),2)</f>
        <v>001012</v>
      </c>
      <c r="K456" s="68" t="str">
        <f>INDEX(数据元说明!A:F,MATCH(I456,数据元说明!C:C,0),5)</f>
        <v>银行内部机构号。应具有标识机构的唯一性。</v>
      </c>
      <c r="L456" s="67" t="str">
        <f>INDEX(数据元说明!A:F,MATCH(I456,数据元说明!C:C,0),6)</f>
        <v>C..30</v>
      </c>
      <c r="M456" s="68" t="s">
        <v>2123</v>
      </c>
      <c r="N456" s="68"/>
      <c r="O456" s="68"/>
      <c r="P456" s="68"/>
    </row>
    <row r="457" ht="39.95" hidden="1" customHeight="1" outlineLevel="1" spans="1:16">
      <c r="A457" s="70"/>
      <c r="B457" s="71"/>
      <c r="C457" s="59" t="s">
        <v>118</v>
      </c>
      <c r="D457" s="59" t="s">
        <v>2222</v>
      </c>
      <c r="E457" s="65">
        <v>407</v>
      </c>
      <c r="F457" s="67" t="s">
        <v>1592</v>
      </c>
      <c r="G457" s="65">
        <v>40703</v>
      </c>
      <c r="H457" s="67" t="s">
        <v>1593</v>
      </c>
      <c r="I457" s="67" t="s">
        <v>325</v>
      </c>
      <c r="J457" s="67" t="str">
        <f>INDEX(数据元说明!A:F,MATCH(I457,数据元说明!C:C,0),2)</f>
        <v>001001</v>
      </c>
      <c r="K457" s="68" t="str">
        <f>INDEX(数据元说明!A:F,MATCH(I457,数据元说明!C:C,0),5)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457" s="67" t="str">
        <f>INDEX(数据元说明!A:F,MATCH(I457,数据元说明!C:C,0),6)</f>
        <v>C..450</v>
      </c>
      <c r="M457" s="68" t="s">
        <v>2124</v>
      </c>
      <c r="N457" s="68" t="s">
        <v>1583</v>
      </c>
      <c r="O457" s="68" t="s">
        <v>322</v>
      </c>
      <c r="P457" s="68" t="s">
        <v>1634</v>
      </c>
    </row>
    <row r="458" ht="39.95" hidden="1" customHeight="1" outlineLevel="1" spans="1:16">
      <c r="A458" s="70"/>
      <c r="B458" s="71"/>
      <c r="C458" s="59" t="s">
        <v>118</v>
      </c>
      <c r="D458" s="59" t="s">
        <v>2222</v>
      </c>
      <c r="E458" s="65">
        <v>407</v>
      </c>
      <c r="F458" s="67" t="s">
        <v>2125</v>
      </c>
      <c r="G458" s="65">
        <v>40704</v>
      </c>
      <c r="H458" s="67" t="s">
        <v>2126</v>
      </c>
      <c r="I458" s="67" t="s">
        <v>609</v>
      </c>
      <c r="J458" s="67" t="str">
        <f>INDEX(数据元说明!A:F,MATCH(I458,数据元说明!C:C,0),2)</f>
        <v>003002</v>
      </c>
      <c r="K458" s="68" t="str">
        <f>INDEX(数据元说明!A:F,MATCH(I458,数据元说明!C:C,0),5)</f>
        <v>机构实际使用的总账会计科目编码。</v>
      </c>
      <c r="L458" s="67" t="str">
        <f>INDEX(数据元说明!A:F,MATCH(I458,数据元说明!C:C,0),6)</f>
        <v>C..60</v>
      </c>
      <c r="M458" s="68" t="s">
        <v>2219</v>
      </c>
      <c r="N458" s="68" t="s">
        <v>1583</v>
      </c>
      <c r="O458" s="68" t="s">
        <v>1577</v>
      </c>
      <c r="P458" s="68"/>
    </row>
    <row r="459" ht="39.95" hidden="1" customHeight="1" outlineLevel="1" spans="1:16">
      <c r="A459" s="70"/>
      <c r="B459" s="71"/>
      <c r="C459" s="59" t="s">
        <v>118</v>
      </c>
      <c r="D459" s="59" t="s">
        <v>2222</v>
      </c>
      <c r="E459" s="65">
        <v>407</v>
      </c>
      <c r="F459" s="67" t="s">
        <v>2128</v>
      </c>
      <c r="G459" s="65">
        <v>40705</v>
      </c>
      <c r="H459" s="67" t="s">
        <v>2129</v>
      </c>
      <c r="I459" s="67" t="s">
        <v>613</v>
      </c>
      <c r="J459" s="67" t="str">
        <f>INDEX(数据元说明!A:F,MATCH(I459,数据元说明!C:C,0),2)</f>
        <v>003003</v>
      </c>
      <c r="K459" s="68" t="str">
        <f>INDEX(数据元说明!A:F,MATCH(I459,数据元说明!C:C,0),5)</f>
        <v>机构实际使用的总账会计科目编码对应的名称。</v>
      </c>
      <c r="L459" s="67" t="str">
        <f>INDEX(数据元说明!A:F,MATCH(I459,数据元说明!C:C,0),6)</f>
        <v>C..300</v>
      </c>
      <c r="M459" s="68" t="s">
        <v>2219</v>
      </c>
      <c r="N459" s="68" t="s">
        <v>1583</v>
      </c>
      <c r="O459" s="68" t="s">
        <v>484</v>
      </c>
      <c r="P459" s="68"/>
    </row>
    <row r="460" ht="39.95" hidden="1" customHeight="1" outlineLevel="1" spans="1:16">
      <c r="A460" s="70"/>
      <c r="B460" s="71"/>
      <c r="C460" s="59" t="s">
        <v>118</v>
      </c>
      <c r="D460" s="59" t="s">
        <v>2222</v>
      </c>
      <c r="E460" s="65">
        <v>407</v>
      </c>
      <c r="F460" s="67" t="s">
        <v>646</v>
      </c>
      <c r="G460" s="65">
        <v>40706</v>
      </c>
      <c r="H460" s="67" t="s">
        <v>2131</v>
      </c>
      <c r="I460" s="67" t="s">
        <v>646</v>
      </c>
      <c r="J460" s="67" t="str">
        <f>INDEX(数据元说明!A:F,MATCH(I460,数据元说明!C:C,0),2)</f>
        <v>003011</v>
      </c>
      <c r="K460" s="68" t="str">
        <f>INDEX(数据元说明!A:F,MATCH(I460,数据元说明!C:C,0),5)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460" s="67" t="str">
        <f>INDEX(数据元说明!A:F,MATCH(I460,数据元说明!C:C,0),6)</f>
        <v>C..450</v>
      </c>
      <c r="M460" s="68" t="s">
        <v>2223</v>
      </c>
      <c r="N460" s="68" t="s">
        <v>1583</v>
      </c>
      <c r="O460" s="68" t="s">
        <v>1660</v>
      </c>
      <c r="P460" s="68" t="s">
        <v>1634</v>
      </c>
    </row>
    <row r="461" ht="39.95" hidden="1" customHeight="1" outlineLevel="1" spans="1:16">
      <c r="A461" s="63"/>
      <c r="B461" s="64"/>
      <c r="C461" s="59" t="s">
        <v>118</v>
      </c>
      <c r="D461" s="59" t="s">
        <v>2222</v>
      </c>
      <c r="E461" s="65">
        <v>407</v>
      </c>
      <c r="F461" s="67" t="s">
        <v>2224</v>
      </c>
      <c r="G461" s="65">
        <v>40707</v>
      </c>
      <c r="H461" s="67" t="s">
        <v>2225</v>
      </c>
      <c r="I461" s="67" t="s">
        <v>605</v>
      </c>
      <c r="J461" s="67" t="str">
        <f>INDEX(数据元说明!A:F,MATCH(I461,数据元说明!C:C,0),2)</f>
        <v>003001</v>
      </c>
      <c r="K461" s="68" t="str">
        <f>INDEX(数据元说明!A:F,MATCH(I461,数据元说明!C:C,0),5)</f>
        <v>系统内最细一级的账号，无唯一性约束，不需要和序号、子序号等做拼接。</v>
      </c>
      <c r="L461" s="67" t="str">
        <f>INDEX(数据元说明!A:F,MATCH(I461,数据元说明!C:C,0),6)</f>
        <v>C..60</v>
      </c>
      <c r="M461" s="68" t="s">
        <v>1587</v>
      </c>
      <c r="N461" s="68" t="s">
        <v>1583</v>
      </c>
      <c r="O461" s="68"/>
      <c r="P461" s="68" t="s">
        <v>1634</v>
      </c>
    </row>
    <row r="462" ht="39.95" hidden="1" customHeight="1" outlineLevel="1" spans="1:16">
      <c r="A462" s="70"/>
      <c r="B462" s="71"/>
      <c r="C462" s="59" t="s">
        <v>118</v>
      </c>
      <c r="D462" s="59" t="s">
        <v>2222</v>
      </c>
      <c r="E462" s="65">
        <v>407</v>
      </c>
      <c r="F462" s="67" t="s">
        <v>642</v>
      </c>
      <c r="G462" s="65">
        <v>40708</v>
      </c>
      <c r="H462" s="67" t="s">
        <v>1914</v>
      </c>
      <c r="I462" s="67" t="s">
        <v>642</v>
      </c>
      <c r="J462" s="67" t="str">
        <f>INDEX(数据元说明!A:F,MATCH(I462,数据元说明!C:C,0),2)</f>
        <v>003010</v>
      </c>
      <c r="K462" s="68" t="str">
        <f>INDEX(数据元说明!A:F,MATCH(I462,数据元说明!C:C,0),5)</f>
        <v>遵循《GB/T 12406 表示货币和资金的代码》的字母代码，如CNY。上述文件所列币种无法涵盖的，允许银行自定义填报。多个币种合计折算为人民币（本外币合计）的，填报为BWB。</v>
      </c>
      <c r="L462" s="67" t="str">
        <f>INDEX(数据元说明!A:F,MATCH(I462,数据元说明!C:C,0),6)</f>
        <v>C3</v>
      </c>
      <c r="M462" s="68" t="s">
        <v>1587</v>
      </c>
      <c r="N462" s="68" t="s">
        <v>1583</v>
      </c>
      <c r="O462" s="68"/>
      <c r="P462" s="68" t="s">
        <v>1634</v>
      </c>
    </row>
    <row r="463" ht="39.95" hidden="1" customHeight="1" outlineLevel="1" spans="1:16">
      <c r="A463" s="70"/>
      <c r="B463" s="71"/>
      <c r="C463" s="59" t="s">
        <v>118</v>
      </c>
      <c r="D463" s="59" t="s">
        <v>2222</v>
      </c>
      <c r="E463" s="65">
        <v>407</v>
      </c>
      <c r="F463" s="67" t="s">
        <v>629</v>
      </c>
      <c r="G463" s="65">
        <v>40709</v>
      </c>
      <c r="H463" s="67" t="s">
        <v>2226</v>
      </c>
      <c r="I463" s="67" t="s">
        <v>629</v>
      </c>
      <c r="J463" s="67" t="str">
        <f>INDEX(数据元说明!A:F,MATCH(I463,数据元说明!C:C,0),2)</f>
        <v>003007</v>
      </c>
      <c r="K463" s="68" t="str">
        <f>INDEX(数据元说明!A:F,MATCH(I463,数据元说明!C:C,0),5)</f>
        <v>借，贷，借贷并列。</v>
      </c>
      <c r="L463" s="67" t="str">
        <f>INDEX(数据元说明!A:F,MATCH(I463,数据元说明!C:C,0),6)</f>
        <v>C..12</v>
      </c>
      <c r="M463" s="69"/>
      <c r="N463" s="68" t="s">
        <v>1583</v>
      </c>
      <c r="O463" s="68"/>
      <c r="P463" s="68" t="s">
        <v>1634</v>
      </c>
    </row>
    <row r="464" ht="39.95" hidden="1" customHeight="1" outlineLevel="1" spans="1:16">
      <c r="A464" s="70"/>
      <c r="B464" s="71"/>
      <c r="C464" s="59" t="s">
        <v>118</v>
      </c>
      <c r="D464" s="59" t="s">
        <v>2222</v>
      </c>
      <c r="E464" s="65">
        <v>407</v>
      </c>
      <c r="F464" s="67" t="s">
        <v>2227</v>
      </c>
      <c r="G464" s="65">
        <v>40710</v>
      </c>
      <c r="H464" s="67" t="s">
        <v>2228</v>
      </c>
      <c r="I464" s="67" t="s">
        <v>638</v>
      </c>
      <c r="J464" s="67" t="str">
        <f>INDEX(数据元说明!A:F,MATCH(I464,数据元说明!C:C,0),2)</f>
        <v>003009</v>
      </c>
      <c r="K464" s="68" t="str">
        <f>INDEX(数据元说明!A:F,MATCH(I464,数据元说明!C:C,0),5)</f>
        <v>与币种相对应金额。(以正数填列。如信贷分户账，某客户初次获得贷款1万元，此时余额为10000；如活期存款明细，某客户初次开户存入10000元，此时余额为10000）</v>
      </c>
      <c r="L464" s="67" t="str">
        <f>INDEX(数据元说明!A:F,MATCH(I464,数据元说明!C:C,0),6)</f>
        <v>D20.2</v>
      </c>
      <c r="M464" s="69"/>
      <c r="N464" s="80"/>
      <c r="O464" s="80"/>
      <c r="P464" s="80"/>
    </row>
    <row r="465" ht="39.95" hidden="1" customHeight="1" outlineLevel="1" spans="1:16">
      <c r="A465" s="70"/>
      <c r="B465" s="71"/>
      <c r="C465" s="59" t="s">
        <v>118</v>
      </c>
      <c r="D465" s="59" t="s">
        <v>2222</v>
      </c>
      <c r="E465" s="65">
        <v>407</v>
      </c>
      <c r="F465" s="67" t="s">
        <v>2229</v>
      </c>
      <c r="G465" s="65">
        <v>40711</v>
      </c>
      <c r="H465" s="67" t="s">
        <v>2230</v>
      </c>
      <c r="I465" s="67" t="s">
        <v>638</v>
      </c>
      <c r="J465" s="67" t="str">
        <f>INDEX(数据元说明!A:F,MATCH(I465,数据元说明!C:C,0),2)</f>
        <v>003009</v>
      </c>
      <c r="K465" s="68" t="str">
        <f>INDEX(数据元说明!A:F,MATCH(I465,数据元说明!C:C,0),5)</f>
        <v>与币种相对应金额。(以正数填列。如信贷分户账，某客户初次获得贷款1万元，此时余额为10000；如活期存款明细，某客户初次开户存入10000元，此时余额为10000）</v>
      </c>
      <c r="L465" s="67" t="str">
        <f>INDEX(数据元说明!A:F,MATCH(I465,数据元说明!C:C,0),6)</f>
        <v>D20.2</v>
      </c>
      <c r="M465" s="69"/>
      <c r="N465" s="80"/>
      <c r="O465" s="80"/>
      <c r="P465" s="80"/>
    </row>
    <row r="466" ht="39.95" hidden="1" customHeight="1" outlineLevel="1" spans="1:16">
      <c r="A466" s="70"/>
      <c r="B466" s="71"/>
      <c r="C466" s="59" t="s">
        <v>118</v>
      </c>
      <c r="D466" s="59" t="s">
        <v>2222</v>
      </c>
      <c r="E466" s="65">
        <v>407</v>
      </c>
      <c r="F466" s="67" t="s">
        <v>2231</v>
      </c>
      <c r="G466" s="65">
        <v>40712</v>
      </c>
      <c r="H466" s="67" t="s">
        <v>2232</v>
      </c>
      <c r="I466" s="67" t="s">
        <v>330</v>
      </c>
      <c r="J466" s="67" t="str">
        <f>INDEX(数据元说明!A:F,MATCH(I466,数据元说明!C:C,0),2)</f>
        <v>001002</v>
      </c>
      <c r="K466" s="68" t="str">
        <f>INDEX(数据元说明!A:F,MATCH(I466,数据元说明!C:C,0),5)</f>
        <v>是，否。</v>
      </c>
      <c r="L466" s="67" t="str">
        <f>INDEX(数据元说明!A:F,MATCH(I466,数据元说明!C:C,0),6)</f>
        <v>C3</v>
      </c>
      <c r="M466" s="69"/>
      <c r="N466" s="68"/>
      <c r="O466" s="68"/>
      <c r="P466" s="68"/>
    </row>
    <row r="467" ht="39.95" hidden="1" customHeight="1" outlineLevel="1" spans="1:16">
      <c r="A467" s="70"/>
      <c r="B467" s="71"/>
      <c r="C467" s="59" t="s">
        <v>118</v>
      </c>
      <c r="D467" s="59" t="s">
        <v>2222</v>
      </c>
      <c r="E467" s="65">
        <v>407</v>
      </c>
      <c r="F467" s="67" t="s">
        <v>674</v>
      </c>
      <c r="G467" s="65">
        <v>40713</v>
      </c>
      <c r="H467" s="67" t="s">
        <v>2233</v>
      </c>
      <c r="I467" s="67" t="s">
        <v>674</v>
      </c>
      <c r="J467" s="67" t="str">
        <f>INDEX(数据元说明!A:F,MATCH(I467,数据元说明!C:C,0),2)</f>
        <v>003018</v>
      </c>
      <c r="K467" s="68" t="str">
        <f>INDEX(数据元说明!A:F,MATCH(I467,数据元说明!C:C,0),5)</f>
        <v>利息的计算方法，按月结息，按季结息，按半年结息，按年结息，不定期结息，不记利息，利随本清，其他-银行自定义。无法以枚举类型填报的，以“其他-XX”填报，其中“XX”为银行自定义类型。</v>
      </c>
      <c r="L467" s="67" t="str">
        <f>INDEX(数据元说明!A:F,MATCH(I467,数据元说明!C:C,0),6)</f>
        <v>C..60</v>
      </c>
      <c r="M467" s="69" t="s">
        <v>2234</v>
      </c>
      <c r="N467" s="68" t="s">
        <v>1583</v>
      </c>
      <c r="O467" s="68" t="s">
        <v>321</v>
      </c>
      <c r="P467" s="68" t="s">
        <v>1648</v>
      </c>
    </row>
    <row r="468" ht="39.95" hidden="1" customHeight="1" outlineLevel="1" spans="1:16">
      <c r="A468" s="70"/>
      <c r="B468" s="71"/>
      <c r="C468" s="59" t="s">
        <v>118</v>
      </c>
      <c r="D468" s="59" t="s">
        <v>2222</v>
      </c>
      <c r="E468" s="65">
        <v>407</v>
      </c>
      <c r="F468" s="67" t="s">
        <v>670</v>
      </c>
      <c r="G468" s="65">
        <v>40714</v>
      </c>
      <c r="H468" s="67" t="s">
        <v>2140</v>
      </c>
      <c r="I468" s="67" t="s">
        <v>670</v>
      </c>
      <c r="J468" s="67" t="str">
        <f>INDEX(数据元说明!A:F,MATCH(I468,数据元说明!C:C,0),2)</f>
        <v>003017</v>
      </c>
      <c r="K468" s="68" t="str">
        <f>INDEX(数据元说明!A:F,MATCH(I468,数据元说明!C:C,0),5)</f>
        <v>百分比为单位，即%，如4.5%填报为4.5。</v>
      </c>
      <c r="L468" s="67" t="str">
        <f>INDEX(数据元说明!A:F,MATCH(I468,数据元说明!C:C,0),6)</f>
        <v>D20.4</v>
      </c>
      <c r="M468" s="69"/>
      <c r="N468" s="68"/>
      <c r="O468" s="68"/>
      <c r="P468" s="68"/>
    </row>
    <row r="469" ht="39.95" hidden="1" customHeight="1" outlineLevel="1" spans="1:16">
      <c r="A469" s="70"/>
      <c r="B469" s="71"/>
      <c r="C469" s="59" t="s">
        <v>118</v>
      </c>
      <c r="D469" s="59" t="s">
        <v>2222</v>
      </c>
      <c r="E469" s="65">
        <v>407</v>
      </c>
      <c r="F469" s="67" t="s">
        <v>2144</v>
      </c>
      <c r="G469" s="65">
        <v>40715</v>
      </c>
      <c r="H469" s="67" t="s">
        <v>2145</v>
      </c>
      <c r="I469" s="67" t="s">
        <v>345</v>
      </c>
      <c r="J469" s="67" t="str">
        <f>INDEX(数据元说明!A:F,MATCH(I469,数据元说明!C:C,0),2)</f>
        <v>001005</v>
      </c>
      <c r="K469" s="68" t="str">
        <f>INDEX(数据元说明!A:F,MATCH(I469,数据元说明!C:C,0),5)</f>
        <v>YYYYMMDD，默认值99991231。</v>
      </c>
      <c r="L469" s="67" t="str">
        <f>INDEX(数据元说明!A:F,MATCH(I469,数据元说明!C:C,0),6)</f>
        <v>C8</v>
      </c>
      <c r="M469" s="69"/>
      <c r="N469" s="68"/>
      <c r="O469" s="68"/>
      <c r="P469" s="68"/>
    </row>
    <row r="470" ht="39.95" hidden="1" customHeight="1" outlineLevel="1" spans="1:16">
      <c r="A470" s="63"/>
      <c r="B470" s="64"/>
      <c r="C470" s="59" t="s">
        <v>118</v>
      </c>
      <c r="D470" s="59" t="s">
        <v>2222</v>
      </c>
      <c r="E470" s="65">
        <v>407</v>
      </c>
      <c r="F470" s="67" t="s">
        <v>2151</v>
      </c>
      <c r="G470" s="65">
        <v>40716</v>
      </c>
      <c r="H470" s="67" t="s">
        <v>2152</v>
      </c>
      <c r="I470" s="67" t="s">
        <v>345</v>
      </c>
      <c r="J470" s="67" t="str">
        <f>INDEX(数据元说明!A:F,MATCH(I470,数据元说明!C:C,0),2)</f>
        <v>001005</v>
      </c>
      <c r="K470" s="68" t="str">
        <f>INDEX(数据元说明!A:F,MATCH(I470,数据元说明!C:C,0),5)</f>
        <v>YYYYMMDD，默认值99991231。</v>
      </c>
      <c r="L470" s="67" t="str">
        <f>INDEX(数据元说明!A:F,MATCH(I470,数据元说明!C:C,0),6)</f>
        <v>C8</v>
      </c>
      <c r="M470" s="68" t="s">
        <v>2153</v>
      </c>
      <c r="N470" s="68" t="s">
        <v>1583</v>
      </c>
      <c r="O470" s="68"/>
      <c r="P470" s="68" t="s">
        <v>1648</v>
      </c>
    </row>
    <row r="471" ht="39.95" hidden="1" customHeight="1" outlineLevel="1" spans="1:16">
      <c r="A471" s="63"/>
      <c r="B471" s="64"/>
      <c r="C471" s="59" t="s">
        <v>118</v>
      </c>
      <c r="D471" s="59" t="s">
        <v>2222</v>
      </c>
      <c r="E471" s="65">
        <v>407</v>
      </c>
      <c r="F471" s="67" t="s">
        <v>654</v>
      </c>
      <c r="G471" s="65">
        <v>40717</v>
      </c>
      <c r="H471" s="67" t="s">
        <v>2155</v>
      </c>
      <c r="I471" s="67" t="s">
        <v>654</v>
      </c>
      <c r="J471" s="67" t="str">
        <f>INDEX(数据元说明!A:F,MATCH(I471,数据元说明!C:C,0),2)</f>
        <v>003013</v>
      </c>
      <c r="K471" s="68" t="str">
        <f>INDEX(数据元说明!A:F,MATCH(I471,数据元说明!C:C,0),5)</f>
        <v>正常，预销户，销户，冻结，止付，其他-银行自定义。无法以枚举类型填报的，以“其他-XX”填报，其中“XX”为银行自定义类型。</v>
      </c>
      <c r="L471" s="67" t="str">
        <f>INDEX(数据元说明!A:F,MATCH(I471,数据元说明!C:C,0),6)</f>
        <v>C..30</v>
      </c>
      <c r="M471" s="68"/>
      <c r="N471" s="68" t="s">
        <v>1583</v>
      </c>
      <c r="O471" s="68" t="s">
        <v>321</v>
      </c>
      <c r="P471" s="68" t="s">
        <v>1648</v>
      </c>
    </row>
    <row r="472" ht="39.95" hidden="1" customHeight="1" outlineLevel="1" spans="1:16">
      <c r="A472" s="63"/>
      <c r="B472" s="64"/>
      <c r="C472" s="59" t="s">
        <v>118</v>
      </c>
      <c r="D472" s="59" t="s">
        <v>2222</v>
      </c>
      <c r="E472" s="65">
        <v>407</v>
      </c>
      <c r="F472" s="67" t="s">
        <v>484</v>
      </c>
      <c r="G472" s="65">
        <v>40718</v>
      </c>
      <c r="H472" s="67" t="s">
        <v>1623</v>
      </c>
      <c r="I472" s="67" t="s">
        <v>484</v>
      </c>
      <c r="J472" s="67" t="str">
        <f>INDEX(数据元说明!A:F,MATCH(I472,数据元说明!C:C,0),2)</f>
        <v>001038</v>
      </c>
      <c r="K472" s="68" t="str">
        <f>INDEX(数据元说明!A:F,MATCH(I472,数据元说明!C:C,0),5)</f>
        <v>银行自定义。</v>
      </c>
      <c r="L472" s="67" t="str">
        <f>INDEX(数据元说明!A:F,MATCH(I472,数据元说明!C:C,0),6)</f>
        <v>C..600</v>
      </c>
      <c r="M472" s="68" t="s">
        <v>1624</v>
      </c>
      <c r="N472" s="68" t="s">
        <v>1601</v>
      </c>
      <c r="O472" s="68"/>
      <c r="P472" s="68"/>
    </row>
    <row r="473" ht="39.95" hidden="1" customHeight="1" outlineLevel="1" spans="1:16">
      <c r="A473" s="63"/>
      <c r="B473" s="64"/>
      <c r="C473" s="59" t="s">
        <v>118</v>
      </c>
      <c r="D473" s="59" t="s">
        <v>2222</v>
      </c>
      <c r="E473" s="65">
        <v>407</v>
      </c>
      <c r="F473" s="67" t="s">
        <v>1625</v>
      </c>
      <c r="G473" s="65">
        <v>40719</v>
      </c>
      <c r="H473" s="67" t="s">
        <v>1626</v>
      </c>
      <c r="I473" s="67" t="s">
        <v>345</v>
      </c>
      <c r="J473" s="67" t="str">
        <f>INDEX(数据元说明!A:F,MATCH(I473,数据元说明!C:C,0),2)</f>
        <v>001005</v>
      </c>
      <c r="K473" s="68" t="str">
        <f>INDEX(数据元说明!A:F,MATCH(I473,数据元说明!C:C,0),5)</f>
        <v>YYYYMMDD，默认值99991231。</v>
      </c>
      <c r="L473" s="67" t="str">
        <f>INDEX(数据元说明!A:F,MATCH(I473,数据元说明!C:C,0),6)</f>
        <v>C8</v>
      </c>
      <c r="M473" s="68" t="s">
        <v>1627</v>
      </c>
      <c r="N473" s="68"/>
      <c r="O473" s="68"/>
      <c r="P473" s="68"/>
    </row>
    <row r="474" ht="39.95" hidden="1" customHeight="1" collapsed="1" spans="1:16">
      <c r="A474" s="63"/>
      <c r="B474" s="64"/>
      <c r="C474" s="59" t="s">
        <v>122</v>
      </c>
      <c r="D474" s="59" t="s">
        <v>2235</v>
      </c>
      <c r="E474" s="65">
        <v>408</v>
      </c>
      <c r="F474" s="67"/>
      <c r="G474" s="65"/>
      <c r="H474" s="67"/>
      <c r="I474" s="67"/>
      <c r="J474" s="67"/>
      <c r="K474" s="68"/>
      <c r="L474" s="67"/>
      <c r="M474" s="68" t="str">
        <f>INDEX(表结构总览!D:G,MATCH(D474,表结构总览!D:D,0),4)</f>
        <v>根据会计核算科目，除单列账之外的科目原则上都归入内部账采集；单列账报送至信用卡、对公/个人等分户账中；资本账户需要报送。</v>
      </c>
      <c r="N474" s="68" t="s">
        <v>1583</v>
      </c>
      <c r="O474" s="68"/>
      <c r="P474" s="68"/>
    </row>
    <row r="475" ht="39.95" hidden="1" customHeight="1" spans="1:16">
      <c r="A475" s="70"/>
      <c r="B475" s="71"/>
      <c r="C475" s="59" t="s">
        <v>122</v>
      </c>
      <c r="D475" s="59" t="s">
        <v>2235</v>
      </c>
      <c r="E475" s="65">
        <v>408</v>
      </c>
      <c r="F475" s="67" t="s">
        <v>709</v>
      </c>
      <c r="G475" s="65">
        <v>40801</v>
      </c>
      <c r="H475" s="67" t="s">
        <v>2157</v>
      </c>
      <c r="I475" s="67" t="s">
        <v>709</v>
      </c>
      <c r="J475" s="67" t="str">
        <f>INDEX(数据元说明!A:F,MATCH(I475,数据元说明!C:C,0),2)</f>
        <v>004001</v>
      </c>
      <c r="K475" s="68" t="str">
        <f>INDEX(数据元说明!A:F,MATCH(I475,数据元说明!C:C,0),5)</f>
        <v>唯一标识该笔交易的编号，银行自定义。可以是业务编号，也可以是交易系统中使用的时间戳，需能够体现交易次序，如：时间戳(纳秒)：1530027865231834600。</v>
      </c>
      <c r="L475" s="67" t="str">
        <f>INDEX(数据元说明!A:F,MATCH(I475,数据元说明!C:C,0),6)</f>
        <v>C..100</v>
      </c>
      <c r="M475" s="68" t="s">
        <v>1679</v>
      </c>
      <c r="N475" s="68" t="s">
        <v>1601</v>
      </c>
      <c r="O475" s="80"/>
      <c r="P475" s="68"/>
    </row>
    <row r="476" ht="39.95" hidden="1" customHeight="1" outlineLevel="1" spans="1:16">
      <c r="A476" s="63"/>
      <c r="B476" s="64"/>
      <c r="C476" s="59" t="s">
        <v>122</v>
      </c>
      <c r="D476" s="59" t="s">
        <v>2235</v>
      </c>
      <c r="E476" s="65">
        <v>408</v>
      </c>
      <c r="F476" s="67" t="s">
        <v>373</v>
      </c>
      <c r="G476" s="65">
        <v>40802</v>
      </c>
      <c r="H476" s="67" t="s">
        <v>1588</v>
      </c>
      <c r="I476" s="67" t="s">
        <v>373</v>
      </c>
      <c r="J476" s="67" t="str">
        <f>INDEX(数据元说明!A:F,MATCH(I476,数据元说明!C:C,0),2)</f>
        <v>001011</v>
      </c>
      <c r="K476" s="68" t="str">
        <f>INDEX(数据元说明!A:F,MATCH(I476,数据元说明!C:C,0),5)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76" s="67" t="str">
        <f>INDEX(数据元说明!A:F,MATCH(I476,数据元说明!C:C,0),6)</f>
        <v>C..30</v>
      </c>
      <c r="M476" s="68" t="s">
        <v>2236</v>
      </c>
      <c r="N476" s="68" t="s">
        <v>1583</v>
      </c>
      <c r="O476" s="68" t="s">
        <v>484</v>
      </c>
      <c r="P476" s="68"/>
    </row>
    <row r="477" ht="39.95" hidden="1" customHeight="1" outlineLevel="1" spans="1:16">
      <c r="A477" s="63"/>
      <c r="B477" s="64"/>
      <c r="C477" s="59" t="s">
        <v>122</v>
      </c>
      <c r="D477" s="59" t="s">
        <v>2235</v>
      </c>
      <c r="E477" s="65">
        <v>408</v>
      </c>
      <c r="F477" s="67" t="s">
        <v>377</v>
      </c>
      <c r="G477" s="65">
        <v>40803</v>
      </c>
      <c r="H477" s="67" t="s">
        <v>1586</v>
      </c>
      <c r="I477" s="67" t="s">
        <v>377</v>
      </c>
      <c r="J477" s="67" t="str">
        <f>INDEX(数据元说明!A:F,MATCH(I477,数据元说明!C:C,0),2)</f>
        <v>001012</v>
      </c>
      <c r="K477" s="68" t="str">
        <f>INDEX(数据元说明!A:F,MATCH(I477,数据元说明!C:C,0),5)</f>
        <v>银行内部机构号。应具有标识机构的唯一性。</v>
      </c>
      <c r="L477" s="67" t="str">
        <f>INDEX(数据元说明!A:F,MATCH(I477,数据元说明!C:C,0),6)</f>
        <v>C..30</v>
      </c>
      <c r="M477" s="68" t="s">
        <v>2237</v>
      </c>
      <c r="N477" s="68"/>
      <c r="O477" s="68"/>
      <c r="P477" s="68"/>
    </row>
    <row r="478" ht="39.95" hidden="1" customHeight="1" outlineLevel="1" spans="1:16">
      <c r="A478" s="63"/>
      <c r="B478" s="64"/>
      <c r="C478" s="59" t="s">
        <v>122</v>
      </c>
      <c r="D478" s="59" t="s">
        <v>2235</v>
      </c>
      <c r="E478" s="65">
        <v>408</v>
      </c>
      <c r="F478" s="67" t="s">
        <v>1592</v>
      </c>
      <c r="G478" s="65">
        <v>40804</v>
      </c>
      <c r="H478" s="67" t="s">
        <v>1593</v>
      </c>
      <c r="I478" s="67" t="s">
        <v>325</v>
      </c>
      <c r="J478" s="67" t="str">
        <f>INDEX(数据元说明!A:F,MATCH(I478,数据元说明!C:C,0),2)</f>
        <v>001001</v>
      </c>
      <c r="K478" s="68" t="str">
        <f>INDEX(数据元说明!A:F,MATCH(I478,数据元说明!C:C,0),5)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478" s="67" t="str">
        <f>INDEX(数据元说明!A:F,MATCH(I478,数据元说明!C:C,0),6)</f>
        <v>C..450</v>
      </c>
      <c r="M478" s="68" t="s">
        <v>2238</v>
      </c>
      <c r="N478" s="68" t="s">
        <v>1583</v>
      </c>
      <c r="O478" s="68" t="s">
        <v>322</v>
      </c>
      <c r="P478" s="68" t="s">
        <v>1634</v>
      </c>
    </row>
    <row r="479" ht="39.95" hidden="1" customHeight="1" outlineLevel="1" spans="1:16">
      <c r="A479" s="63"/>
      <c r="B479" s="64"/>
      <c r="C479" s="59" t="s">
        <v>122</v>
      </c>
      <c r="D479" s="59" t="s">
        <v>2235</v>
      </c>
      <c r="E479" s="65">
        <v>408</v>
      </c>
      <c r="F479" s="67" t="s">
        <v>2125</v>
      </c>
      <c r="G479" s="65">
        <v>40805</v>
      </c>
      <c r="H479" s="67" t="s">
        <v>2126</v>
      </c>
      <c r="I479" s="67" t="s">
        <v>609</v>
      </c>
      <c r="J479" s="67" t="str">
        <f>INDEX(数据元说明!A:F,MATCH(I479,数据元说明!C:C,0),2)</f>
        <v>003002</v>
      </c>
      <c r="K479" s="68" t="str">
        <f>INDEX(数据元说明!A:F,MATCH(I479,数据元说明!C:C,0),5)</f>
        <v>机构实际使用的总账会计科目编码。</v>
      </c>
      <c r="L479" s="67" t="str">
        <f>INDEX(数据元说明!A:F,MATCH(I479,数据元说明!C:C,0),6)</f>
        <v>C..60</v>
      </c>
      <c r="M479" s="68" t="s">
        <v>2219</v>
      </c>
      <c r="N479" s="68" t="s">
        <v>1583</v>
      </c>
      <c r="O479" s="68" t="s">
        <v>1577</v>
      </c>
      <c r="P479" s="68"/>
    </row>
    <row r="480" ht="39.95" hidden="1" customHeight="1" outlineLevel="1" spans="1:16">
      <c r="A480" s="63"/>
      <c r="B480" s="64"/>
      <c r="C480" s="59" t="s">
        <v>122</v>
      </c>
      <c r="D480" s="59" t="s">
        <v>2235</v>
      </c>
      <c r="E480" s="65">
        <v>408</v>
      </c>
      <c r="F480" s="67" t="s">
        <v>2128</v>
      </c>
      <c r="G480" s="65">
        <v>40806</v>
      </c>
      <c r="H480" s="67" t="s">
        <v>2129</v>
      </c>
      <c r="I480" s="67" t="s">
        <v>613</v>
      </c>
      <c r="J480" s="67" t="str">
        <f>INDEX(数据元说明!A:F,MATCH(I480,数据元说明!C:C,0),2)</f>
        <v>003003</v>
      </c>
      <c r="K480" s="68" t="str">
        <f>INDEX(数据元说明!A:F,MATCH(I480,数据元说明!C:C,0),5)</f>
        <v>机构实际使用的总账会计科目编码对应的名称。</v>
      </c>
      <c r="L480" s="67" t="str">
        <f>INDEX(数据元说明!A:F,MATCH(I480,数据元说明!C:C,0),6)</f>
        <v>C..300</v>
      </c>
      <c r="M480" s="68" t="s">
        <v>2219</v>
      </c>
      <c r="N480" s="68" t="s">
        <v>1583</v>
      </c>
      <c r="O480" s="68" t="s">
        <v>484</v>
      </c>
      <c r="P480" s="68"/>
    </row>
    <row r="481" ht="39.95" hidden="1" customHeight="1" outlineLevel="1" spans="1:16">
      <c r="A481" s="63"/>
      <c r="B481" s="64"/>
      <c r="C481" s="59" t="s">
        <v>122</v>
      </c>
      <c r="D481" s="59" t="s">
        <v>2235</v>
      </c>
      <c r="E481" s="65">
        <v>408</v>
      </c>
      <c r="F481" s="67" t="s">
        <v>646</v>
      </c>
      <c r="G481" s="65">
        <v>40807</v>
      </c>
      <c r="H481" s="67" t="s">
        <v>2131</v>
      </c>
      <c r="I481" s="67" t="s">
        <v>646</v>
      </c>
      <c r="J481" s="67" t="str">
        <f>INDEX(数据元说明!A:F,MATCH(I481,数据元说明!C:C,0),2)</f>
        <v>003011</v>
      </c>
      <c r="K481" s="68" t="str">
        <f>INDEX(数据元说明!A:F,MATCH(I481,数据元说明!C:C,0),5)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481" s="67" t="str">
        <f>INDEX(数据元说明!A:F,MATCH(I481,数据元说明!C:C,0),6)</f>
        <v>C..450</v>
      </c>
      <c r="M481" s="68" t="s">
        <v>2223</v>
      </c>
      <c r="N481" s="68" t="s">
        <v>1583</v>
      </c>
      <c r="O481" s="68" t="s">
        <v>1660</v>
      </c>
      <c r="P481" s="68" t="s">
        <v>1634</v>
      </c>
    </row>
    <row r="482" ht="39.95" hidden="1" customHeight="1" outlineLevel="1" spans="1:16">
      <c r="A482" s="63"/>
      <c r="B482" s="64"/>
      <c r="C482" s="59" t="s">
        <v>122</v>
      </c>
      <c r="D482" s="59" t="s">
        <v>2235</v>
      </c>
      <c r="E482" s="65">
        <v>408</v>
      </c>
      <c r="F482" s="67" t="s">
        <v>2224</v>
      </c>
      <c r="G482" s="65">
        <v>40808</v>
      </c>
      <c r="H482" s="67" t="s">
        <v>2225</v>
      </c>
      <c r="I482" s="67" t="s">
        <v>605</v>
      </c>
      <c r="J482" s="67" t="str">
        <f>INDEX(数据元说明!A:F,MATCH(I482,数据元说明!C:C,0),2)</f>
        <v>003001</v>
      </c>
      <c r="K482" s="68" t="str">
        <f>INDEX(数据元说明!A:F,MATCH(I482,数据元说明!C:C,0),5)</f>
        <v>系统内最细一级的账号，无唯一性约束，不需要和序号、子序号等做拼接。</v>
      </c>
      <c r="L482" s="67" t="str">
        <f>INDEX(数据元说明!A:F,MATCH(I482,数据元说明!C:C,0),6)</f>
        <v>C..60</v>
      </c>
      <c r="M482" s="68" t="s">
        <v>2239</v>
      </c>
      <c r="N482" s="68" t="s">
        <v>1583</v>
      </c>
      <c r="O482" s="68"/>
      <c r="P482" s="68" t="s">
        <v>1634</v>
      </c>
    </row>
    <row r="483" ht="39.95" hidden="1" customHeight="1" outlineLevel="1" spans="1:16">
      <c r="A483" s="63"/>
      <c r="B483" s="64"/>
      <c r="C483" s="59" t="s">
        <v>122</v>
      </c>
      <c r="D483" s="59" t="s">
        <v>2235</v>
      </c>
      <c r="E483" s="65">
        <v>408</v>
      </c>
      <c r="F483" s="67" t="s">
        <v>2166</v>
      </c>
      <c r="G483" s="65">
        <v>40809</v>
      </c>
      <c r="H483" s="67" t="s">
        <v>2167</v>
      </c>
      <c r="I483" s="67" t="s">
        <v>345</v>
      </c>
      <c r="J483" s="67" t="str">
        <f>INDEX(数据元说明!A:F,MATCH(I483,数据元说明!C:C,0),2)</f>
        <v>001005</v>
      </c>
      <c r="K483" s="68" t="str">
        <f>INDEX(数据元说明!A:F,MATCH(I483,数据元说明!C:C,0),5)</f>
        <v>YYYYMMDD，默认值99991231。</v>
      </c>
      <c r="L483" s="67" t="str">
        <f>INDEX(数据元说明!A:F,MATCH(I483,数据元说明!C:C,0),6)</f>
        <v>C8</v>
      </c>
      <c r="M483" s="68" t="s">
        <v>2168</v>
      </c>
      <c r="N483" s="80"/>
      <c r="O483" s="80"/>
      <c r="P483" s="80"/>
    </row>
    <row r="484" ht="39.95" hidden="1" customHeight="1" outlineLevel="1" spans="1:16">
      <c r="A484" s="63"/>
      <c r="B484" s="64"/>
      <c r="C484" s="59" t="s">
        <v>122</v>
      </c>
      <c r="D484" s="59" t="s">
        <v>2235</v>
      </c>
      <c r="E484" s="65">
        <v>408</v>
      </c>
      <c r="F484" s="67" t="s">
        <v>2169</v>
      </c>
      <c r="G484" s="65">
        <v>40810</v>
      </c>
      <c r="H484" s="67" t="s">
        <v>2170</v>
      </c>
      <c r="I484" s="67" t="s">
        <v>355</v>
      </c>
      <c r="J484" s="67" t="str">
        <f>INDEX(数据元说明!A:F,MATCH(I484,数据元说明!C:C,0),2)</f>
        <v>001007</v>
      </c>
      <c r="K484" s="68" t="str">
        <f>INDEX(数据元说明!A:F,MATCH(I484,数据元说明!C:C,0),5)</f>
        <v>24小时制时间，精确到秒。hhmmss，默认值000000。</v>
      </c>
      <c r="L484" s="67" t="str">
        <f>INDEX(数据元说明!A:F,MATCH(I484,数据元说明!C:C,0),6)</f>
        <v>C6</v>
      </c>
      <c r="M484" s="68" t="s">
        <v>2171</v>
      </c>
      <c r="N484" s="80"/>
      <c r="O484" s="80"/>
      <c r="P484" s="80"/>
    </row>
    <row r="485" ht="39.95" hidden="1" customHeight="1" outlineLevel="1" spans="1:16">
      <c r="A485" s="63"/>
      <c r="B485" s="64"/>
      <c r="C485" s="59" t="s">
        <v>122</v>
      </c>
      <c r="D485" s="59" t="s">
        <v>2235</v>
      </c>
      <c r="E485" s="65">
        <v>408</v>
      </c>
      <c r="F485" s="67" t="s">
        <v>642</v>
      </c>
      <c r="G485" s="65">
        <v>40811</v>
      </c>
      <c r="H485" s="67" t="s">
        <v>1914</v>
      </c>
      <c r="I485" s="67" t="s">
        <v>642</v>
      </c>
      <c r="J485" s="67" t="str">
        <f>INDEX(数据元说明!A:F,MATCH(I485,数据元说明!C:C,0),2)</f>
        <v>003010</v>
      </c>
      <c r="K485" s="68" t="str">
        <f>INDEX(数据元说明!A:F,MATCH(I485,数据元说明!C:C,0),5)</f>
        <v>遵循《GB/T 12406 表示货币和资金的代码》的字母代码，如CNY。上述文件所列币种无法涵盖的，允许银行自定义填报。多个币种合计折算为人民币（本外币合计）的，填报为BWB。</v>
      </c>
      <c r="L485" s="67" t="str">
        <f>INDEX(数据元说明!A:F,MATCH(I485,数据元说明!C:C,0),6)</f>
        <v>C3</v>
      </c>
      <c r="M485" s="68"/>
      <c r="N485" s="68"/>
      <c r="O485" s="68"/>
      <c r="P485" s="68"/>
    </row>
    <row r="486" ht="39.95" hidden="1" customHeight="1" outlineLevel="1" spans="1:16">
      <c r="A486" s="63"/>
      <c r="B486" s="64"/>
      <c r="C486" s="59" t="s">
        <v>122</v>
      </c>
      <c r="D486" s="59" t="s">
        <v>2235</v>
      </c>
      <c r="E486" s="65">
        <v>408</v>
      </c>
      <c r="F486" s="67" t="s">
        <v>713</v>
      </c>
      <c r="G486" s="65">
        <v>40812</v>
      </c>
      <c r="H486" s="67" t="s">
        <v>2164</v>
      </c>
      <c r="I486" s="67" t="s">
        <v>713</v>
      </c>
      <c r="J486" s="67" t="str">
        <f>INDEX(数据元说明!A:F,MATCH(I486,数据元说明!C:C,0),2)</f>
        <v>004002</v>
      </c>
      <c r="K486" s="68" t="str">
        <f>INDEX(数据元说明!A:F,MATCH(I486,数据元说明!C:C,0),5)</f>
        <v>转账，取现，存现，消费，代发，代扣，代缴，结息，批量交易，贷款发放，贷款还本，贷款还息，银证业务，投资理财，其他-银行自定义类型。无法以枚举类型填报的，以“其他-XX”报送，其中“XX”为银行自定义类型。</v>
      </c>
      <c r="L486" s="67" t="str">
        <f>INDEX(数据元说明!A:F,MATCH(I486,数据元说明!C:C,0),6)</f>
        <v>C..60</v>
      </c>
      <c r="M486" s="68"/>
      <c r="N486" s="68" t="s">
        <v>1583</v>
      </c>
      <c r="O486" s="68" t="s">
        <v>321</v>
      </c>
      <c r="P486" s="68"/>
    </row>
    <row r="487" ht="39.95" hidden="1" customHeight="1" outlineLevel="1" spans="1:16">
      <c r="A487" s="70"/>
      <c r="B487" s="71"/>
      <c r="C487" s="59" t="s">
        <v>122</v>
      </c>
      <c r="D487" s="59" t="s">
        <v>2235</v>
      </c>
      <c r="E487" s="65">
        <v>408</v>
      </c>
      <c r="F487" s="67" t="s">
        <v>700</v>
      </c>
      <c r="G487" s="65">
        <v>40813</v>
      </c>
      <c r="H487" s="67" t="s">
        <v>2165</v>
      </c>
      <c r="I487" s="67" t="s">
        <v>700</v>
      </c>
      <c r="J487" s="67" t="str">
        <f>INDEX(数据元说明!A:F,MATCH(I487,数据元说明!C:C,0),2)</f>
        <v>003024</v>
      </c>
      <c r="K487" s="68" t="str">
        <f>INDEX(数据元说明!A:F,MATCH(I487,数据元说明!C:C,0),5)</f>
        <v>借，贷。</v>
      </c>
      <c r="L487" s="67" t="str">
        <f>INDEX(数据元说明!A:F,MATCH(I487,数据元说明!C:C,0),6)</f>
        <v>C3</v>
      </c>
      <c r="M487" s="68"/>
      <c r="N487" s="68" t="s">
        <v>1583</v>
      </c>
      <c r="O487" s="68" t="s">
        <v>322</v>
      </c>
      <c r="P487" s="68" t="s">
        <v>1634</v>
      </c>
    </row>
    <row r="488" ht="39.95" hidden="1" customHeight="1" outlineLevel="1" spans="1:16">
      <c r="A488" s="63"/>
      <c r="B488" s="64"/>
      <c r="C488" s="59" t="s">
        <v>122</v>
      </c>
      <c r="D488" s="59" t="s">
        <v>2235</v>
      </c>
      <c r="E488" s="65">
        <v>408</v>
      </c>
      <c r="F488" s="67" t="s">
        <v>2172</v>
      </c>
      <c r="G488" s="65">
        <v>40814</v>
      </c>
      <c r="H488" s="67" t="s">
        <v>2173</v>
      </c>
      <c r="I488" s="67" t="s">
        <v>634</v>
      </c>
      <c r="J488" s="67" t="str">
        <f>INDEX(数据元说明!A:F,MATCH(I488,数据元说明!C:C,0),2)</f>
        <v>003008</v>
      </c>
      <c r="K488" s="68" t="str">
        <f>INDEX(数据元说明!A:F,MATCH(I488,数据元说明!C:C,0),5)</f>
        <v>与币种相对应金额。</v>
      </c>
      <c r="L488" s="67" t="str">
        <f>INDEX(数据元说明!A:F,MATCH(I488,数据元说明!C:C,0),6)</f>
        <v>D20.2</v>
      </c>
      <c r="M488" s="68"/>
      <c r="N488" s="68"/>
      <c r="O488" s="68"/>
      <c r="P488" s="68"/>
    </row>
    <row r="489" ht="39.95" hidden="1" customHeight="1" outlineLevel="1" spans="1:16">
      <c r="A489" s="70"/>
      <c r="B489" s="71"/>
      <c r="C489" s="59" t="s">
        <v>122</v>
      </c>
      <c r="D489" s="59" t="s">
        <v>2235</v>
      </c>
      <c r="E489" s="65">
        <v>408</v>
      </c>
      <c r="F489" s="67" t="s">
        <v>2227</v>
      </c>
      <c r="G489" s="65">
        <v>40815</v>
      </c>
      <c r="H489" s="67" t="s">
        <v>2228</v>
      </c>
      <c r="I489" s="67" t="s">
        <v>638</v>
      </c>
      <c r="J489" s="67" t="str">
        <f>INDEX(数据元说明!A:F,MATCH(I489,数据元说明!C:C,0),2)</f>
        <v>003009</v>
      </c>
      <c r="K489" s="68" t="str">
        <f>INDEX(数据元说明!A:F,MATCH(I489,数据元说明!C:C,0),5)</f>
        <v>与币种相对应金额。(以正数填列。如信贷分户账，某客户初次获得贷款1万元，此时余额为10000；如活期存款明细，某客户初次开户存入10000元，此时余额为10000）</v>
      </c>
      <c r="L489" s="67" t="str">
        <f>INDEX(数据元说明!A:F,MATCH(I489,数据元说明!C:C,0),6)</f>
        <v>D20.2</v>
      </c>
      <c r="M489" s="69"/>
      <c r="N489" s="80" t="s">
        <v>1601</v>
      </c>
      <c r="O489" s="80"/>
      <c r="P489" s="80"/>
    </row>
    <row r="490" ht="39.95" hidden="1" customHeight="1" outlineLevel="1" spans="1:16">
      <c r="A490" s="70"/>
      <c r="B490" s="71"/>
      <c r="C490" s="59" t="s">
        <v>122</v>
      </c>
      <c r="D490" s="59" t="s">
        <v>2235</v>
      </c>
      <c r="E490" s="65">
        <v>408</v>
      </c>
      <c r="F490" s="67" t="s">
        <v>2229</v>
      </c>
      <c r="G490" s="65">
        <v>40816</v>
      </c>
      <c r="H490" s="67" t="s">
        <v>2230</v>
      </c>
      <c r="I490" s="67" t="s">
        <v>638</v>
      </c>
      <c r="J490" s="67" t="str">
        <f>INDEX(数据元说明!A:F,MATCH(I490,数据元说明!C:C,0),2)</f>
        <v>003009</v>
      </c>
      <c r="K490" s="68" t="str">
        <f>INDEX(数据元说明!A:F,MATCH(I490,数据元说明!C:C,0),5)</f>
        <v>与币种相对应金额。(以正数填列。如信贷分户账，某客户初次获得贷款1万元，此时余额为10000；如活期存款明细，某客户初次开户存入10000元，此时余额为10000）</v>
      </c>
      <c r="L490" s="67" t="str">
        <f>INDEX(数据元说明!A:F,MATCH(I490,数据元说明!C:C,0),6)</f>
        <v>D20.2</v>
      </c>
      <c r="M490" s="69"/>
      <c r="N490" s="80" t="s">
        <v>1601</v>
      </c>
      <c r="O490" s="80"/>
      <c r="P490" s="80"/>
    </row>
    <row r="491" ht="39.95" hidden="1" customHeight="1" outlineLevel="1" spans="1:16">
      <c r="A491" s="70"/>
      <c r="B491" s="71"/>
      <c r="C491" s="59" t="s">
        <v>122</v>
      </c>
      <c r="D491" s="59" t="s">
        <v>2235</v>
      </c>
      <c r="E491" s="65">
        <v>408</v>
      </c>
      <c r="F491" s="67" t="s">
        <v>2177</v>
      </c>
      <c r="G491" s="65">
        <v>40817</v>
      </c>
      <c r="H491" s="67" t="s">
        <v>2178</v>
      </c>
      <c r="I491" s="67" t="s">
        <v>605</v>
      </c>
      <c r="J491" s="67" t="str">
        <f>INDEX(数据元说明!A:F,MATCH(I491,数据元说明!C:C,0),2)</f>
        <v>003001</v>
      </c>
      <c r="K491" s="68" t="str">
        <f>INDEX(数据元说明!A:F,MATCH(I491,数据元说明!C:C,0),5)</f>
        <v>系统内最细一级的账号，无唯一性约束，不需要和序号、子序号等做拼接。</v>
      </c>
      <c r="L491" s="67" t="str">
        <f>INDEX(数据元说明!A:F,MATCH(I491,数据元说明!C:C,0),6)</f>
        <v>C..60</v>
      </c>
      <c r="M491" s="68" t="s">
        <v>2240</v>
      </c>
      <c r="N491" s="68" t="s">
        <v>1583</v>
      </c>
      <c r="O491" s="68" t="s">
        <v>484</v>
      </c>
      <c r="P491" s="68"/>
    </row>
    <row r="492" ht="39.95" hidden="1" customHeight="1" outlineLevel="1" spans="1:16">
      <c r="A492" s="63"/>
      <c r="B492" s="64"/>
      <c r="C492" s="59" t="s">
        <v>122</v>
      </c>
      <c r="D492" s="59" t="s">
        <v>2235</v>
      </c>
      <c r="E492" s="65">
        <v>408</v>
      </c>
      <c r="F492" s="67" t="s">
        <v>2241</v>
      </c>
      <c r="G492" s="65">
        <v>40818</v>
      </c>
      <c r="H492" s="67" t="s">
        <v>2242</v>
      </c>
      <c r="I492" s="67" t="s">
        <v>609</v>
      </c>
      <c r="J492" s="67" t="str">
        <f>INDEX(数据元说明!A:F,MATCH(I492,数据元说明!C:C,0),2)</f>
        <v>003002</v>
      </c>
      <c r="K492" s="68" t="str">
        <f>INDEX(数据元说明!A:F,MATCH(I492,数据元说明!C:C,0),5)</f>
        <v>机构实际使用的总账会计科目编码。</v>
      </c>
      <c r="L492" s="67" t="str">
        <f>INDEX(数据元说明!A:F,MATCH(I492,数据元说明!C:C,0),6)</f>
        <v>C..60</v>
      </c>
      <c r="M492" s="80" t="s">
        <v>2243</v>
      </c>
      <c r="N492" s="68" t="s">
        <v>1583</v>
      </c>
      <c r="O492" s="68" t="s">
        <v>1660</v>
      </c>
      <c r="P492" s="80"/>
    </row>
    <row r="493" ht="39.95" hidden="1" customHeight="1" outlineLevel="1" spans="1:16">
      <c r="A493" s="63"/>
      <c r="B493" s="64"/>
      <c r="C493" s="59" t="s">
        <v>122</v>
      </c>
      <c r="D493" s="59" t="s">
        <v>2235</v>
      </c>
      <c r="E493" s="65">
        <v>408</v>
      </c>
      <c r="F493" s="67" t="s">
        <v>2244</v>
      </c>
      <c r="G493" s="65">
        <v>40819</v>
      </c>
      <c r="H493" s="67" t="s">
        <v>2245</v>
      </c>
      <c r="I493" s="67" t="s">
        <v>613</v>
      </c>
      <c r="J493" s="67" t="str">
        <f>INDEX(数据元说明!A:F,MATCH(I493,数据元说明!C:C,0),2)</f>
        <v>003003</v>
      </c>
      <c r="K493" s="68" t="str">
        <f>INDEX(数据元说明!A:F,MATCH(I493,数据元说明!C:C,0),5)</f>
        <v>机构实际使用的总账会计科目编码对应的名称。</v>
      </c>
      <c r="L493" s="67" t="str">
        <f>INDEX(数据元说明!A:F,MATCH(I493,数据元说明!C:C,0),6)</f>
        <v>C..300</v>
      </c>
      <c r="M493" s="80" t="s">
        <v>2246</v>
      </c>
      <c r="N493" s="68" t="s">
        <v>1583</v>
      </c>
      <c r="O493" s="68" t="s">
        <v>484</v>
      </c>
      <c r="P493" s="80"/>
    </row>
    <row r="494" ht="39.95" hidden="1" customHeight="1" outlineLevel="1" spans="1:16">
      <c r="A494" s="70"/>
      <c r="B494" s="71"/>
      <c r="C494" s="59" t="s">
        <v>122</v>
      </c>
      <c r="D494" s="59" t="s">
        <v>2235</v>
      </c>
      <c r="E494" s="65">
        <v>408</v>
      </c>
      <c r="F494" s="67" t="s">
        <v>2180</v>
      </c>
      <c r="G494" s="65">
        <v>40820</v>
      </c>
      <c r="H494" s="67" t="s">
        <v>2181</v>
      </c>
      <c r="I494" s="67" t="s">
        <v>646</v>
      </c>
      <c r="J494" s="67" t="str">
        <f>INDEX(数据元说明!A:F,MATCH(I494,数据元说明!C:C,0),2)</f>
        <v>003011</v>
      </c>
      <c r="K494" s="68" t="str">
        <f>INDEX(数据元说明!A:F,MATCH(I494,数据元说明!C:C,0),5)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494" s="67" t="str">
        <f>INDEX(数据元说明!A:F,MATCH(I494,数据元说明!C:C,0),6)</f>
        <v>C..450</v>
      </c>
      <c r="M494" s="68" t="s">
        <v>2247</v>
      </c>
      <c r="N494" s="68" t="s">
        <v>1583</v>
      </c>
      <c r="O494" s="68" t="s">
        <v>1660</v>
      </c>
      <c r="P494" s="68"/>
    </row>
    <row r="495" ht="39.95" hidden="1" customHeight="1" outlineLevel="1" spans="1:16">
      <c r="A495" s="70"/>
      <c r="B495" s="71"/>
      <c r="C495" s="59" t="s">
        <v>122</v>
      </c>
      <c r="D495" s="59" t="s">
        <v>2235</v>
      </c>
      <c r="E495" s="65">
        <v>408</v>
      </c>
      <c r="F495" s="67" t="s">
        <v>2182</v>
      </c>
      <c r="G495" s="65">
        <v>40821</v>
      </c>
      <c r="H495" s="67" t="s">
        <v>2183</v>
      </c>
      <c r="I495" s="67" t="s">
        <v>369</v>
      </c>
      <c r="J495" s="67" t="str">
        <f>INDEX(数据元说明!A:F,MATCH(I495,数据元说明!C:C,0),2)</f>
        <v>001010</v>
      </c>
      <c r="K495" s="68" t="str">
        <f>INDEX(数据元说明!A:F,MATCH(I495,数据元说明!C:C,0),5)</f>
        <v>12位人行支付行号或SWIFT行号。</v>
      </c>
      <c r="L495" s="67" t="str">
        <f>INDEX(数据元说明!A:F,MATCH(I495,数据元说明!C:C,0),6)</f>
        <v>C..30</v>
      </c>
      <c r="M495" s="80" t="s">
        <v>2248</v>
      </c>
      <c r="N495" s="80" t="s">
        <v>1583</v>
      </c>
      <c r="O495" s="80" t="s">
        <v>484</v>
      </c>
      <c r="P495" s="80"/>
    </row>
    <row r="496" ht="39.95" hidden="1" customHeight="1" outlineLevel="1" spans="1:16">
      <c r="A496" s="70"/>
      <c r="B496" s="71"/>
      <c r="C496" s="59" t="s">
        <v>122</v>
      </c>
      <c r="D496" s="59" t="s">
        <v>2235</v>
      </c>
      <c r="E496" s="65">
        <v>408</v>
      </c>
      <c r="F496" s="67" t="s">
        <v>2184</v>
      </c>
      <c r="G496" s="65">
        <v>40822</v>
      </c>
      <c r="H496" s="67" t="s">
        <v>2185</v>
      </c>
      <c r="I496" s="67" t="s">
        <v>325</v>
      </c>
      <c r="J496" s="67" t="str">
        <f>INDEX(数据元说明!A:F,MATCH(I496,数据元说明!C:C,0),2)</f>
        <v>001001</v>
      </c>
      <c r="K496" s="68" t="str">
        <f>INDEX(数据元说明!A:F,MATCH(I496,数据元说明!C:C,0),5)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496" s="67" t="str">
        <f>INDEX(数据元说明!A:F,MATCH(I496,数据元说明!C:C,0),6)</f>
        <v>C..450</v>
      </c>
      <c r="M496" s="80" t="s">
        <v>2249</v>
      </c>
      <c r="N496" s="80" t="s">
        <v>1583</v>
      </c>
      <c r="O496" s="80" t="s">
        <v>1695</v>
      </c>
      <c r="P496" s="80"/>
    </row>
    <row r="497" ht="39.95" hidden="1" customHeight="1" outlineLevel="1" spans="1:16">
      <c r="A497" s="70"/>
      <c r="B497" s="71"/>
      <c r="C497" s="59" t="s">
        <v>122</v>
      </c>
      <c r="D497" s="59" t="s">
        <v>2235</v>
      </c>
      <c r="E497" s="65">
        <v>408</v>
      </c>
      <c r="F497" s="67" t="s">
        <v>725</v>
      </c>
      <c r="G497" s="65">
        <v>40823</v>
      </c>
      <c r="H497" s="67" t="s">
        <v>1792</v>
      </c>
      <c r="I497" s="67" t="s">
        <v>725</v>
      </c>
      <c r="J497" s="67" t="str">
        <f>INDEX(数据元说明!A:F,MATCH(I497,数据元说明!C:C,0),2)</f>
        <v>004005</v>
      </c>
      <c r="K497" s="68" t="str">
        <f>INDEX(数据元说明!A:F,MATCH(I497,数据元说明!C:C,0),5)</f>
        <v>银行自定义交易内容的简要描述。</v>
      </c>
      <c r="L497" s="67" t="str">
        <f>INDEX(数据元说明!A:F,MATCH(I497,数据元说明!C:C,0),6)</f>
        <v>C..600</v>
      </c>
      <c r="M497" s="68"/>
      <c r="N497" s="68" t="s">
        <v>1583</v>
      </c>
      <c r="O497" s="68" t="s">
        <v>321</v>
      </c>
      <c r="P497" s="68" t="s">
        <v>1634</v>
      </c>
    </row>
    <row r="498" ht="39.95" hidden="1" customHeight="1" outlineLevel="1" spans="1:16">
      <c r="A498" s="70"/>
      <c r="B498" s="71"/>
      <c r="C498" s="59" t="s">
        <v>122</v>
      </c>
      <c r="D498" s="59" t="s">
        <v>2235</v>
      </c>
      <c r="E498" s="65">
        <v>408</v>
      </c>
      <c r="F498" s="67" t="s">
        <v>733</v>
      </c>
      <c r="G498" s="65">
        <v>40824</v>
      </c>
      <c r="H498" s="67" t="s">
        <v>2187</v>
      </c>
      <c r="I498" s="67" t="s">
        <v>733</v>
      </c>
      <c r="J498" s="67" t="str">
        <f>INDEX(数据元说明!A:F,MATCH(I498,数据元说明!C:C,0),2)</f>
        <v>004007</v>
      </c>
      <c r="K498" s="68" t="str">
        <f>INDEX(数据元说明!A:F,MATCH(I498,数据元说明!C:C,0),5)</f>
        <v>正常，冲补抹。</v>
      </c>
      <c r="L498" s="67" t="str">
        <f>INDEX(数据元说明!A:F,MATCH(I498,数据元说明!C:C,0),6)</f>
        <v>C..9</v>
      </c>
      <c r="M498" s="68" t="s">
        <v>2188</v>
      </c>
      <c r="N498" s="68" t="s">
        <v>1583</v>
      </c>
      <c r="O498" s="68"/>
      <c r="P498" s="68" t="s">
        <v>1634</v>
      </c>
    </row>
    <row r="499" ht="39.95" hidden="1" customHeight="1" outlineLevel="1" spans="1:16">
      <c r="A499" s="70"/>
      <c r="B499" s="71"/>
      <c r="C499" s="59" t="s">
        <v>122</v>
      </c>
      <c r="D499" s="59" t="s">
        <v>2235</v>
      </c>
      <c r="E499" s="65">
        <v>408</v>
      </c>
      <c r="F499" s="67" t="s">
        <v>717</v>
      </c>
      <c r="G499" s="65">
        <v>40825</v>
      </c>
      <c r="H499" s="67" t="s">
        <v>2191</v>
      </c>
      <c r="I499" s="67" t="s">
        <v>717</v>
      </c>
      <c r="J499" s="67" t="str">
        <f>INDEX(数据元说明!A:F,MATCH(I499,数据元说明!C:C,0),2)</f>
        <v>004003</v>
      </c>
      <c r="K499" s="68" t="str">
        <f>INDEX(数据元说明!A:F,MATCH(I499,数据元说明!C:C,0),5)</f>
        <v>柜面，ATM，VTM，POS，网银，手机银行，银联交易，第三方支付-银行自定义，其他-银行自定义。交易类型为第三方支付的，以“第三方支付-XX”填报，其中“XX”为第三方支付平台名称。如无法以枚举类型填报，则以“其他-XX”填报，其中“XX”为银行自定义类型。</v>
      </c>
      <c r="L499" s="67" t="str">
        <f>INDEX(数据元说明!A:F,MATCH(I499,数据元说明!C:C,0),6)</f>
        <v>C..60</v>
      </c>
      <c r="M499" s="69" t="s">
        <v>2221</v>
      </c>
      <c r="N499" s="68" t="s">
        <v>1583</v>
      </c>
      <c r="O499" s="68" t="s">
        <v>321</v>
      </c>
      <c r="P499" s="68" t="s">
        <v>1648</v>
      </c>
    </row>
    <row r="500" ht="39.95" hidden="1" customHeight="1" outlineLevel="1" spans="1:16">
      <c r="A500" s="70"/>
      <c r="B500" s="71"/>
      <c r="C500" s="59" t="s">
        <v>122</v>
      </c>
      <c r="D500" s="59" t="s">
        <v>2235</v>
      </c>
      <c r="E500" s="65">
        <v>408</v>
      </c>
      <c r="F500" s="67" t="s">
        <v>721</v>
      </c>
      <c r="G500" s="65">
        <v>40826</v>
      </c>
      <c r="H500" s="67" t="s">
        <v>2189</v>
      </c>
      <c r="I500" s="67" t="s">
        <v>721</v>
      </c>
      <c r="J500" s="67" t="str">
        <f>INDEX(数据元说明!A:F,MATCH(I500,数据元说明!C:C,0),2)</f>
        <v>004004</v>
      </c>
      <c r="K500" s="68" t="str">
        <f>INDEX(数据元说明!A:F,MATCH(I500,数据元说明!C:C,0),5)</f>
        <v>现，转。</v>
      </c>
      <c r="L500" s="67" t="str">
        <f>INDEX(数据元说明!A:F,MATCH(I500,数据元说明!C:C,0),6)</f>
        <v>C3</v>
      </c>
      <c r="M500" s="68" t="s">
        <v>2190</v>
      </c>
      <c r="N500" s="68" t="s">
        <v>1583</v>
      </c>
      <c r="O500" s="68" t="s">
        <v>484</v>
      </c>
      <c r="P500" s="68"/>
    </row>
    <row r="501" ht="39.95" hidden="1" customHeight="1" outlineLevel="1" spans="1:16">
      <c r="A501" s="70"/>
      <c r="B501" s="71"/>
      <c r="C501" s="59" t="s">
        <v>122</v>
      </c>
      <c r="D501" s="59" t="s">
        <v>2235</v>
      </c>
      <c r="E501" s="65">
        <v>408</v>
      </c>
      <c r="F501" s="67" t="s">
        <v>2207</v>
      </c>
      <c r="G501" s="65">
        <v>40827</v>
      </c>
      <c r="H501" s="67" t="s">
        <v>2208</v>
      </c>
      <c r="I501" s="67" t="s">
        <v>409</v>
      </c>
      <c r="J501" s="67" t="str">
        <f>INDEX(数据元说明!A:F,MATCH(I501,数据元说明!C:C,0),2)</f>
        <v>001020</v>
      </c>
      <c r="K501" s="68" t="str">
        <f>INDEX(数据元说明!A:F,MATCH(I501,数据元说明!C:C,0),5)</f>
        <v>柜员编号，银行自定义。</v>
      </c>
      <c r="L501" s="67" t="str">
        <f>INDEX(数据元说明!A:F,MATCH(I501,数据元说明!C:C,0),6)</f>
        <v>C..30</v>
      </c>
      <c r="M501" s="69" t="s">
        <v>2014</v>
      </c>
      <c r="N501" s="68"/>
      <c r="O501" s="68"/>
      <c r="P501" s="68"/>
    </row>
    <row r="502" ht="39.95" hidden="1" customHeight="1" outlineLevel="1" spans="1:16">
      <c r="A502" s="70"/>
      <c r="B502" s="71"/>
      <c r="C502" s="59" t="s">
        <v>122</v>
      </c>
      <c r="D502" s="59" t="s">
        <v>2235</v>
      </c>
      <c r="E502" s="65">
        <v>408</v>
      </c>
      <c r="F502" s="67" t="s">
        <v>2209</v>
      </c>
      <c r="G502" s="65">
        <v>40828</v>
      </c>
      <c r="H502" s="67" t="s">
        <v>2210</v>
      </c>
      <c r="I502" s="67" t="s">
        <v>409</v>
      </c>
      <c r="J502" s="67" t="str">
        <f>INDEX(数据元说明!A:F,MATCH(I502,数据元说明!C:C,0),2)</f>
        <v>001020</v>
      </c>
      <c r="K502" s="68" t="str">
        <f>INDEX(数据元说明!A:F,MATCH(I502,数据元说明!C:C,0),5)</f>
        <v>柜员编号，银行自定义。</v>
      </c>
      <c r="L502" s="67" t="str">
        <f>INDEX(数据元说明!A:F,MATCH(I502,数据元说明!C:C,0),6)</f>
        <v>C..30</v>
      </c>
      <c r="M502" s="69" t="s">
        <v>2211</v>
      </c>
      <c r="N502" s="68"/>
      <c r="O502" s="68"/>
      <c r="P502" s="68"/>
    </row>
    <row r="503" ht="39.95" hidden="1" customHeight="1" outlineLevel="1" spans="1:16">
      <c r="A503" s="70"/>
      <c r="B503" s="71"/>
      <c r="C503" s="59" t="s">
        <v>122</v>
      </c>
      <c r="D503" s="59" t="s">
        <v>2235</v>
      </c>
      <c r="E503" s="65">
        <v>408</v>
      </c>
      <c r="F503" s="67" t="s">
        <v>2250</v>
      </c>
      <c r="G503" s="65">
        <v>40829</v>
      </c>
      <c r="H503" s="67" t="s">
        <v>2251</v>
      </c>
      <c r="I503" s="67" t="s">
        <v>345</v>
      </c>
      <c r="J503" s="67" t="str">
        <f>INDEX(数据元说明!A:F,MATCH(I503,数据元说明!C:C,0),2)</f>
        <v>001005</v>
      </c>
      <c r="K503" s="68" t="str">
        <f>INDEX(数据元说明!A:F,MATCH(I503,数据元说明!C:C,0),5)</f>
        <v>YYYYMMDD，默认值99991231。</v>
      </c>
      <c r="L503" s="67" t="str">
        <f>INDEX(数据元说明!A:F,MATCH(I503,数据元说明!C:C,0),6)</f>
        <v>C8</v>
      </c>
      <c r="M503" s="68"/>
      <c r="N503" s="68"/>
      <c r="O503" s="68"/>
      <c r="P503" s="68"/>
    </row>
    <row r="504" ht="39.95" hidden="1" customHeight="1" outlineLevel="1" spans="1:16">
      <c r="A504" s="70"/>
      <c r="B504" s="71"/>
      <c r="C504" s="59" t="s">
        <v>122</v>
      </c>
      <c r="D504" s="59" t="s">
        <v>2235</v>
      </c>
      <c r="E504" s="65">
        <v>408</v>
      </c>
      <c r="F504" s="67" t="s">
        <v>2252</v>
      </c>
      <c r="G504" s="65">
        <v>40830</v>
      </c>
      <c r="H504" s="67" t="s">
        <v>2253</v>
      </c>
      <c r="I504" s="67" t="s">
        <v>345</v>
      </c>
      <c r="J504" s="67" t="str">
        <f>INDEX(数据元说明!A:F,MATCH(I504,数据元说明!C:C,0),2)</f>
        <v>001005</v>
      </c>
      <c r="K504" s="68" t="str">
        <f>INDEX(数据元说明!A:F,MATCH(I504,数据元说明!C:C,0),5)</f>
        <v>YYYYMMDD，默认值99991231。</v>
      </c>
      <c r="L504" s="67" t="str">
        <f>INDEX(数据元说明!A:F,MATCH(I504,数据元说明!C:C,0),6)</f>
        <v>C8</v>
      </c>
      <c r="M504" s="68"/>
      <c r="N504" s="68"/>
      <c r="O504" s="68"/>
      <c r="P504" s="68"/>
    </row>
    <row r="505" ht="39.95" hidden="1" customHeight="1" outlineLevel="1" spans="1:16">
      <c r="A505" s="63"/>
      <c r="B505" s="64"/>
      <c r="C505" s="59" t="s">
        <v>122</v>
      </c>
      <c r="D505" s="59" t="s">
        <v>2235</v>
      </c>
      <c r="E505" s="65">
        <v>408</v>
      </c>
      <c r="F505" s="67" t="s">
        <v>484</v>
      </c>
      <c r="G505" s="65">
        <v>40831</v>
      </c>
      <c r="H505" s="67" t="s">
        <v>1623</v>
      </c>
      <c r="I505" s="67" t="s">
        <v>484</v>
      </c>
      <c r="J505" s="67" t="str">
        <f>INDEX(数据元说明!A:F,MATCH(I505,数据元说明!C:C,0),2)</f>
        <v>001038</v>
      </c>
      <c r="K505" s="68" t="str">
        <f>INDEX(数据元说明!A:F,MATCH(I505,数据元说明!C:C,0),5)</f>
        <v>银行自定义。</v>
      </c>
      <c r="L505" s="67" t="str">
        <f>INDEX(数据元说明!A:F,MATCH(I505,数据元说明!C:C,0),6)</f>
        <v>C..600</v>
      </c>
      <c r="M505" s="68" t="s">
        <v>1624</v>
      </c>
      <c r="N505" s="68" t="s">
        <v>1601</v>
      </c>
      <c r="O505" s="68"/>
      <c r="P505" s="68"/>
    </row>
    <row r="506" ht="39.95" hidden="1" customHeight="1" outlineLevel="1" spans="1:16">
      <c r="A506" s="63"/>
      <c r="B506" s="64"/>
      <c r="C506" s="59" t="s">
        <v>122</v>
      </c>
      <c r="D506" s="59" t="s">
        <v>2235</v>
      </c>
      <c r="E506" s="65">
        <v>408</v>
      </c>
      <c r="F506" s="67" t="s">
        <v>1625</v>
      </c>
      <c r="G506" s="65">
        <v>40832</v>
      </c>
      <c r="H506" s="67" t="s">
        <v>1626</v>
      </c>
      <c r="I506" s="67" t="s">
        <v>345</v>
      </c>
      <c r="J506" s="67" t="str">
        <f>INDEX(数据元说明!A:F,MATCH(I506,数据元说明!C:C,0),2)</f>
        <v>001005</v>
      </c>
      <c r="K506" s="68" t="str">
        <f>INDEX(数据元说明!A:F,MATCH(I506,数据元说明!C:C,0),5)</f>
        <v>YYYYMMDD，默认值99991231。</v>
      </c>
      <c r="L506" s="67" t="str">
        <f>INDEX(数据元说明!A:F,MATCH(I506,数据元说明!C:C,0),6)</f>
        <v>C8</v>
      </c>
      <c r="M506" s="68" t="s">
        <v>1627</v>
      </c>
      <c r="N506" s="68"/>
      <c r="O506" s="68"/>
      <c r="P506" s="68"/>
    </row>
    <row r="507" ht="39.95" hidden="1" customHeight="1" collapsed="1" spans="1:16">
      <c r="A507" s="63"/>
      <c r="B507" s="64"/>
      <c r="C507" s="59" t="s">
        <v>126</v>
      </c>
      <c r="D507" s="59" t="s">
        <v>2254</v>
      </c>
      <c r="E507" s="65">
        <v>409</v>
      </c>
      <c r="F507" s="67"/>
      <c r="G507" s="65"/>
      <c r="H507" s="67"/>
      <c r="I507" s="67"/>
      <c r="J507" s="67"/>
      <c r="K507" s="68"/>
      <c r="L507" s="67"/>
      <c r="M507" s="68" t="str">
        <f>INDEX(表结构总览!D:G,MATCH(D507,表结构总览!D:D,0),4)</f>
        <v>填报以个人名义在银行机构所开立的信贷账户信息。不报送信用卡业务。表外业务只报送委托贷款（非现金管理项下），其他不报送。个体工商户、私营业主以个人名义开立的信贷分户账计入本表，以营业执照等证件开立的对公信贷分户账不计入本表。以信贷借据号为最小粒度报送，借据结清、核销或转让的，可在报送最后状态的次月不再报送。账户状态为“销户”时，也可于次月不再报送。</v>
      </c>
      <c r="N507" s="68" t="s">
        <v>1583</v>
      </c>
      <c r="O507" s="68" t="s">
        <v>484</v>
      </c>
      <c r="P507" s="68"/>
    </row>
    <row r="508" ht="39.95" hidden="1" customHeight="1" outlineLevel="1" spans="1:16">
      <c r="A508" s="63"/>
      <c r="B508" s="64"/>
      <c r="C508" s="59" t="s">
        <v>126</v>
      </c>
      <c r="D508" s="59" t="s">
        <v>2254</v>
      </c>
      <c r="E508" s="65">
        <v>409</v>
      </c>
      <c r="F508" s="67" t="s">
        <v>373</v>
      </c>
      <c r="G508" s="65">
        <v>40901</v>
      </c>
      <c r="H508" s="67" t="s">
        <v>1588</v>
      </c>
      <c r="I508" s="67" t="s">
        <v>373</v>
      </c>
      <c r="J508" s="67" t="str">
        <f>INDEX(数据元说明!A:F,MATCH(I508,数据元说明!C:C,0),2)</f>
        <v>001011</v>
      </c>
      <c r="K508" s="68" t="str">
        <f>INDEX(数据元说明!A:F,MATCH(I508,数据元说明!C:C,0),5)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08" s="67" t="str">
        <f>INDEX(数据元说明!A:F,MATCH(I508,数据元说明!C:C,0),6)</f>
        <v>C..30</v>
      </c>
      <c r="M508" s="68" t="s">
        <v>2122</v>
      </c>
      <c r="N508" s="68" t="s">
        <v>1583</v>
      </c>
      <c r="O508" s="68" t="s">
        <v>484</v>
      </c>
      <c r="P508" s="68"/>
    </row>
    <row r="509" ht="39.95" hidden="1" customHeight="1" outlineLevel="1" spans="1:16">
      <c r="A509" s="70"/>
      <c r="B509" s="71"/>
      <c r="C509" s="59" t="s">
        <v>126</v>
      </c>
      <c r="D509" s="59" t="s">
        <v>2254</v>
      </c>
      <c r="E509" s="65">
        <v>409</v>
      </c>
      <c r="F509" s="67" t="s">
        <v>377</v>
      </c>
      <c r="G509" s="65">
        <v>40902</v>
      </c>
      <c r="H509" s="67" t="s">
        <v>1586</v>
      </c>
      <c r="I509" s="67" t="s">
        <v>377</v>
      </c>
      <c r="J509" s="67" t="str">
        <f>INDEX(数据元说明!A:F,MATCH(I509,数据元说明!C:C,0),2)</f>
        <v>001012</v>
      </c>
      <c r="K509" s="68" t="str">
        <f>INDEX(数据元说明!A:F,MATCH(I509,数据元说明!C:C,0),5)</f>
        <v>银行内部机构号。应具有标识机构的唯一性。</v>
      </c>
      <c r="L509" s="67" t="str">
        <f>INDEX(数据元说明!A:F,MATCH(I509,数据元说明!C:C,0),6)</f>
        <v>C..30</v>
      </c>
      <c r="M509" s="68" t="s">
        <v>2123</v>
      </c>
      <c r="N509" s="68"/>
      <c r="O509" s="68"/>
      <c r="P509" s="68"/>
    </row>
    <row r="510" ht="39.95" hidden="1" customHeight="1" outlineLevel="1" spans="1:16">
      <c r="A510" s="70"/>
      <c r="B510" s="71"/>
      <c r="C510" s="59" t="s">
        <v>126</v>
      </c>
      <c r="D510" s="59" t="s">
        <v>2254</v>
      </c>
      <c r="E510" s="65">
        <v>409</v>
      </c>
      <c r="F510" s="67" t="s">
        <v>1592</v>
      </c>
      <c r="G510" s="65">
        <v>40903</v>
      </c>
      <c r="H510" s="67" t="s">
        <v>1593</v>
      </c>
      <c r="I510" s="67" t="s">
        <v>325</v>
      </c>
      <c r="J510" s="67" t="str">
        <f>INDEX(数据元说明!A:F,MATCH(I510,数据元说明!C:C,0),2)</f>
        <v>001001</v>
      </c>
      <c r="K510" s="68" t="str">
        <f>INDEX(数据元说明!A:F,MATCH(I510,数据元说明!C:C,0),5)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510" s="67" t="str">
        <f>INDEX(数据元说明!A:F,MATCH(I510,数据元说明!C:C,0),6)</f>
        <v>C..450</v>
      </c>
      <c r="M510" s="68" t="s">
        <v>2124</v>
      </c>
      <c r="N510" s="68" t="s">
        <v>1583</v>
      </c>
      <c r="O510" s="68" t="s">
        <v>322</v>
      </c>
      <c r="P510" s="68" t="s">
        <v>1634</v>
      </c>
    </row>
    <row r="511" ht="39.95" hidden="1" customHeight="1" outlineLevel="1" spans="1:16">
      <c r="A511" s="70"/>
      <c r="B511" s="71"/>
      <c r="C511" s="59" t="s">
        <v>126</v>
      </c>
      <c r="D511" s="59" t="s">
        <v>2254</v>
      </c>
      <c r="E511" s="65">
        <v>409</v>
      </c>
      <c r="F511" s="67" t="s">
        <v>2125</v>
      </c>
      <c r="G511" s="65">
        <v>40904</v>
      </c>
      <c r="H511" s="67" t="s">
        <v>2126</v>
      </c>
      <c r="I511" s="67" t="s">
        <v>609</v>
      </c>
      <c r="J511" s="67" t="str">
        <f>INDEX(数据元说明!A:F,MATCH(I511,数据元说明!C:C,0),2)</f>
        <v>003002</v>
      </c>
      <c r="K511" s="68" t="str">
        <f>INDEX(数据元说明!A:F,MATCH(I511,数据元说明!C:C,0),5)</f>
        <v>机构实际使用的总账会计科目编码。</v>
      </c>
      <c r="L511" s="67" t="str">
        <f>INDEX(数据元说明!A:F,MATCH(I511,数据元说明!C:C,0),6)</f>
        <v>C..60</v>
      </c>
      <c r="M511" s="68" t="s">
        <v>2219</v>
      </c>
      <c r="N511" s="68" t="s">
        <v>1583</v>
      </c>
      <c r="O511" s="68" t="s">
        <v>1577</v>
      </c>
      <c r="P511" s="80"/>
    </row>
    <row r="512" ht="39.95" hidden="1" customHeight="1" outlineLevel="1" spans="1:16">
      <c r="A512" s="70"/>
      <c r="B512" s="71"/>
      <c r="C512" s="59" t="s">
        <v>126</v>
      </c>
      <c r="D512" s="59" t="s">
        <v>2254</v>
      </c>
      <c r="E512" s="65">
        <v>409</v>
      </c>
      <c r="F512" s="67" t="s">
        <v>2128</v>
      </c>
      <c r="G512" s="65">
        <v>40905</v>
      </c>
      <c r="H512" s="67" t="s">
        <v>2129</v>
      </c>
      <c r="I512" s="67" t="s">
        <v>613</v>
      </c>
      <c r="J512" s="67" t="str">
        <f>INDEX(数据元说明!A:F,MATCH(I512,数据元说明!C:C,0),2)</f>
        <v>003003</v>
      </c>
      <c r="K512" s="68" t="str">
        <f>INDEX(数据元说明!A:F,MATCH(I512,数据元说明!C:C,0),5)</f>
        <v>机构实际使用的总账会计科目编码对应的名称。</v>
      </c>
      <c r="L512" s="67" t="str">
        <f>INDEX(数据元说明!A:F,MATCH(I512,数据元说明!C:C,0),6)</f>
        <v>C..300</v>
      </c>
      <c r="M512" s="68" t="s">
        <v>2219</v>
      </c>
      <c r="N512" s="68" t="s">
        <v>1583</v>
      </c>
      <c r="O512" s="68" t="s">
        <v>484</v>
      </c>
      <c r="P512" s="68"/>
    </row>
    <row r="513" ht="39.95" hidden="1" customHeight="1" outlineLevel="1" spans="1:16">
      <c r="A513" s="70"/>
      <c r="B513" s="71"/>
      <c r="C513" s="59" t="s">
        <v>126</v>
      </c>
      <c r="D513" s="59" t="s">
        <v>2254</v>
      </c>
      <c r="E513" s="65">
        <v>409</v>
      </c>
      <c r="F513" s="67" t="s">
        <v>488</v>
      </c>
      <c r="G513" s="65">
        <v>40906</v>
      </c>
      <c r="H513" s="67" t="s">
        <v>1699</v>
      </c>
      <c r="I513" s="67" t="s">
        <v>488</v>
      </c>
      <c r="J513" s="67" t="str">
        <f>INDEX(数据元说明!A:F,MATCH(I513,数据元说明!C:C,0),2)</f>
        <v>002001</v>
      </c>
      <c r="K513" s="68" t="str">
        <f>INDEX(数据元说明!A:F,MATCH(I513,数据元说明!C:C,0),5)</f>
        <v>银行自定义的唯一识别客户的标识。供应链融资的填写供应链融资编码。</v>
      </c>
      <c r="L513" s="67" t="str">
        <f>INDEX(数据元说明!A:F,MATCH(I513,数据元说明!C:C,0),6)</f>
        <v>C..60</v>
      </c>
      <c r="M513" s="68" t="s">
        <v>2130</v>
      </c>
      <c r="N513" s="68" t="s">
        <v>1583</v>
      </c>
      <c r="O513" s="68"/>
      <c r="P513" s="68" t="s">
        <v>1634</v>
      </c>
    </row>
    <row r="514" ht="39.95" hidden="1" customHeight="1" outlineLevel="1" spans="1:16">
      <c r="A514" s="70"/>
      <c r="B514" s="71"/>
      <c r="C514" s="59" t="s">
        <v>126</v>
      </c>
      <c r="D514" s="59" t="s">
        <v>2254</v>
      </c>
      <c r="E514" s="65">
        <v>409</v>
      </c>
      <c r="F514" s="67" t="s">
        <v>646</v>
      </c>
      <c r="G514" s="65">
        <v>40907</v>
      </c>
      <c r="H514" s="67" t="s">
        <v>2131</v>
      </c>
      <c r="I514" s="67" t="s">
        <v>646</v>
      </c>
      <c r="J514" s="67" t="str">
        <f>INDEX(数据元说明!A:F,MATCH(I514,数据元说明!C:C,0),2)</f>
        <v>003011</v>
      </c>
      <c r="K514" s="68" t="str">
        <f>INDEX(数据元说明!A:F,MATCH(I514,数据元说明!C:C,0),5)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514" s="67" t="str">
        <f>INDEX(数据元说明!A:F,MATCH(I514,数据元说明!C:C,0),6)</f>
        <v>C..450</v>
      </c>
      <c r="M514" s="68" t="s">
        <v>2132</v>
      </c>
      <c r="N514" s="68" t="s">
        <v>1583</v>
      </c>
      <c r="O514" s="68" t="s">
        <v>484</v>
      </c>
      <c r="P514" s="68"/>
    </row>
    <row r="515" ht="39.95" hidden="1" customHeight="1" outlineLevel="1" spans="1:16">
      <c r="A515" s="70"/>
      <c r="B515" s="71"/>
      <c r="C515" s="59" t="s">
        <v>126</v>
      </c>
      <c r="D515" s="59" t="s">
        <v>2254</v>
      </c>
      <c r="E515" s="65">
        <v>409</v>
      </c>
      <c r="F515" s="67" t="s">
        <v>2255</v>
      </c>
      <c r="G515" s="65">
        <v>40908</v>
      </c>
      <c r="H515" s="67" t="s">
        <v>2256</v>
      </c>
      <c r="I515" s="67" t="s">
        <v>605</v>
      </c>
      <c r="J515" s="67" t="str">
        <f>INDEX(数据元说明!A:F,MATCH(I515,数据元说明!C:C,0),2)</f>
        <v>003001</v>
      </c>
      <c r="K515" s="68" t="str">
        <f>INDEX(数据元说明!A:F,MATCH(I515,数据元说明!C:C,0),5)</f>
        <v>系统内最细一级的账号，无唯一性约束，不需要和序号、子序号等做拼接。</v>
      </c>
      <c r="L515" s="67" t="str">
        <f>INDEX(数据元说明!A:F,MATCH(I515,数据元说明!C:C,0),6)</f>
        <v>C..60</v>
      </c>
      <c r="M515" s="68" t="s">
        <v>1679</v>
      </c>
      <c r="N515" s="68" t="s">
        <v>1583</v>
      </c>
      <c r="O515" s="68"/>
      <c r="P515" s="68" t="s">
        <v>1634</v>
      </c>
    </row>
    <row r="516" ht="39.95" hidden="1" customHeight="1" outlineLevel="1" spans="1:16">
      <c r="A516" s="70"/>
      <c r="B516" s="71"/>
      <c r="C516" s="59" t="s">
        <v>126</v>
      </c>
      <c r="D516" s="59" t="s">
        <v>2254</v>
      </c>
      <c r="E516" s="65">
        <v>409</v>
      </c>
      <c r="F516" s="67" t="s">
        <v>2257</v>
      </c>
      <c r="G516" s="65">
        <v>40909</v>
      </c>
      <c r="H516" s="67" t="s">
        <v>2258</v>
      </c>
      <c r="I516" s="67" t="s">
        <v>683</v>
      </c>
      <c r="J516" s="67" t="str">
        <f>INDEX(数据元说明!A:F,MATCH(I516,数据元说明!C:C,0),2)</f>
        <v>003020</v>
      </c>
      <c r="K516" s="68" t="str">
        <f>INDEX(数据元说明!A:F,MATCH(I516,数据元说明!C:C,0),5)</f>
        <v>合同号。</v>
      </c>
      <c r="L516" s="67" t="str">
        <f>INDEX(数据元说明!A:F,MATCH(I516,数据元说明!C:C,0),6)</f>
        <v>C..100</v>
      </c>
      <c r="M516" s="69" t="s">
        <v>2259</v>
      </c>
      <c r="N516" s="68" t="s">
        <v>1601</v>
      </c>
      <c r="O516" s="68"/>
      <c r="P516" s="68"/>
    </row>
    <row r="517" ht="39.95" hidden="1" customHeight="1" outlineLevel="1" spans="1:16">
      <c r="A517" s="70"/>
      <c r="B517" s="71"/>
      <c r="C517" s="59" t="s">
        <v>126</v>
      </c>
      <c r="D517" s="59" t="s">
        <v>2254</v>
      </c>
      <c r="E517" s="65">
        <v>409</v>
      </c>
      <c r="F517" s="67" t="s">
        <v>2260</v>
      </c>
      <c r="G517" s="65">
        <v>40910</v>
      </c>
      <c r="H517" s="67" t="s">
        <v>2261</v>
      </c>
      <c r="I517" s="67" t="s">
        <v>678</v>
      </c>
      <c r="J517" s="67" t="str">
        <f>INDEX(数据元说明!A:F,MATCH(I517,数据元说明!C:C,0),2)</f>
        <v>003019</v>
      </c>
      <c r="K517" s="68" t="str">
        <f>INDEX(数据元说明!A:F,MATCH(I517,数据元说明!C:C,0),5)</f>
        <v>借据统一编号。</v>
      </c>
      <c r="L517" s="67" t="str">
        <f>INDEX(数据元说明!A:F,MATCH(I517,数据元说明!C:C,0),6)</f>
        <v>C..100</v>
      </c>
      <c r="M517" s="68" t="s">
        <v>2262</v>
      </c>
      <c r="N517" s="68" t="s">
        <v>1583</v>
      </c>
      <c r="O517" s="68"/>
      <c r="P517" s="68" t="s">
        <v>1634</v>
      </c>
    </row>
    <row r="518" ht="39.95" hidden="1" customHeight="1" outlineLevel="1" spans="1:16">
      <c r="A518" s="70"/>
      <c r="B518" s="71"/>
      <c r="C518" s="59" t="s">
        <v>126</v>
      </c>
      <c r="D518" s="59" t="s">
        <v>2254</v>
      </c>
      <c r="E518" s="65">
        <v>409</v>
      </c>
      <c r="F518" s="67" t="s">
        <v>2263</v>
      </c>
      <c r="G518" s="65">
        <v>40911</v>
      </c>
      <c r="H518" s="67" t="s">
        <v>2264</v>
      </c>
      <c r="I518" s="67" t="s">
        <v>670</v>
      </c>
      <c r="J518" s="67" t="str">
        <f>INDEX(数据元说明!A:F,MATCH(I518,数据元说明!C:C,0),2)</f>
        <v>003017</v>
      </c>
      <c r="K518" s="68" t="str">
        <f>INDEX(数据元说明!A:F,MATCH(I518,数据元说明!C:C,0),5)</f>
        <v>百分比为单位，即%，如4.5%填报为4.5。</v>
      </c>
      <c r="L518" s="67" t="str">
        <f>INDEX(数据元说明!A:F,MATCH(I518,数据元说明!C:C,0),6)</f>
        <v>D20.4</v>
      </c>
      <c r="M518" s="68" t="s">
        <v>2265</v>
      </c>
      <c r="N518" s="68" t="s">
        <v>1583</v>
      </c>
      <c r="O518" s="68" t="s">
        <v>1607</v>
      </c>
      <c r="P518" s="68"/>
    </row>
    <row r="519" ht="39.95" hidden="1" customHeight="1" outlineLevel="1" spans="1:16">
      <c r="A519" s="70"/>
      <c r="B519" s="71"/>
      <c r="C519" s="59" t="s">
        <v>126</v>
      </c>
      <c r="D519" s="59" t="s">
        <v>2254</v>
      </c>
      <c r="E519" s="65">
        <v>409</v>
      </c>
      <c r="F519" s="67" t="s">
        <v>642</v>
      </c>
      <c r="G519" s="65">
        <v>40912</v>
      </c>
      <c r="H519" s="67" t="s">
        <v>1914</v>
      </c>
      <c r="I519" s="67" t="s">
        <v>642</v>
      </c>
      <c r="J519" s="67" t="str">
        <f>INDEX(数据元说明!A:F,MATCH(I519,数据元说明!C:C,0),2)</f>
        <v>003010</v>
      </c>
      <c r="K519" s="68" t="str">
        <f>INDEX(数据元说明!A:F,MATCH(I519,数据元说明!C:C,0),5)</f>
        <v>遵循《GB/T 12406 表示货币和资金的代码》的字母代码，如CNY。上述文件所列币种无法涵盖的，允许银行自定义填报。多个币种合计折算为人民币（本外币合计）的，填报为BWB。</v>
      </c>
      <c r="L519" s="67" t="str">
        <f>INDEX(数据元说明!A:F,MATCH(I519,数据元说明!C:C,0),6)</f>
        <v>C3</v>
      </c>
      <c r="M519" s="68" t="s">
        <v>1587</v>
      </c>
      <c r="N519" s="68" t="s">
        <v>1583</v>
      </c>
      <c r="O519" s="68"/>
      <c r="P519" s="68" t="s">
        <v>1634</v>
      </c>
    </row>
    <row r="520" ht="39.95" hidden="1" customHeight="1" outlineLevel="1" spans="1:16">
      <c r="A520" s="70"/>
      <c r="B520" s="71"/>
      <c r="C520" s="59" t="s">
        <v>126</v>
      </c>
      <c r="D520" s="59" t="s">
        <v>2254</v>
      </c>
      <c r="E520" s="65">
        <v>409</v>
      </c>
      <c r="F520" s="67" t="s">
        <v>2266</v>
      </c>
      <c r="G520" s="65">
        <v>40913</v>
      </c>
      <c r="H520" s="67" t="s">
        <v>2267</v>
      </c>
      <c r="I520" s="67" t="s">
        <v>634</v>
      </c>
      <c r="J520" s="67" t="str">
        <f>INDEX(数据元说明!A:F,MATCH(I520,数据元说明!C:C,0),2)</f>
        <v>003008</v>
      </c>
      <c r="K520" s="68" t="str">
        <f>INDEX(数据元说明!A:F,MATCH(I520,数据元说明!C:C,0),5)</f>
        <v>与币种相对应金额。</v>
      </c>
      <c r="L520" s="67" t="str">
        <f>INDEX(数据元说明!A:F,MATCH(I520,数据元说明!C:C,0),6)</f>
        <v>D20.2</v>
      </c>
      <c r="M520" s="68" t="s">
        <v>2268</v>
      </c>
      <c r="N520" s="68" t="s">
        <v>1583</v>
      </c>
      <c r="O520" s="68" t="s">
        <v>1745</v>
      </c>
      <c r="P520" s="68"/>
    </row>
    <row r="521" ht="39.95" hidden="1" customHeight="1" outlineLevel="1" spans="1:16">
      <c r="A521" s="70"/>
      <c r="B521" s="71"/>
      <c r="C521" s="59" t="s">
        <v>126</v>
      </c>
      <c r="D521" s="59" t="s">
        <v>2254</v>
      </c>
      <c r="E521" s="65">
        <v>409</v>
      </c>
      <c r="F521" s="67" t="s">
        <v>2269</v>
      </c>
      <c r="G521" s="65">
        <v>40914</v>
      </c>
      <c r="H521" s="67" t="s">
        <v>2270</v>
      </c>
      <c r="I521" s="67" t="s">
        <v>638</v>
      </c>
      <c r="J521" s="67" t="str">
        <f>INDEX(数据元说明!A:F,MATCH(I521,数据元说明!C:C,0),2)</f>
        <v>003009</v>
      </c>
      <c r="K521" s="68" t="str">
        <f>INDEX(数据元说明!A:F,MATCH(I521,数据元说明!C:C,0),5)</f>
        <v>与币种相对应金额。(以正数填列。如信贷分户账，某客户初次获得贷款1万元，此时余额为10000；如活期存款明细，某客户初次开户存入10000元，此时余额为10000）</v>
      </c>
      <c r="L521" s="67" t="str">
        <f>INDEX(数据元说明!A:F,MATCH(I521,数据元说明!C:C,0),6)</f>
        <v>D20.2</v>
      </c>
      <c r="M521" s="68" t="s">
        <v>2271</v>
      </c>
      <c r="N521" s="68" t="s">
        <v>1601</v>
      </c>
      <c r="O521" s="68"/>
      <c r="P521" s="68"/>
    </row>
    <row r="522" ht="39.95" hidden="1" customHeight="1" outlineLevel="1" spans="1:16">
      <c r="A522" s="70"/>
      <c r="B522" s="71"/>
      <c r="C522" s="59" t="s">
        <v>126</v>
      </c>
      <c r="D522" s="59" t="s">
        <v>2254</v>
      </c>
      <c r="E522" s="65">
        <v>409</v>
      </c>
      <c r="F522" s="67" t="s">
        <v>2272</v>
      </c>
      <c r="G522" s="65">
        <v>40915</v>
      </c>
      <c r="H522" s="67" t="s">
        <v>2273</v>
      </c>
      <c r="I522" s="67" t="s">
        <v>345</v>
      </c>
      <c r="J522" s="67" t="str">
        <f>INDEX(数据元说明!A:F,MATCH(I522,数据元说明!C:C,0),2)</f>
        <v>001005</v>
      </c>
      <c r="K522" s="68" t="str">
        <f>INDEX(数据元说明!A:F,MATCH(I522,数据元说明!C:C,0),5)</f>
        <v>YYYYMMDD，默认值99991231。</v>
      </c>
      <c r="L522" s="67" t="str">
        <f>INDEX(数据元说明!A:F,MATCH(I522,数据元说明!C:C,0),6)</f>
        <v>C8</v>
      </c>
      <c r="M522" s="68" t="s">
        <v>2274</v>
      </c>
      <c r="N522" s="68" t="s">
        <v>1601</v>
      </c>
      <c r="O522" s="68"/>
      <c r="P522" s="68"/>
    </row>
    <row r="523" ht="39.95" hidden="1" customHeight="1" outlineLevel="1" spans="1:16">
      <c r="A523" s="63"/>
      <c r="B523" s="64"/>
      <c r="C523" s="59" t="s">
        <v>126</v>
      </c>
      <c r="D523" s="59" t="s">
        <v>2254</v>
      </c>
      <c r="E523" s="65">
        <v>409</v>
      </c>
      <c r="F523" s="67" t="s">
        <v>2275</v>
      </c>
      <c r="G523" s="65">
        <v>40916</v>
      </c>
      <c r="H523" s="67" t="s">
        <v>2276</v>
      </c>
      <c r="I523" s="67" t="s">
        <v>345</v>
      </c>
      <c r="J523" s="67" t="str">
        <f>INDEX(数据元说明!A:F,MATCH(I523,数据元说明!C:C,0),2)</f>
        <v>001005</v>
      </c>
      <c r="K523" s="68" t="str">
        <f>INDEX(数据元说明!A:F,MATCH(I523,数据元说明!C:C,0),5)</f>
        <v>YYYYMMDD，默认值99991231。</v>
      </c>
      <c r="L523" s="67" t="str">
        <f>INDEX(数据元说明!A:F,MATCH(I523,数据元说明!C:C,0),6)</f>
        <v>C8</v>
      </c>
      <c r="M523" s="68" t="s">
        <v>2277</v>
      </c>
      <c r="N523" s="68" t="s">
        <v>1583</v>
      </c>
      <c r="O523" s="68" t="s">
        <v>484</v>
      </c>
      <c r="P523" s="68"/>
    </row>
    <row r="524" ht="39.95" hidden="1" customHeight="1" outlineLevel="1" spans="1:16">
      <c r="A524" s="70"/>
      <c r="B524" s="71"/>
      <c r="C524" s="59" t="s">
        <v>126</v>
      </c>
      <c r="D524" s="59" t="s">
        <v>2254</v>
      </c>
      <c r="E524" s="65">
        <v>409</v>
      </c>
      <c r="F524" s="67" t="s">
        <v>2144</v>
      </c>
      <c r="G524" s="65">
        <v>40917</v>
      </c>
      <c r="H524" s="67" t="s">
        <v>2145</v>
      </c>
      <c r="I524" s="67" t="s">
        <v>345</v>
      </c>
      <c r="J524" s="67" t="str">
        <f>INDEX(数据元说明!A:F,MATCH(I524,数据元说明!C:C,0),2)</f>
        <v>001005</v>
      </c>
      <c r="K524" s="68" t="str">
        <f>INDEX(数据元说明!A:F,MATCH(I524,数据元说明!C:C,0),5)</f>
        <v>YYYYMMDD，默认值99991231。</v>
      </c>
      <c r="L524" s="67" t="str">
        <f>INDEX(数据元说明!A:F,MATCH(I524,数据元说明!C:C,0),6)</f>
        <v>C8</v>
      </c>
      <c r="M524" s="68"/>
      <c r="N524" s="68"/>
      <c r="O524" s="68"/>
      <c r="P524" s="68"/>
    </row>
    <row r="525" ht="39.95" hidden="1" customHeight="1" outlineLevel="1" spans="1:16">
      <c r="A525" s="70"/>
      <c r="B525" s="71"/>
      <c r="C525" s="59" t="s">
        <v>126</v>
      </c>
      <c r="D525" s="59" t="s">
        <v>2254</v>
      </c>
      <c r="E525" s="65">
        <v>409</v>
      </c>
      <c r="F525" s="67" t="s">
        <v>2151</v>
      </c>
      <c r="G525" s="65">
        <v>40918</v>
      </c>
      <c r="H525" s="67" t="s">
        <v>2152</v>
      </c>
      <c r="I525" s="67" t="s">
        <v>345</v>
      </c>
      <c r="J525" s="67" t="str">
        <f>INDEX(数据元说明!A:F,MATCH(I525,数据元说明!C:C,0),2)</f>
        <v>001005</v>
      </c>
      <c r="K525" s="68" t="str">
        <f>INDEX(数据元说明!A:F,MATCH(I525,数据元说明!C:C,0),5)</f>
        <v>YYYYMMDD，默认值99991231。</v>
      </c>
      <c r="L525" s="67" t="str">
        <f>INDEX(数据元说明!A:F,MATCH(I525,数据元说明!C:C,0),6)</f>
        <v>C8</v>
      </c>
      <c r="M525" s="68" t="s">
        <v>2153</v>
      </c>
      <c r="N525" s="68" t="s">
        <v>1583</v>
      </c>
      <c r="O525" s="68"/>
      <c r="P525" s="68" t="s">
        <v>1648</v>
      </c>
    </row>
    <row r="526" ht="39.95" hidden="1" customHeight="1" outlineLevel="1" spans="1:16">
      <c r="A526" s="70"/>
      <c r="B526" s="71"/>
      <c r="C526" s="59" t="s">
        <v>126</v>
      </c>
      <c r="D526" s="59" t="s">
        <v>2254</v>
      </c>
      <c r="E526" s="65">
        <v>409</v>
      </c>
      <c r="F526" s="67" t="s">
        <v>832</v>
      </c>
      <c r="G526" s="65">
        <v>40919</v>
      </c>
      <c r="H526" s="67" t="s">
        <v>2278</v>
      </c>
      <c r="I526" s="67" t="s">
        <v>832</v>
      </c>
      <c r="J526" s="67" t="str">
        <f>INDEX(数据元说明!A:F,MATCH(I526,数据元说明!C:C,0),2)</f>
        <v>005023</v>
      </c>
      <c r="K526" s="68" t="str">
        <f>INDEX(数据元说明!A:F,MATCH(I526,数据元说明!C:C,0),5)</f>
        <v>正常、结清、逾期、核销、转让，其他-银行自定义。以枚举类型填报，如无法以枚举类型填报，则以“其他-XX”填报，其中“XX”为银行自定义状态。</v>
      </c>
      <c r="L526" s="67" t="str">
        <f>INDEX(数据元说明!A:F,MATCH(I526,数据元说明!C:C,0),6)</f>
        <v>C..30</v>
      </c>
      <c r="M526" s="68"/>
      <c r="N526" s="68" t="s">
        <v>1583</v>
      </c>
      <c r="O526" s="68" t="s">
        <v>1576</v>
      </c>
      <c r="P526" s="68"/>
    </row>
    <row r="527" ht="39.95" hidden="1" customHeight="1" outlineLevel="1" spans="1:16">
      <c r="A527" s="70"/>
      <c r="B527" s="71"/>
      <c r="C527" s="59" t="s">
        <v>126</v>
      </c>
      <c r="D527" s="59" t="s">
        <v>2254</v>
      </c>
      <c r="E527" s="65">
        <v>409</v>
      </c>
      <c r="F527" s="67" t="s">
        <v>654</v>
      </c>
      <c r="G527" s="65">
        <v>40920</v>
      </c>
      <c r="H527" s="67" t="s">
        <v>2155</v>
      </c>
      <c r="I527" s="67" t="s">
        <v>654</v>
      </c>
      <c r="J527" s="67" t="str">
        <f>INDEX(数据元说明!A:F,MATCH(I527,数据元说明!C:C,0),2)</f>
        <v>003013</v>
      </c>
      <c r="K527" s="68" t="str">
        <f>INDEX(数据元说明!A:F,MATCH(I527,数据元说明!C:C,0),5)</f>
        <v>正常，预销户，销户，冻结，止付，其他-银行自定义。无法以枚举类型填报的，以“其他-XX”填报，其中“XX”为银行自定义类型。</v>
      </c>
      <c r="L527" s="67" t="str">
        <f>INDEX(数据元说明!A:F,MATCH(I527,数据元说明!C:C,0),6)</f>
        <v>C..30</v>
      </c>
      <c r="M527" s="68"/>
      <c r="N527" s="68" t="s">
        <v>1583</v>
      </c>
      <c r="O527" s="68" t="s">
        <v>1577</v>
      </c>
      <c r="P527" s="68"/>
    </row>
    <row r="528" ht="39.95" hidden="1" customHeight="1" outlineLevel="1" spans="1:16">
      <c r="A528" s="63"/>
      <c r="B528" s="64"/>
      <c r="C528" s="59" t="s">
        <v>126</v>
      </c>
      <c r="D528" s="59" t="s">
        <v>2254</v>
      </c>
      <c r="E528" s="65">
        <v>409</v>
      </c>
      <c r="F528" s="67" t="s">
        <v>484</v>
      </c>
      <c r="G528" s="65">
        <v>40921</v>
      </c>
      <c r="H528" s="67" t="s">
        <v>1623</v>
      </c>
      <c r="I528" s="67" t="s">
        <v>484</v>
      </c>
      <c r="J528" s="67" t="str">
        <f>INDEX(数据元说明!A:F,MATCH(I528,数据元说明!C:C,0),2)</f>
        <v>001038</v>
      </c>
      <c r="K528" s="68" t="str">
        <f>INDEX(数据元说明!A:F,MATCH(I528,数据元说明!C:C,0),5)</f>
        <v>银行自定义。</v>
      </c>
      <c r="L528" s="67" t="str">
        <f>INDEX(数据元说明!A:F,MATCH(I528,数据元说明!C:C,0),6)</f>
        <v>C..600</v>
      </c>
      <c r="M528" s="68" t="s">
        <v>1624</v>
      </c>
      <c r="N528" s="68" t="s">
        <v>1601</v>
      </c>
      <c r="O528" s="68"/>
      <c r="P528" s="68"/>
    </row>
    <row r="529" ht="39.95" hidden="1" customHeight="1" outlineLevel="1" spans="1:16">
      <c r="A529" s="70"/>
      <c r="B529" s="71"/>
      <c r="C529" s="59" t="s">
        <v>126</v>
      </c>
      <c r="D529" s="59" t="s">
        <v>2254</v>
      </c>
      <c r="E529" s="65">
        <v>409</v>
      </c>
      <c r="F529" s="67" t="s">
        <v>1625</v>
      </c>
      <c r="G529" s="65">
        <v>40922</v>
      </c>
      <c r="H529" s="67" t="s">
        <v>1626</v>
      </c>
      <c r="I529" s="67" t="s">
        <v>345</v>
      </c>
      <c r="J529" s="67" t="str">
        <f>INDEX(数据元说明!A:F,MATCH(I529,数据元说明!C:C,0),2)</f>
        <v>001005</v>
      </c>
      <c r="K529" s="68" t="str">
        <f>INDEX(数据元说明!A:F,MATCH(I529,数据元说明!C:C,0),5)</f>
        <v>YYYYMMDD，默认值99991231。</v>
      </c>
      <c r="L529" s="67" t="str">
        <f>INDEX(数据元说明!A:F,MATCH(I529,数据元说明!C:C,0),6)</f>
        <v>C8</v>
      </c>
      <c r="M529" s="68" t="s">
        <v>1627</v>
      </c>
      <c r="N529" s="74"/>
      <c r="O529" s="74"/>
      <c r="P529" s="74"/>
    </row>
    <row r="530" ht="39.95" hidden="1" customHeight="1" collapsed="1" spans="1:16">
      <c r="A530" s="70"/>
      <c r="B530" s="71"/>
      <c r="C530" s="59" t="s">
        <v>130</v>
      </c>
      <c r="D530" s="59" t="s">
        <v>2279</v>
      </c>
      <c r="E530" s="65">
        <v>410</v>
      </c>
      <c r="F530" s="67"/>
      <c r="G530" s="65"/>
      <c r="H530" s="67"/>
      <c r="I530" s="67"/>
      <c r="J530" s="67"/>
      <c r="K530" s="68"/>
      <c r="L530" s="67"/>
      <c r="M530" s="68" t="str">
        <f>INDEX(表结构总览!D:G,MATCH(D530,表结构总览!D:D,0),4)</f>
        <v>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v>
      </c>
      <c r="N530" s="68" t="s">
        <v>1583</v>
      </c>
      <c r="O530" s="68" t="s">
        <v>484</v>
      </c>
      <c r="P530" s="68"/>
    </row>
    <row r="531" ht="39.95" hidden="1" customHeight="1" spans="1:16">
      <c r="A531" s="70"/>
      <c r="B531" s="71"/>
      <c r="C531" s="59" t="s">
        <v>130</v>
      </c>
      <c r="D531" s="59" t="s">
        <v>2279</v>
      </c>
      <c r="E531" s="65">
        <v>410</v>
      </c>
      <c r="F531" s="67" t="s">
        <v>709</v>
      </c>
      <c r="G531" s="65">
        <v>41001</v>
      </c>
      <c r="H531" s="67" t="s">
        <v>2157</v>
      </c>
      <c r="I531" s="67" t="s">
        <v>709</v>
      </c>
      <c r="J531" s="67" t="str">
        <f>INDEX(数据元说明!A:F,MATCH(I531,数据元说明!C:C,0),2)</f>
        <v>004001</v>
      </c>
      <c r="K531" s="68" t="str">
        <f>INDEX(数据元说明!A:F,MATCH(I531,数据元说明!C:C,0),5)</f>
        <v>唯一标识该笔交易的编号，银行自定义。可以是业务编号，也可以是交易系统中使用的时间戳，需能够体现交易次序，如：时间戳(纳秒)：1530027865231834600。</v>
      </c>
      <c r="L531" s="67" t="str">
        <f>INDEX(数据元说明!A:F,MATCH(I531,数据元说明!C:C,0),6)</f>
        <v>C..100</v>
      </c>
      <c r="M531" s="68" t="s">
        <v>1679</v>
      </c>
      <c r="N531" s="68" t="s">
        <v>1601</v>
      </c>
      <c r="O531" s="80"/>
      <c r="P531" s="68"/>
    </row>
    <row r="532" ht="39.95" hidden="1" customHeight="1" outlineLevel="1" spans="1:16">
      <c r="A532" s="63"/>
      <c r="B532" s="64"/>
      <c r="C532" s="59" t="s">
        <v>130</v>
      </c>
      <c r="D532" s="59" t="s">
        <v>2279</v>
      </c>
      <c r="E532" s="65">
        <v>410</v>
      </c>
      <c r="F532" s="67" t="s">
        <v>373</v>
      </c>
      <c r="G532" s="65">
        <v>41002</v>
      </c>
      <c r="H532" s="67" t="s">
        <v>1588</v>
      </c>
      <c r="I532" s="67" t="s">
        <v>373</v>
      </c>
      <c r="J532" s="67" t="str">
        <f>INDEX(数据元说明!A:F,MATCH(I532,数据元说明!C:C,0),2)</f>
        <v>001011</v>
      </c>
      <c r="K532" s="68" t="str">
        <f>INDEX(数据元说明!A:F,MATCH(I532,数据元说明!C:C,0),5)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32" s="67" t="str">
        <f>INDEX(数据元说明!A:F,MATCH(I532,数据元说明!C:C,0),6)</f>
        <v>C..30</v>
      </c>
      <c r="M532" s="68" t="s">
        <v>2280</v>
      </c>
      <c r="N532" s="68" t="s">
        <v>1583</v>
      </c>
      <c r="O532" s="68" t="s">
        <v>484</v>
      </c>
      <c r="P532" s="68"/>
    </row>
    <row r="533" ht="39.95" hidden="1" customHeight="1" outlineLevel="1" spans="1:16">
      <c r="A533" s="70"/>
      <c r="B533" s="71"/>
      <c r="C533" s="59" t="s">
        <v>130</v>
      </c>
      <c r="D533" s="59" t="s">
        <v>2279</v>
      </c>
      <c r="E533" s="65">
        <v>410</v>
      </c>
      <c r="F533" s="67" t="s">
        <v>377</v>
      </c>
      <c r="G533" s="65">
        <v>41003</v>
      </c>
      <c r="H533" s="67" t="s">
        <v>1586</v>
      </c>
      <c r="I533" s="67" t="s">
        <v>377</v>
      </c>
      <c r="J533" s="67" t="str">
        <f>INDEX(数据元说明!A:F,MATCH(I533,数据元说明!C:C,0),2)</f>
        <v>001012</v>
      </c>
      <c r="K533" s="68" t="str">
        <f>INDEX(数据元说明!A:F,MATCH(I533,数据元说明!C:C,0),5)</f>
        <v>银行内部机构号。应具有标识机构的唯一性。</v>
      </c>
      <c r="L533" s="67" t="str">
        <f>INDEX(数据元说明!A:F,MATCH(I533,数据元说明!C:C,0),6)</f>
        <v>C..30</v>
      </c>
      <c r="M533" s="68" t="s">
        <v>2281</v>
      </c>
      <c r="N533" s="68"/>
      <c r="O533" s="68"/>
      <c r="P533" s="68"/>
    </row>
    <row r="534" ht="39.95" hidden="1" customHeight="1" outlineLevel="1" spans="1:16">
      <c r="A534" s="70"/>
      <c r="B534" s="71"/>
      <c r="C534" s="59" t="s">
        <v>130</v>
      </c>
      <c r="D534" s="59" t="s">
        <v>2279</v>
      </c>
      <c r="E534" s="65">
        <v>410</v>
      </c>
      <c r="F534" s="67" t="s">
        <v>2158</v>
      </c>
      <c r="G534" s="65">
        <v>41004</v>
      </c>
      <c r="H534" s="67" t="s">
        <v>2159</v>
      </c>
      <c r="I534" s="67" t="s">
        <v>377</v>
      </c>
      <c r="J534" s="67" t="str">
        <f>INDEX(数据元说明!A:F,MATCH(I534,数据元说明!C:C,0),2)</f>
        <v>001012</v>
      </c>
      <c r="K534" s="68" t="str">
        <f>INDEX(数据元说明!A:F,MATCH(I534,数据元说明!C:C,0),5)</f>
        <v>银行内部机构号。应具有标识机构的唯一性。</v>
      </c>
      <c r="L534" s="67" t="str">
        <f>INDEX(数据元说明!A:F,MATCH(I534,数据元说明!C:C,0),6)</f>
        <v>C..30</v>
      </c>
      <c r="M534" s="68" t="s">
        <v>2160</v>
      </c>
      <c r="N534" s="68"/>
      <c r="O534" s="68"/>
      <c r="P534" s="68"/>
    </row>
    <row r="535" ht="39.95" hidden="1" customHeight="1" outlineLevel="1" spans="1:16">
      <c r="A535" s="70"/>
      <c r="B535" s="71"/>
      <c r="C535" s="59" t="s">
        <v>130</v>
      </c>
      <c r="D535" s="59" t="s">
        <v>2279</v>
      </c>
      <c r="E535" s="65">
        <v>410</v>
      </c>
      <c r="F535" s="67" t="s">
        <v>1592</v>
      </c>
      <c r="G535" s="65">
        <v>41005</v>
      </c>
      <c r="H535" s="67" t="s">
        <v>1593</v>
      </c>
      <c r="I535" s="67" t="s">
        <v>325</v>
      </c>
      <c r="J535" s="67" t="str">
        <f>INDEX(数据元说明!A:F,MATCH(I535,数据元说明!C:C,0),2)</f>
        <v>001001</v>
      </c>
      <c r="K535" s="68" t="str">
        <f>INDEX(数据元说明!A:F,MATCH(I535,数据元说明!C:C,0),5)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535" s="67" t="str">
        <f>INDEX(数据元说明!A:F,MATCH(I535,数据元说明!C:C,0),6)</f>
        <v>C..450</v>
      </c>
      <c r="M535" s="68" t="s">
        <v>2282</v>
      </c>
      <c r="N535" s="68" t="s">
        <v>1583</v>
      </c>
      <c r="O535" s="68" t="s">
        <v>322</v>
      </c>
      <c r="P535" s="68" t="s">
        <v>1634</v>
      </c>
    </row>
    <row r="536" ht="39.95" hidden="1" customHeight="1" outlineLevel="1" spans="1:16">
      <c r="A536" s="70"/>
      <c r="B536" s="71"/>
      <c r="C536" s="59" t="s">
        <v>130</v>
      </c>
      <c r="D536" s="59" t="s">
        <v>2279</v>
      </c>
      <c r="E536" s="65">
        <v>410</v>
      </c>
      <c r="F536" s="67" t="s">
        <v>2125</v>
      </c>
      <c r="G536" s="65">
        <v>41006</v>
      </c>
      <c r="H536" s="67" t="s">
        <v>2126</v>
      </c>
      <c r="I536" s="67" t="s">
        <v>609</v>
      </c>
      <c r="J536" s="67" t="str">
        <f>INDEX(数据元说明!A:F,MATCH(I536,数据元说明!C:C,0),2)</f>
        <v>003002</v>
      </c>
      <c r="K536" s="68" t="str">
        <f>INDEX(数据元说明!A:F,MATCH(I536,数据元说明!C:C,0),5)</f>
        <v>机构实际使用的总账会计科目编码。</v>
      </c>
      <c r="L536" s="67" t="str">
        <f>INDEX(数据元说明!A:F,MATCH(I536,数据元说明!C:C,0),6)</f>
        <v>C..60</v>
      </c>
      <c r="M536" s="68" t="s">
        <v>2219</v>
      </c>
      <c r="N536" s="68" t="s">
        <v>1583</v>
      </c>
      <c r="O536" s="68" t="s">
        <v>1577</v>
      </c>
      <c r="P536" s="68"/>
    </row>
    <row r="537" ht="39.95" hidden="1" customHeight="1" outlineLevel="1" spans="1:16">
      <c r="A537" s="70"/>
      <c r="B537" s="71"/>
      <c r="C537" s="59" t="s">
        <v>130</v>
      </c>
      <c r="D537" s="59" t="s">
        <v>2279</v>
      </c>
      <c r="E537" s="65">
        <v>410</v>
      </c>
      <c r="F537" s="67" t="s">
        <v>2128</v>
      </c>
      <c r="G537" s="65">
        <v>41007</v>
      </c>
      <c r="H537" s="67" t="s">
        <v>2129</v>
      </c>
      <c r="I537" s="67" t="s">
        <v>613</v>
      </c>
      <c r="J537" s="67" t="str">
        <f>INDEX(数据元说明!A:F,MATCH(I537,数据元说明!C:C,0),2)</f>
        <v>003003</v>
      </c>
      <c r="K537" s="68" t="str">
        <f>INDEX(数据元说明!A:F,MATCH(I537,数据元说明!C:C,0),5)</f>
        <v>机构实际使用的总账会计科目编码对应的名称。</v>
      </c>
      <c r="L537" s="67" t="str">
        <f>INDEX(数据元说明!A:F,MATCH(I537,数据元说明!C:C,0),6)</f>
        <v>C..300</v>
      </c>
      <c r="M537" s="68" t="s">
        <v>2219</v>
      </c>
      <c r="N537" s="68" t="s">
        <v>1583</v>
      </c>
      <c r="O537" s="68" t="s">
        <v>484</v>
      </c>
      <c r="P537" s="68"/>
    </row>
    <row r="538" ht="39.95" hidden="1" customHeight="1" outlineLevel="1" spans="1:16">
      <c r="A538" s="70"/>
      <c r="B538" s="71"/>
      <c r="C538" s="59" t="s">
        <v>130</v>
      </c>
      <c r="D538" s="59" t="s">
        <v>2279</v>
      </c>
      <c r="E538" s="65">
        <v>410</v>
      </c>
      <c r="F538" s="67" t="s">
        <v>488</v>
      </c>
      <c r="G538" s="65">
        <v>41008</v>
      </c>
      <c r="H538" s="67" t="s">
        <v>1699</v>
      </c>
      <c r="I538" s="67" t="s">
        <v>488</v>
      </c>
      <c r="J538" s="67" t="str">
        <f>INDEX(数据元说明!A:F,MATCH(I538,数据元说明!C:C,0),2)</f>
        <v>002001</v>
      </c>
      <c r="K538" s="68" t="str">
        <f>INDEX(数据元说明!A:F,MATCH(I538,数据元说明!C:C,0),5)</f>
        <v>银行自定义的唯一识别客户的标识。供应链融资的填写供应链融资编码。</v>
      </c>
      <c r="L538" s="67" t="str">
        <f>INDEX(数据元说明!A:F,MATCH(I538,数据元说明!C:C,0),6)</f>
        <v>C..60</v>
      </c>
      <c r="M538" s="68" t="s">
        <v>2130</v>
      </c>
      <c r="N538" s="68" t="s">
        <v>1583</v>
      </c>
      <c r="O538" s="68"/>
      <c r="P538" s="68" t="s">
        <v>1634</v>
      </c>
    </row>
    <row r="539" ht="39.95" hidden="1" customHeight="1" outlineLevel="1" spans="1:16">
      <c r="A539" s="70"/>
      <c r="B539" s="71"/>
      <c r="C539" s="59" t="s">
        <v>130</v>
      </c>
      <c r="D539" s="59" t="s">
        <v>2279</v>
      </c>
      <c r="E539" s="65">
        <v>410</v>
      </c>
      <c r="F539" s="67" t="s">
        <v>646</v>
      </c>
      <c r="G539" s="65">
        <v>41009</v>
      </c>
      <c r="H539" s="67" t="s">
        <v>2131</v>
      </c>
      <c r="I539" s="67" t="s">
        <v>646</v>
      </c>
      <c r="J539" s="67" t="str">
        <f>INDEX(数据元说明!A:F,MATCH(I539,数据元说明!C:C,0),2)</f>
        <v>003011</v>
      </c>
      <c r="K539" s="68" t="str">
        <f>INDEX(数据元说明!A:F,MATCH(I539,数据元说明!C:C,0),5)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539" s="67" t="str">
        <f>INDEX(数据元说明!A:F,MATCH(I539,数据元说明!C:C,0),6)</f>
        <v>C..450</v>
      </c>
      <c r="M539" s="68" t="s">
        <v>2132</v>
      </c>
      <c r="N539" s="68" t="s">
        <v>1583</v>
      </c>
      <c r="O539" s="68" t="s">
        <v>484</v>
      </c>
      <c r="P539" s="68" t="s">
        <v>1634</v>
      </c>
    </row>
    <row r="540" ht="39.95" hidden="1" customHeight="1" outlineLevel="1" spans="1:16">
      <c r="A540" s="63"/>
      <c r="B540" s="64"/>
      <c r="C540" s="59" t="s">
        <v>130</v>
      </c>
      <c r="D540" s="59" t="s">
        <v>2279</v>
      </c>
      <c r="E540" s="65">
        <v>410</v>
      </c>
      <c r="F540" s="67" t="s">
        <v>492</v>
      </c>
      <c r="G540" s="65">
        <v>41010</v>
      </c>
      <c r="H540" s="67" t="s">
        <v>1639</v>
      </c>
      <c r="I540" s="67" t="s">
        <v>492</v>
      </c>
      <c r="J540" s="67" t="str">
        <f>INDEX(数据元说明!A:F,MATCH(I540,数据元说明!C:C,0),2)</f>
        <v>002002</v>
      </c>
      <c r="K540" s="68" t="str">
        <f>INDEX(数据元说明!A:F,MATCH(I540,数据元说明!C:C,0),5)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540" s="67" t="str">
        <f>INDEX(数据元说明!A:F,MATCH(I540,数据元说明!C:C,0),6)</f>
        <v>C..60</v>
      </c>
      <c r="M540" s="68"/>
      <c r="N540" s="68" t="s">
        <v>1601</v>
      </c>
      <c r="O540" s="68"/>
      <c r="P540" s="69"/>
    </row>
    <row r="541" ht="39.95" hidden="1" customHeight="1" outlineLevel="1" spans="1:16">
      <c r="A541" s="63"/>
      <c r="B541" s="64"/>
      <c r="C541" s="59" t="s">
        <v>130</v>
      </c>
      <c r="D541" s="59" t="s">
        <v>2279</v>
      </c>
      <c r="E541" s="65">
        <v>410</v>
      </c>
      <c r="F541" s="67" t="s">
        <v>496</v>
      </c>
      <c r="G541" s="65">
        <v>41011</v>
      </c>
      <c r="H541" s="67" t="s">
        <v>1640</v>
      </c>
      <c r="I541" s="67" t="s">
        <v>496</v>
      </c>
      <c r="J541" s="67" t="str">
        <f>INDEX(数据元说明!A:F,MATCH(I541,数据元说明!C:C,0),2)</f>
        <v>002003</v>
      </c>
      <c r="K541" s="68" t="str">
        <f>INDEX(数据元说明!A:F,MATCH(I541,数据元说明!C:C,0),5)</f>
        <v>与证件类别对应的证件号码。涉及个人身份证件时需按照本规范给定规则进行脱敏处理。</v>
      </c>
      <c r="L541" s="67" t="str">
        <f>INDEX(数据元说明!A:F,MATCH(I541,数据元说明!C:C,0),6)</f>
        <v>C..70</v>
      </c>
      <c r="M541" s="68" t="s">
        <v>2161</v>
      </c>
      <c r="N541" s="68" t="s">
        <v>1601</v>
      </c>
      <c r="O541" s="68"/>
      <c r="P541" s="69"/>
    </row>
    <row r="542" ht="39.95" hidden="1" customHeight="1" outlineLevel="1" spans="1:16">
      <c r="A542" s="63"/>
      <c r="B542" s="64"/>
      <c r="C542" s="59" t="s">
        <v>130</v>
      </c>
      <c r="D542" s="59" t="s">
        <v>2279</v>
      </c>
      <c r="E542" s="65">
        <v>410</v>
      </c>
      <c r="F542" s="67" t="s">
        <v>2255</v>
      </c>
      <c r="G542" s="65">
        <v>41012</v>
      </c>
      <c r="H542" s="67" t="s">
        <v>2256</v>
      </c>
      <c r="I542" s="67" t="s">
        <v>605</v>
      </c>
      <c r="J542" s="67" t="str">
        <f>INDEX(数据元说明!A:F,MATCH(I542,数据元说明!C:C,0),2)</f>
        <v>003001</v>
      </c>
      <c r="K542" s="68" t="str">
        <f>INDEX(数据元说明!A:F,MATCH(I542,数据元说明!C:C,0),5)</f>
        <v>系统内最细一级的账号，无唯一性约束，不需要和序号、子序号等做拼接。</v>
      </c>
      <c r="L542" s="67" t="str">
        <f>INDEX(数据元说明!A:F,MATCH(I542,数据元说明!C:C,0),6)</f>
        <v>C..60</v>
      </c>
      <c r="M542" s="68" t="s">
        <v>2283</v>
      </c>
      <c r="N542" s="68" t="s">
        <v>1583</v>
      </c>
      <c r="O542" s="68"/>
      <c r="P542" s="68" t="s">
        <v>1634</v>
      </c>
    </row>
    <row r="543" ht="39.95" hidden="1" customHeight="1" outlineLevel="1" spans="1:16">
      <c r="A543" s="70"/>
      <c r="B543" s="71"/>
      <c r="C543" s="59" t="s">
        <v>130</v>
      </c>
      <c r="D543" s="59" t="s">
        <v>2279</v>
      </c>
      <c r="E543" s="65">
        <v>410</v>
      </c>
      <c r="F543" s="67" t="s">
        <v>2260</v>
      </c>
      <c r="G543" s="65">
        <v>41013</v>
      </c>
      <c r="H543" s="67" t="s">
        <v>2261</v>
      </c>
      <c r="I543" s="67" t="s">
        <v>678</v>
      </c>
      <c r="J543" s="67" t="str">
        <f>INDEX(数据元说明!A:F,MATCH(I543,数据元说明!C:C,0),2)</f>
        <v>003019</v>
      </c>
      <c r="K543" s="68" t="str">
        <f>INDEX(数据元说明!A:F,MATCH(I543,数据元说明!C:C,0),5)</f>
        <v>借据统一编号。</v>
      </c>
      <c r="L543" s="67" t="str">
        <f>INDEX(数据元说明!A:F,MATCH(I543,数据元说明!C:C,0),6)</f>
        <v>C..100</v>
      </c>
      <c r="M543" s="68" t="s">
        <v>2262</v>
      </c>
      <c r="N543" s="68" t="s">
        <v>1583</v>
      </c>
      <c r="O543" s="68"/>
      <c r="P543" s="68" t="s">
        <v>1634</v>
      </c>
    </row>
    <row r="544" ht="39.95" hidden="1" customHeight="1" outlineLevel="1" spans="1:16">
      <c r="A544" s="70"/>
      <c r="B544" s="71"/>
      <c r="C544" s="59" t="s">
        <v>130</v>
      </c>
      <c r="D544" s="59" t="s">
        <v>2279</v>
      </c>
      <c r="E544" s="65">
        <v>410</v>
      </c>
      <c r="F544" s="67" t="s">
        <v>2166</v>
      </c>
      <c r="G544" s="65">
        <v>41014</v>
      </c>
      <c r="H544" s="67" t="s">
        <v>2167</v>
      </c>
      <c r="I544" s="67" t="s">
        <v>345</v>
      </c>
      <c r="J544" s="67" t="str">
        <f>INDEX(数据元说明!A:F,MATCH(I544,数据元说明!C:C,0),2)</f>
        <v>001005</v>
      </c>
      <c r="K544" s="68" t="str">
        <f>INDEX(数据元说明!A:F,MATCH(I544,数据元说明!C:C,0),5)</f>
        <v>YYYYMMDD，默认值99991231。</v>
      </c>
      <c r="L544" s="67" t="str">
        <f>INDEX(数据元说明!A:F,MATCH(I544,数据元说明!C:C,0),6)</f>
        <v>C8</v>
      </c>
      <c r="M544" s="68" t="s">
        <v>2168</v>
      </c>
      <c r="N544" s="80"/>
      <c r="O544" s="80"/>
      <c r="P544" s="80"/>
    </row>
    <row r="545" ht="39.95" hidden="1" customHeight="1" outlineLevel="1" spans="1:16">
      <c r="A545" s="70"/>
      <c r="B545" s="71"/>
      <c r="C545" s="59" t="s">
        <v>130</v>
      </c>
      <c r="D545" s="59" t="s">
        <v>2279</v>
      </c>
      <c r="E545" s="65">
        <v>410</v>
      </c>
      <c r="F545" s="67" t="s">
        <v>2169</v>
      </c>
      <c r="G545" s="65">
        <v>41015</v>
      </c>
      <c r="H545" s="67" t="s">
        <v>2170</v>
      </c>
      <c r="I545" s="67" t="s">
        <v>355</v>
      </c>
      <c r="J545" s="67" t="str">
        <f>INDEX(数据元说明!A:F,MATCH(I545,数据元说明!C:C,0),2)</f>
        <v>001007</v>
      </c>
      <c r="K545" s="68" t="str">
        <f>INDEX(数据元说明!A:F,MATCH(I545,数据元说明!C:C,0),5)</f>
        <v>24小时制时间，精确到秒。hhmmss，默认值000000。</v>
      </c>
      <c r="L545" s="67" t="str">
        <f>INDEX(数据元说明!A:F,MATCH(I545,数据元说明!C:C,0),6)</f>
        <v>C6</v>
      </c>
      <c r="M545" s="68" t="s">
        <v>2171</v>
      </c>
      <c r="N545" s="80"/>
      <c r="O545" s="80"/>
      <c r="P545" s="80"/>
    </row>
    <row r="546" ht="39.95" hidden="1" customHeight="1" outlineLevel="1" spans="1:16">
      <c r="A546" s="70"/>
      <c r="B546" s="71"/>
      <c r="C546" s="59" t="s">
        <v>130</v>
      </c>
      <c r="D546" s="59" t="s">
        <v>2279</v>
      </c>
      <c r="E546" s="65">
        <v>410</v>
      </c>
      <c r="F546" s="67" t="s">
        <v>713</v>
      </c>
      <c r="G546" s="65">
        <v>41016</v>
      </c>
      <c r="H546" s="67" t="s">
        <v>2164</v>
      </c>
      <c r="I546" s="67" t="s">
        <v>713</v>
      </c>
      <c r="J546" s="67" t="str">
        <f>INDEX(数据元说明!A:F,MATCH(I546,数据元说明!C:C,0),2)</f>
        <v>004002</v>
      </c>
      <c r="K546" s="68" t="str">
        <f>INDEX(数据元说明!A:F,MATCH(I546,数据元说明!C:C,0),5)</f>
        <v>转账，取现，存现，消费，代发，代扣，代缴，结息，批量交易，贷款发放，贷款还本，贷款还息，银证业务，投资理财，其他-银行自定义类型。无法以枚举类型填报的，以“其他-XX”报送，其中“XX”为银行自定义类型。</v>
      </c>
      <c r="L546" s="67" t="str">
        <f>INDEX(数据元说明!A:F,MATCH(I546,数据元说明!C:C,0),6)</f>
        <v>C..60</v>
      </c>
      <c r="M546" s="69"/>
      <c r="N546" s="68" t="s">
        <v>1583</v>
      </c>
      <c r="O546" s="68" t="s">
        <v>321</v>
      </c>
      <c r="P546" s="68"/>
    </row>
    <row r="547" ht="39.95" hidden="1" customHeight="1" outlineLevel="1" spans="1:16">
      <c r="A547" s="70"/>
      <c r="B547" s="71"/>
      <c r="C547" s="59" t="s">
        <v>130</v>
      </c>
      <c r="D547" s="59" t="s">
        <v>2279</v>
      </c>
      <c r="E547" s="65">
        <v>410</v>
      </c>
      <c r="F547" s="67" t="s">
        <v>700</v>
      </c>
      <c r="G547" s="65">
        <v>41017</v>
      </c>
      <c r="H547" s="67" t="s">
        <v>2165</v>
      </c>
      <c r="I547" s="67" t="s">
        <v>700</v>
      </c>
      <c r="J547" s="67" t="str">
        <f>INDEX(数据元说明!A:F,MATCH(I547,数据元说明!C:C,0),2)</f>
        <v>003024</v>
      </c>
      <c r="K547" s="68" t="str">
        <f>INDEX(数据元说明!A:F,MATCH(I547,数据元说明!C:C,0),5)</f>
        <v>借，贷。</v>
      </c>
      <c r="L547" s="67" t="str">
        <f>INDEX(数据元说明!A:F,MATCH(I547,数据元说明!C:C,0),6)</f>
        <v>C3</v>
      </c>
      <c r="M547" s="69"/>
      <c r="N547" s="68" t="s">
        <v>1583</v>
      </c>
      <c r="O547" s="68" t="s">
        <v>322</v>
      </c>
      <c r="P547" s="68"/>
    </row>
    <row r="548" ht="39.95" hidden="1" customHeight="1" outlineLevel="1" spans="1:16">
      <c r="A548" s="70"/>
      <c r="B548" s="71"/>
      <c r="C548" s="59" t="s">
        <v>130</v>
      </c>
      <c r="D548" s="59" t="s">
        <v>2279</v>
      </c>
      <c r="E548" s="65">
        <v>410</v>
      </c>
      <c r="F548" s="67" t="s">
        <v>642</v>
      </c>
      <c r="G548" s="65">
        <v>41018</v>
      </c>
      <c r="H548" s="67" t="s">
        <v>1914</v>
      </c>
      <c r="I548" s="67" t="s">
        <v>642</v>
      </c>
      <c r="J548" s="67" t="str">
        <f>INDEX(数据元说明!A:F,MATCH(I548,数据元说明!C:C,0),2)</f>
        <v>003010</v>
      </c>
      <c r="K548" s="68" t="str">
        <f>INDEX(数据元说明!A:F,MATCH(I548,数据元说明!C:C,0),5)</f>
        <v>遵循《GB/T 12406 表示货币和资金的代码》的字母代码，如CNY。上述文件所列币种无法涵盖的，允许银行自定义填报。多个币种合计折算为人民币（本外币合计）的，填报为BWB。</v>
      </c>
      <c r="L548" s="67" t="str">
        <f>INDEX(数据元说明!A:F,MATCH(I548,数据元说明!C:C,0),6)</f>
        <v>C3</v>
      </c>
      <c r="M548" s="69"/>
      <c r="N548" s="68" t="s">
        <v>1583</v>
      </c>
      <c r="O548" s="68"/>
      <c r="P548" s="68" t="s">
        <v>1634</v>
      </c>
    </row>
    <row r="549" ht="39.95" hidden="1" customHeight="1" outlineLevel="1" spans="1:16">
      <c r="A549" s="70"/>
      <c r="B549" s="71"/>
      <c r="C549" s="59" t="s">
        <v>130</v>
      </c>
      <c r="D549" s="59" t="s">
        <v>2279</v>
      </c>
      <c r="E549" s="65">
        <v>410</v>
      </c>
      <c r="F549" s="67" t="s">
        <v>2172</v>
      </c>
      <c r="G549" s="65">
        <v>41019</v>
      </c>
      <c r="H549" s="67" t="s">
        <v>2173</v>
      </c>
      <c r="I549" s="67" t="s">
        <v>634</v>
      </c>
      <c r="J549" s="67" t="str">
        <f>INDEX(数据元说明!A:F,MATCH(I549,数据元说明!C:C,0),2)</f>
        <v>003008</v>
      </c>
      <c r="K549" s="68" t="str">
        <f>INDEX(数据元说明!A:F,MATCH(I549,数据元说明!C:C,0),5)</f>
        <v>与币种相对应金额。</v>
      </c>
      <c r="L549" s="67" t="str">
        <f>INDEX(数据元说明!A:F,MATCH(I549,数据元说明!C:C,0),6)</f>
        <v>D20.2</v>
      </c>
      <c r="M549" s="69" t="s">
        <v>2284</v>
      </c>
      <c r="N549" s="80" t="s">
        <v>1583</v>
      </c>
      <c r="O549" s="80" t="s">
        <v>484</v>
      </c>
      <c r="P549" s="68"/>
    </row>
    <row r="550" ht="39.95" hidden="1" customHeight="1" outlineLevel="1" spans="1:16">
      <c r="A550" s="70"/>
      <c r="B550" s="71"/>
      <c r="C550" s="59" t="s">
        <v>130</v>
      </c>
      <c r="D550" s="59" t="s">
        <v>2279</v>
      </c>
      <c r="E550" s="65">
        <v>410</v>
      </c>
      <c r="F550" s="67" t="s">
        <v>2174</v>
      </c>
      <c r="G550" s="65">
        <v>41020</v>
      </c>
      <c r="H550" s="67" t="s">
        <v>2175</v>
      </c>
      <c r="I550" s="67" t="s">
        <v>638</v>
      </c>
      <c r="J550" s="67" t="str">
        <f>INDEX(数据元说明!A:F,MATCH(I550,数据元说明!C:C,0),2)</f>
        <v>003009</v>
      </c>
      <c r="K550" s="68" t="str">
        <f>INDEX(数据元说明!A:F,MATCH(I550,数据元说明!C:C,0),5)</f>
        <v>与币种相对应金额。(以正数填列。如信贷分户账，某客户初次获得贷款1万元，此时余额为10000；如活期存款明细，某客户初次开户存入10000元，此时余额为10000）</v>
      </c>
      <c r="L550" s="67" t="str">
        <f>INDEX(数据元说明!A:F,MATCH(I550,数据元说明!C:C,0),6)</f>
        <v>D20.2</v>
      </c>
      <c r="M550" s="68" t="s">
        <v>2285</v>
      </c>
      <c r="N550" s="80" t="s">
        <v>1583</v>
      </c>
      <c r="O550" s="80" t="s">
        <v>484</v>
      </c>
      <c r="P550" s="68"/>
    </row>
    <row r="551" ht="39.95" hidden="1" customHeight="1" outlineLevel="1" spans="1:16">
      <c r="A551" s="70"/>
      <c r="B551" s="71"/>
      <c r="C551" s="59" t="s">
        <v>130</v>
      </c>
      <c r="D551" s="59" t="s">
        <v>2279</v>
      </c>
      <c r="E551" s="65">
        <v>410</v>
      </c>
      <c r="F551" s="67" t="s">
        <v>2177</v>
      </c>
      <c r="G551" s="65">
        <v>41021</v>
      </c>
      <c r="H551" s="67" t="s">
        <v>2178</v>
      </c>
      <c r="I551" s="67" t="s">
        <v>704</v>
      </c>
      <c r="J551" s="67" t="str">
        <f>INDEX(数据元说明!A:F,MATCH(I551,数据元说明!C:C,0),2)</f>
        <v>003025</v>
      </c>
      <c r="K551" s="68" t="str">
        <f>INDEX(数据元说明!A:F,MATCH(I551,数据元说明!C:C,0),5)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551" s="67" t="str">
        <f>INDEX(数据元说明!A:F,MATCH(I551,数据元说明!C:C,0),6)</f>
        <v>C..60</v>
      </c>
      <c r="M551" s="68" t="s">
        <v>2286</v>
      </c>
      <c r="N551" s="80" t="s">
        <v>1583</v>
      </c>
      <c r="O551" s="80" t="s">
        <v>484</v>
      </c>
      <c r="P551" s="80"/>
    </row>
    <row r="552" ht="39.95" hidden="1" customHeight="1" outlineLevel="1" spans="1:16">
      <c r="A552" s="70"/>
      <c r="B552" s="71"/>
      <c r="C552" s="59" t="s">
        <v>130</v>
      </c>
      <c r="D552" s="59" t="s">
        <v>2279</v>
      </c>
      <c r="E552" s="65">
        <v>410</v>
      </c>
      <c r="F552" s="67" t="s">
        <v>2180</v>
      </c>
      <c r="G552" s="65">
        <v>41022</v>
      </c>
      <c r="H552" s="67" t="s">
        <v>2181</v>
      </c>
      <c r="I552" s="67" t="s">
        <v>646</v>
      </c>
      <c r="J552" s="67" t="str">
        <f>INDEX(数据元说明!A:F,MATCH(I552,数据元说明!C:C,0),2)</f>
        <v>003011</v>
      </c>
      <c r="K552" s="68" t="str">
        <f>INDEX(数据元说明!A:F,MATCH(I552,数据元说明!C:C,0),5)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552" s="67" t="str">
        <f>INDEX(数据元说明!A:F,MATCH(I552,数据元说明!C:C,0),6)</f>
        <v>C..450</v>
      </c>
      <c r="M552" s="68" t="s">
        <v>2287</v>
      </c>
      <c r="N552" s="68" t="s">
        <v>1583</v>
      </c>
      <c r="O552" s="68" t="s">
        <v>1660</v>
      </c>
      <c r="P552" s="68"/>
    </row>
    <row r="553" ht="39.95" hidden="1" customHeight="1" outlineLevel="1" spans="1:16">
      <c r="A553" s="70"/>
      <c r="B553" s="71"/>
      <c r="C553" s="59" t="s">
        <v>130</v>
      </c>
      <c r="D553" s="59" t="s">
        <v>2279</v>
      </c>
      <c r="E553" s="65">
        <v>410</v>
      </c>
      <c r="F553" s="67" t="s">
        <v>2182</v>
      </c>
      <c r="G553" s="65">
        <v>41023</v>
      </c>
      <c r="H553" s="67" t="s">
        <v>2183</v>
      </c>
      <c r="I553" s="67" t="s">
        <v>369</v>
      </c>
      <c r="J553" s="67" t="str">
        <f>INDEX(数据元说明!A:F,MATCH(I553,数据元说明!C:C,0),2)</f>
        <v>001010</v>
      </c>
      <c r="K553" s="68" t="str">
        <f>INDEX(数据元说明!A:F,MATCH(I553,数据元说明!C:C,0),5)</f>
        <v>12位人行支付行号或SWIFT行号。</v>
      </c>
      <c r="L553" s="67" t="str">
        <f>INDEX(数据元说明!A:F,MATCH(I553,数据元说明!C:C,0),6)</f>
        <v>C..30</v>
      </c>
      <c r="M553" s="80" t="s">
        <v>2248</v>
      </c>
      <c r="N553" s="80" t="s">
        <v>1583</v>
      </c>
      <c r="O553" s="80" t="s">
        <v>484</v>
      </c>
      <c r="P553" s="80"/>
    </row>
    <row r="554" ht="39.95" hidden="1" customHeight="1" outlineLevel="1" spans="1:16">
      <c r="A554" s="70"/>
      <c r="B554" s="71"/>
      <c r="C554" s="59" t="s">
        <v>130</v>
      </c>
      <c r="D554" s="59" t="s">
        <v>2279</v>
      </c>
      <c r="E554" s="65">
        <v>410</v>
      </c>
      <c r="F554" s="67" t="s">
        <v>2184</v>
      </c>
      <c r="G554" s="65">
        <v>41024</v>
      </c>
      <c r="H554" s="67" t="s">
        <v>2185</v>
      </c>
      <c r="I554" s="67" t="s">
        <v>325</v>
      </c>
      <c r="J554" s="67" t="str">
        <f>INDEX(数据元说明!A:F,MATCH(I554,数据元说明!C:C,0),2)</f>
        <v>001001</v>
      </c>
      <c r="K554" s="68" t="str">
        <f>INDEX(数据元说明!A:F,MATCH(I554,数据元说明!C:C,0),5)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554" s="67" t="str">
        <f>INDEX(数据元说明!A:F,MATCH(I554,数据元说明!C:C,0),6)</f>
        <v>C..450</v>
      </c>
      <c r="M554" s="80" t="s">
        <v>2249</v>
      </c>
      <c r="N554" s="80" t="s">
        <v>1583</v>
      </c>
      <c r="O554" s="80" t="s">
        <v>1695</v>
      </c>
      <c r="P554" s="80"/>
    </row>
    <row r="555" ht="39.95" hidden="1" customHeight="1" outlineLevel="1" spans="1:16">
      <c r="A555" s="70"/>
      <c r="B555" s="71"/>
      <c r="C555" s="59" t="s">
        <v>130</v>
      </c>
      <c r="D555" s="59" t="s">
        <v>2279</v>
      </c>
      <c r="E555" s="65">
        <v>410</v>
      </c>
      <c r="F555" s="67" t="s">
        <v>725</v>
      </c>
      <c r="G555" s="65">
        <v>41025</v>
      </c>
      <c r="H555" s="67" t="s">
        <v>1792</v>
      </c>
      <c r="I555" s="67" t="s">
        <v>725</v>
      </c>
      <c r="J555" s="67" t="str">
        <f>INDEX(数据元说明!A:F,MATCH(I555,数据元说明!C:C,0),2)</f>
        <v>004005</v>
      </c>
      <c r="K555" s="68" t="str">
        <f>INDEX(数据元说明!A:F,MATCH(I555,数据元说明!C:C,0),5)</f>
        <v>银行自定义交易内容的简要描述。</v>
      </c>
      <c r="L555" s="67" t="str">
        <f>INDEX(数据元说明!A:F,MATCH(I555,数据元说明!C:C,0),6)</f>
        <v>C..600</v>
      </c>
      <c r="M555" s="69"/>
      <c r="N555" s="68" t="s">
        <v>1583</v>
      </c>
      <c r="O555" s="68" t="s">
        <v>321</v>
      </c>
      <c r="P555" s="68" t="s">
        <v>1634</v>
      </c>
    </row>
    <row r="556" ht="39.95" hidden="1" customHeight="1" outlineLevel="1" spans="1:16">
      <c r="A556" s="70"/>
      <c r="B556" s="71"/>
      <c r="C556" s="59" t="s">
        <v>130</v>
      </c>
      <c r="D556" s="59" t="s">
        <v>2279</v>
      </c>
      <c r="E556" s="65">
        <v>410</v>
      </c>
      <c r="F556" s="67" t="s">
        <v>717</v>
      </c>
      <c r="G556" s="65">
        <v>41026</v>
      </c>
      <c r="H556" s="67" t="s">
        <v>2191</v>
      </c>
      <c r="I556" s="67" t="s">
        <v>717</v>
      </c>
      <c r="J556" s="67" t="str">
        <f>INDEX(数据元说明!A:F,MATCH(I556,数据元说明!C:C,0),2)</f>
        <v>004003</v>
      </c>
      <c r="K556" s="68" t="str">
        <f>INDEX(数据元说明!A:F,MATCH(I556,数据元说明!C:C,0),5)</f>
        <v>柜面，ATM，VTM，POS，网银，手机银行，银联交易，第三方支付-银行自定义，其他-银行自定义。交易类型为第三方支付的，以“第三方支付-XX”填报，其中“XX”为第三方支付平台名称。如无法以枚举类型填报，则以“其他-XX”填报，其中“XX”为银行自定义类型。</v>
      </c>
      <c r="L556" s="67" t="str">
        <f>INDEX(数据元说明!A:F,MATCH(I556,数据元说明!C:C,0),6)</f>
        <v>C..60</v>
      </c>
      <c r="M556" s="69" t="s">
        <v>2221</v>
      </c>
      <c r="N556" s="68" t="s">
        <v>1583</v>
      </c>
      <c r="O556" s="68" t="s">
        <v>321</v>
      </c>
      <c r="P556" s="68" t="s">
        <v>1648</v>
      </c>
    </row>
    <row r="557" ht="39.95" hidden="1" customHeight="1" outlineLevel="1" spans="1:16">
      <c r="A557" s="70"/>
      <c r="B557" s="71"/>
      <c r="C557" s="59" t="s">
        <v>130</v>
      </c>
      <c r="D557" s="59" t="s">
        <v>2279</v>
      </c>
      <c r="E557" s="65">
        <v>410</v>
      </c>
      <c r="F557" s="67" t="s">
        <v>733</v>
      </c>
      <c r="G557" s="65">
        <v>41027</v>
      </c>
      <c r="H557" s="67" t="s">
        <v>2187</v>
      </c>
      <c r="I557" s="67" t="s">
        <v>733</v>
      </c>
      <c r="J557" s="67" t="str">
        <f>INDEX(数据元说明!A:F,MATCH(I557,数据元说明!C:C,0),2)</f>
        <v>004007</v>
      </c>
      <c r="K557" s="68" t="str">
        <f>INDEX(数据元说明!A:F,MATCH(I557,数据元说明!C:C,0),5)</f>
        <v>正常，冲补抹。</v>
      </c>
      <c r="L557" s="67" t="str">
        <f>INDEX(数据元说明!A:F,MATCH(I557,数据元说明!C:C,0),6)</f>
        <v>C..9</v>
      </c>
      <c r="M557" s="69" t="s">
        <v>2188</v>
      </c>
      <c r="N557" s="68"/>
      <c r="O557" s="68"/>
      <c r="P557" s="68"/>
    </row>
    <row r="558" ht="39.95" hidden="1" customHeight="1" outlineLevel="1" spans="1:16">
      <c r="A558" s="63"/>
      <c r="B558" s="64"/>
      <c r="C558" s="59" t="s">
        <v>130</v>
      </c>
      <c r="D558" s="59" t="s">
        <v>2279</v>
      </c>
      <c r="E558" s="65">
        <v>410</v>
      </c>
      <c r="F558" s="67" t="s">
        <v>2197</v>
      </c>
      <c r="G558" s="65">
        <v>41028</v>
      </c>
      <c r="H558" s="67" t="s">
        <v>2198</v>
      </c>
      <c r="I558" s="67" t="s">
        <v>393</v>
      </c>
      <c r="J558" s="67" t="str">
        <f>INDEX(数据元说明!A:F,MATCH(I558,数据元说明!C:C,0),2)</f>
        <v>001016</v>
      </c>
      <c r="K558" s="68" t="str">
        <f>INDEX(数据元说明!A:F,MATCH(I558,数据元说明!C:C,0),5)</f>
        <v>姓名。</v>
      </c>
      <c r="L558" s="67" t="str">
        <f>INDEX(数据元说明!A:F,MATCH(I558,数据元说明!C:C,0),6)</f>
        <v>C..150</v>
      </c>
      <c r="M558" s="68" t="s">
        <v>2288</v>
      </c>
      <c r="N558" s="68" t="s">
        <v>1583</v>
      </c>
      <c r="O558" s="68" t="s">
        <v>484</v>
      </c>
      <c r="P558" s="68"/>
    </row>
    <row r="559" ht="39.95" hidden="1" customHeight="1" outlineLevel="1" spans="1:16">
      <c r="A559" s="63"/>
      <c r="B559" s="64"/>
      <c r="C559" s="59" t="s">
        <v>130</v>
      </c>
      <c r="D559" s="59" t="s">
        <v>2279</v>
      </c>
      <c r="E559" s="65">
        <v>410</v>
      </c>
      <c r="F559" s="67" t="s">
        <v>2200</v>
      </c>
      <c r="G559" s="65">
        <v>41029</v>
      </c>
      <c r="H559" s="67" t="s">
        <v>2201</v>
      </c>
      <c r="I559" s="67" t="s">
        <v>492</v>
      </c>
      <c r="J559" s="67" t="str">
        <f>INDEX(数据元说明!A:F,MATCH(I559,数据元说明!C:C,0),2)</f>
        <v>002002</v>
      </c>
      <c r="K559" s="68" t="str">
        <f>INDEX(数据元说明!A:F,MATCH(I559,数据元说明!C:C,0),5)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559" s="67" t="str">
        <f>INDEX(数据元说明!A:F,MATCH(I559,数据元说明!C:C,0),6)</f>
        <v>C..60</v>
      </c>
      <c r="M559" s="68" t="s">
        <v>2289</v>
      </c>
      <c r="N559" s="68"/>
      <c r="O559" s="68"/>
      <c r="P559" s="68"/>
    </row>
    <row r="560" ht="39.95" hidden="1" customHeight="1" outlineLevel="1" spans="1:16">
      <c r="A560" s="63"/>
      <c r="B560" s="64"/>
      <c r="C560" s="59" t="s">
        <v>130</v>
      </c>
      <c r="D560" s="59" t="s">
        <v>2279</v>
      </c>
      <c r="E560" s="65">
        <v>410</v>
      </c>
      <c r="F560" s="67" t="s">
        <v>2203</v>
      </c>
      <c r="G560" s="65">
        <v>41030</v>
      </c>
      <c r="H560" s="67" t="s">
        <v>2204</v>
      </c>
      <c r="I560" s="67" t="s">
        <v>496</v>
      </c>
      <c r="J560" s="67" t="str">
        <f>INDEX(数据元说明!A:F,MATCH(I560,数据元说明!C:C,0),2)</f>
        <v>002003</v>
      </c>
      <c r="K560" s="68" t="str">
        <f>INDEX(数据元说明!A:F,MATCH(I560,数据元说明!C:C,0),5)</f>
        <v>与证件类别对应的证件号码。涉及个人身份证件时需按照本规范给定规则进行脱敏处理。</v>
      </c>
      <c r="L560" s="67" t="str">
        <f>INDEX(数据元说明!A:F,MATCH(I560,数据元说明!C:C,0),6)</f>
        <v>C..70</v>
      </c>
      <c r="M560" s="68" t="s">
        <v>2290</v>
      </c>
      <c r="N560" s="68" t="s">
        <v>1583</v>
      </c>
      <c r="O560" s="68" t="s">
        <v>322</v>
      </c>
      <c r="P560" s="68"/>
    </row>
    <row r="561" ht="39.95" hidden="1" customHeight="1" outlineLevel="1" spans="1:16">
      <c r="A561" s="63"/>
      <c r="B561" s="64"/>
      <c r="C561" s="59" t="s">
        <v>130</v>
      </c>
      <c r="D561" s="59" t="s">
        <v>2279</v>
      </c>
      <c r="E561" s="65">
        <v>410</v>
      </c>
      <c r="F561" s="67" t="s">
        <v>2207</v>
      </c>
      <c r="G561" s="65">
        <v>41031</v>
      </c>
      <c r="H561" s="67" t="s">
        <v>2208</v>
      </c>
      <c r="I561" s="67" t="s">
        <v>409</v>
      </c>
      <c r="J561" s="67" t="str">
        <f>INDEX(数据元说明!A:F,MATCH(I561,数据元说明!C:C,0),2)</f>
        <v>001020</v>
      </c>
      <c r="K561" s="68" t="str">
        <f>INDEX(数据元说明!A:F,MATCH(I561,数据元说明!C:C,0),5)</f>
        <v>柜员编号，银行自定义。</v>
      </c>
      <c r="L561" s="67" t="str">
        <f>INDEX(数据元说明!A:F,MATCH(I561,数据元说明!C:C,0),6)</f>
        <v>C..30</v>
      </c>
      <c r="M561" s="69" t="s">
        <v>2014</v>
      </c>
      <c r="N561" s="68"/>
      <c r="O561" s="68"/>
      <c r="P561" s="68"/>
    </row>
    <row r="562" ht="39.95" hidden="1" customHeight="1" outlineLevel="1" spans="1:16">
      <c r="A562" s="63"/>
      <c r="B562" s="64"/>
      <c r="C562" s="59" t="s">
        <v>130</v>
      </c>
      <c r="D562" s="59" t="s">
        <v>2279</v>
      </c>
      <c r="E562" s="65">
        <v>410</v>
      </c>
      <c r="F562" s="67" t="s">
        <v>2209</v>
      </c>
      <c r="G562" s="65">
        <v>41032</v>
      </c>
      <c r="H562" s="67" t="s">
        <v>2210</v>
      </c>
      <c r="I562" s="67" t="s">
        <v>409</v>
      </c>
      <c r="J562" s="67" t="str">
        <f>INDEX(数据元说明!A:F,MATCH(I562,数据元说明!C:C,0),2)</f>
        <v>001020</v>
      </c>
      <c r="K562" s="68" t="str">
        <f>INDEX(数据元说明!A:F,MATCH(I562,数据元说明!C:C,0),5)</f>
        <v>柜员编号，银行自定义。</v>
      </c>
      <c r="L562" s="67" t="str">
        <f>INDEX(数据元说明!A:F,MATCH(I562,数据元说明!C:C,0),6)</f>
        <v>C..30</v>
      </c>
      <c r="M562" s="69" t="s">
        <v>2211</v>
      </c>
      <c r="N562" s="68"/>
      <c r="O562" s="68"/>
      <c r="P562" s="68"/>
    </row>
    <row r="563" ht="39.95" hidden="1" customHeight="1" outlineLevel="1" spans="1:16">
      <c r="A563" s="70"/>
      <c r="B563" s="71"/>
      <c r="C563" s="59" t="s">
        <v>130</v>
      </c>
      <c r="D563" s="59" t="s">
        <v>2279</v>
      </c>
      <c r="E563" s="65">
        <v>410</v>
      </c>
      <c r="F563" s="67" t="s">
        <v>721</v>
      </c>
      <c r="G563" s="65">
        <v>41033</v>
      </c>
      <c r="H563" s="67" t="s">
        <v>2189</v>
      </c>
      <c r="I563" s="67" t="s">
        <v>721</v>
      </c>
      <c r="J563" s="67" t="str">
        <f>INDEX(数据元说明!A:F,MATCH(I563,数据元说明!C:C,0),2)</f>
        <v>004004</v>
      </c>
      <c r="K563" s="68" t="str">
        <f>INDEX(数据元说明!A:F,MATCH(I563,数据元说明!C:C,0),5)</f>
        <v>现，转。</v>
      </c>
      <c r="L563" s="67" t="str">
        <f>INDEX(数据元说明!A:F,MATCH(I563,数据元说明!C:C,0),6)</f>
        <v>C3</v>
      </c>
      <c r="M563" s="68" t="s">
        <v>2190</v>
      </c>
      <c r="N563" s="68" t="s">
        <v>1583</v>
      </c>
      <c r="O563" s="68" t="s">
        <v>484</v>
      </c>
      <c r="P563" s="68"/>
    </row>
    <row r="564" ht="39.95" hidden="1" customHeight="1" outlineLevel="1" spans="1:16">
      <c r="A564" s="63"/>
      <c r="B564" s="64"/>
      <c r="C564" s="59" t="s">
        <v>130</v>
      </c>
      <c r="D564" s="59" t="s">
        <v>2279</v>
      </c>
      <c r="E564" s="65">
        <v>410</v>
      </c>
      <c r="F564" s="67" t="s">
        <v>484</v>
      </c>
      <c r="G564" s="65">
        <v>41034</v>
      </c>
      <c r="H564" s="67" t="s">
        <v>1623</v>
      </c>
      <c r="I564" s="67" t="s">
        <v>484</v>
      </c>
      <c r="J564" s="67" t="str">
        <f>INDEX(数据元说明!A:F,MATCH(I564,数据元说明!C:C,0),2)</f>
        <v>001038</v>
      </c>
      <c r="K564" s="68" t="str">
        <f>INDEX(数据元说明!A:F,MATCH(I564,数据元说明!C:C,0),5)</f>
        <v>银行自定义。</v>
      </c>
      <c r="L564" s="67" t="str">
        <f>INDEX(数据元说明!A:F,MATCH(I564,数据元说明!C:C,0),6)</f>
        <v>C..600</v>
      </c>
      <c r="M564" s="68" t="s">
        <v>1624</v>
      </c>
      <c r="N564" s="68" t="s">
        <v>1601</v>
      </c>
      <c r="O564" s="68"/>
      <c r="P564" s="68"/>
    </row>
    <row r="565" ht="39.95" hidden="1" customHeight="1" outlineLevel="1" spans="1:16">
      <c r="A565" s="63"/>
      <c r="B565" s="64"/>
      <c r="C565" s="59" t="s">
        <v>130</v>
      </c>
      <c r="D565" s="59" t="s">
        <v>2279</v>
      </c>
      <c r="E565" s="65">
        <v>410</v>
      </c>
      <c r="F565" s="67" t="s">
        <v>1625</v>
      </c>
      <c r="G565" s="65">
        <v>41035</v>
      </c>
      <c r="H565" s="67" t="s">
        <v>1626</v>
      </c>
      <c r="I565" s="67" t="s">
        <v>345</v>
      </c>
      <c r="J565" s="67" t="str">
        <f>INDEX(数据元说明!A:F,MATCH(I565,数据元说明!C:C,0),2)</f>
        <v>001005</v>
      </c>
      <c r="K565" s="68" t="str">
        <f>INDEX(数据元说明!A:F,MATCH(I565,数据元说明!C:C,0),5)</f>
        <v>YYYYMMDD，默认值99991231。</v>
      </c>
      <c r="L565" s="67" t="str">
        <f>INDEX(数据元说明!A:F,MATCH(I565,数据元说明!C:C,0),6)</f>
        <v>C8</v>
      </c>
      <c r="M565" s="68" t="s">
        <v>1627</v>
      </c>
      <c r="N565" s="68"/>
      <c r="O565" s="68"/>
      <c r="P565" s="68"/>
    </row>
    <row r="566" ht="39.95" hidden="1" customHeight="1" collapsed="1" spans="1:16">
      <c r="A566" s="70"/>
      <c r="B566" s="71"/>
      <c r="C566" s="59" t="s">
        <v>134</v>
      </c>
      <c r="D566" s="59" t="s">
        <v>2291</v>
      </c>
      <c r="E566" s="65">
        <v>411</v>
      </c>
      <c r="F566" s="67"/>
      <c r="G566" s="65"/>
      <c r="H566" s="67"/>
      <c r="I566" s="67"/>
      <c r="J566" s="67"/>
      <c r="K566" s="68"/>
      <c r="L566" s="67"/>
      <c r="M566" s="68" t="str">
        <f>INDEX(表结构总览!D:G,MATCH(D566,表结构总览!D:D,0),4)</f>
        <v>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v>
      </c>
      <c r="N566" s="68" t="s">
        <v>1583</v>
      </c>
      <c r="O566" s="68" t="s">
        <v>484</v>
      </c>
      <c r="P566" s="68"/>
    </row>
    <row r="567" ht="39.95" hidden="1" customHeight="1" outlineLevel="1" spans="1:16">
      <c r="A567" s="63"/>
      <c r="B567" s="64"/>
      <c r="C567" s="59" t="s">
        <v>134</v>
      </c>
      <c r="D567" s="59" t="s">
        <v>2291</v>
      </c>
      <c r="E567" s="65">
        <v>411</v>
      </c>
      <c r="F567" s="67" t="s">
        <v>373</v>
      </c>
      <c r="G567" s="65">
        <v>41101</v>
      </c>
      <c r="H567" s="67" t="s">
        <v>1588</v>
      </c>
      <c r="I567" s="67" t="s">
        <v>373</v>
      </c>
      <c r="J567" s="67" t="str">
        <f>INDEX(数据元说明!A:F,MATCH(I567,数据元说明!C:C,0),2)</f>
        <v>001011</v>
      </c>
      <c r="K567" s="68" t="str">
        <f>INDEX(数据元说明!A:F,MATCH(I567,数据元说明!C:C,0),5)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67" s="67" t="str">
        <f>INDEX(数据元说明!A:F,MATCH(I567,数据元说明!C:C,0),6)</f>
        <v>C..30</v>
      </c>
      <c r="M567" s="68" t="s">
        <v>2122</v>
      </c>
      <c r="N567" s="68" t="s">
        <v>1583</v>
      </c>
      <c r="O567" s="68" t="s">
        <v>484</v>
      </c>
      <c r="P567" s="68"/>
    </row>
    <row r="568" ht="39.95" hidden="1" customHeight="1" outlineLevel="1" spans="1:16">
      <c r="A568" s="63"/>
      <c r="B568" s="64"/>
      <c r="C568" s="59" t="s">
        <v>134</v>
      </c>
      <c r="D568" s="59" t="s">
        <v>2291</v>
      </c>
      <c r="E568" s="65">
        <v>411</v>
      </c>
      <c r="F568" s="67" t="s">
        <v>377</v>
      </c>
      <c r="G568" s="65">
        <v>41102</v>
      </c>
      <c r="H568" s="67" t="s">
        <v>1586</v>
      </c>
      <c r="I568" s="67" t="s">
        <v>377</v>
      </c>
      <c r="J568" s="67" t="str">
        <f>INDEX(数据元说明!A:F,MATCH(I568,数据元说明!C:C,0),2)</f>
        <v>001012</v>
      </c>
      <c r="K568" s="68" t="str">
        <f>INDEX(数据元说明!A:F,MATCH(I568,数据元说明!C:C,0),5)</f>
        <v>银行内部机构号。应具有标识机构的唯一性。</v>
      </c>
      <c r="L568" s="67" t="str">
        <f>INDEX(数据元说明!A:F,MATCH(I568,数据元说明!C:C,0),6)</f>
        <v>C..30</v>
      </c>
      <c r="M568" s="68" t="s">
        <v>2123</v>
      </c>
      <c r="N568" s="68"/>
      <c r="O568" s="68"/>
      <c r="P568" s="68"/>
    </row>
    <row r="569" ht="39.95" hidden="1" customHeight="1" outlineLevel="1" spans="1:16">
      <c r="A569" s="63"/>
      <c r="B569" s="64"/>
      <c r="C569" s="59" t="s">
        <v>134</v>
      </c>
      <c r="D569" s="59" t="s">
        <v>2291</v>
      </c>
      <c r="E569" s="65">
        <v>411</v>
      </c>
      <c r="F569" s="67" t="s">
        <v>1592</v>
      </c>
      <c r="G569" s="65">
        <v>41103</v>
      </c>
      <c r="H569" s="67" t="s">
        <v>1593</v>
      </c>
      <c r="I569" s="67" t="s">
        <v>325</v>
      </c>
      <c r="J569" s="67" t="str">
        <f>INDEX(数据元说明!A:F,MATCH(I569,数据元说明!C:C,0),2)</f>
        <v>001001</v>
      </c>
      <c r="K569" s="68" t="str">
        <f>INDEX(数据元说明!A:F,MATCH(I569,数据元说明!C:C,0),5)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569" s="67" t="str">
        <f>INDEX(数据元说明!A:F,MATCH(I569,数据元说明!C:C,0),6)</f>
        <v>C..450</v>
      </c>
      <c r="M569" s="68" t="s">
        <v>2124</v>
      </c>
      <c r="N569" s="68" t="s">
        <v>1583</v>
      </c>
      <c r="O569" s="68" t="s">
        <v>322</v>
      </c>
      <c r="P569" s="68" t="s">
        <v>1634</v>
      </c>
    </row>
    <row r="570" ht="39.95" hidden="1" customHeight="1" outlineLevel="1" spans="1:16">
      <c r="A570" s="63"/>
      <c r="B570" s="64"/>
      <c r="C570" s="59" t="s">
        <v>134</v>
      </c>
      <c r="D570" s="59" t="s">
        <v>2291</v>
      </c>
      <c r="E570" s="65">
        <v>411</v>
      </c>
      <c r="F570" s="67" t="s">
        <v>2125</v>
      </c>
      <c r="G570" s="65">
        <v>41104</v>
      </c>
      <c r="H570" s="67" t="s">
        <v>2126</v>
      </c>
      <c r="I570" s="67" t="s">
        <v>609</v>
      </c>
      <c r="J570" s="67" t="str">
        <f>INDEX(数据元说明!A:F,MATCH(I570,数据元说明!C:C,0),2)</f>
        <v>003002</v>
      </c>
      <c r="K570" s="68" t="str">
        <f>INDEX(数据元说明!A:F,MATCH(I570,数据元说明!C:C,0),5)</f>
        <v>机构实际使用的总账会计科目编码。</v>
      </c>
      <c r="L570" s="67" t="str">
        <f>INDEX(数据元说明!A:F,MATCH(I570,数据元说明!C:C,0),6)</f>
        <v>C..60</v>
      </c>
      <c r="M570" s="68" t="s">
        <v>2219</v>
      </c>
      <c r="N570" s="68" t="s">
        <v>1583</v>
      </c>
      <c r="O570" s="68" t="s">
        <v>1577</v>
      </c>
      <c r="P570" s="68"/>
    </row>
    <row r="571" ht="39.95" hidden="1" customHeight="1" outlineLevel="1" spans="1:16">
      <c r="A571" s="70"/>
      <c r="B571" s="71"/>
      <c r="C571" s="59" t="s">
        <v>134</v>
      </c>
      <c r="D571" s="59" t="s">
        <v>2291</v>
      </c>
      <c r="E571" s="65">
        <v>411</v>
      </c>
      <c r="F571" s="67" t="s">
        <v>2128</v>
      </c>
      <c r="G571" s="65">
        <v>41105</v>
      </c>
      <c r="H571" s="67" t="s">
        <v>2129</v>
      </c>
      <c r="I571" s="67" t="s">
        <v>613</v>
      </c>
      <c r="J571" s="67" t="str">
        <f>INDEX(数据元说明!A:F,MATCH(I571,数据元说明!C:C,0),2)</f>
        <v>003003</v>
      </c>
      <c r="K571" s="68" t="str">
        <f>INDEX(数据元说明!A:F,MATCH(I571,数据元说明!C:C,0),5)</f>
        <v>机构实际使用的总账会计科目编码对应的名称。</v>
      </c>
      <c r="L571" s="67" t="str">
        <f>INDEX(数据元说明!A:F,MATCH(I571,数据元说明!C:C,0),6)</f>
        <v>C..300</v>
      </c>
      <c r="M571" s="68" t="s">
        <v>2219</v>
      </c>
      <c r="N571" s="68" t="s">
        <v>1583</v>
      </c>
      <c r="O571" s="68" t="s">
        <v>484</v>
      </c>
      <c r="P571" s="68"/>
    </row>
    <row r="572" ht="39.95" hidden="1" customHeight="1" outlineLevel="1" spans="1:16">
      <c r="A572" s="63"/>
      <c r="B572" s="64"/>
      <c r="C572" s="59" t="s">
        <v>134</v>
      </c>
      <c r="D572" s="59" t="s">
        <v>2291</v>
      </c>
      <c r="E572" s="65">
        <v>411</v>
      </c>
      <c r="F572" s="67" t="s">
        <v>488</v>
      </c>
      <c r="G572" s="65">
        <v>41106</v>
      </c>
      <c r="H572" s="67" t="s">
        <v>1699</v>
      </c>
      <c r="I572" s="67" t="s">
        <v>488</v>
      </c>
      <c r="J572" s="67" t="str">
        <f>INDEX(数据元说明!A:F,MATCH(I572,数据元说明!C:C,0),2)</f>
        <v>002001</v>
      </c>
      <c r="K572" s="68" t="str">
        <f>INDEX(数据元说明!A:F,MATCH(I572,数据元说明!C:C,0),5)</f>
        <v>银行自定义的唯一识别客户的标识。供应链融资的填写供应链融资编码。</v>
      </c>
      <c r="L572" s="67" t="str">
        <f>INDEX(数据元说明!A:F,MATCH(I572,数据元说明!C:C,0),6)</f>
        <v>C..60</v>
      </c>
      <c r="M572" s="68" t="s">
        <v>2213</v>
      </c>
      <c r="N572" s="68" t="s">
        <v>1583</v>
      </c>
      <c r="O572" s="68"/>
      <c r="P572" s="68" t="s">
        <v>1634</v>
      </c>
    </row>
    <row r="573" ht="39.95" hidden="1" customHeight="1" outlineLevel="1" spans="1:16">
      <c r="A573" s="63"/>
      <c r="B573" s="64"/>
      <c r="C573" s="59" t="s">
        <v>134</v>
      </c>
      <c r="D573" s="59" t="s">
        <v>2291</v>
      </c>
      <c r="E573" s="65">
        <v>411</v>
      </c>
      <c r="F573" s="67" t="s">
        <v>646</v>
      </c>
      <c r="G573" s="65">
        <v>41107</v>
      </c>
      <c r="H573" s="67" t="s">
        <v>2131</v>
      </c>
      <c r="I573" s="67" t="s">
        <v>646</v>
      </c>
      <c r="J573" s="67" t="str">
        <f>INDEX(数据元说明!A:F,MATCH(I573,数据元说明!C:C,0),2)</f>
        <v>003011</v>
      </c>
      <c r="K573" s="68" t="str">
        <f>INDEX(数据元说明!A:F,MATCH(I573,数据元说明!C:C,0),5)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573" s="67" t="str">
        <f>INDEX(数据元说明!A:F,MATCH(I573,数据元说明!C:C,0),6)</f>
        <v>C..450</v>
      </c>
      <c r="M573" s="68" t="s">
        <v>2223</v>
      </c>
      <c r="N573" s="68" t="s">
        <v>1583</v>
      </c>
      <c r="O573" s="68" t="s">
        <v>1660</v>
      </c>
      <c r="P573" s="68"/>
    </row>
    <row r="574" ht="39.95" hidden="1" customHeight="1" outlineLevel="1" spans="1:16">
      <c r="A574" s="63"/>
      <c r="B574" s="64"/>
      <c r="C574" s="59" t="s">
        <v>134</v>
      </c>
      <c r="D574" s="59" t="s">
        <v>2291</v>
      </c>
      <c r="E574" s="65">
        <v>411</v>
      </c>
      <c r="F574" s="67" t="s">
        <v>2255</v>
      </c>
      <c r="G574" s="65">
        <v>41108</v>
      </c>
      <c r="H574" s="67" t="s">
        <v>2256</v>
      </c>
      <c r="I574" s="67" t="s">
        <v>605</v>
      </c>
      <c r="J574" s="67" t="str">
        <f>INDEX(数据元说明!A:F,MATCH(I574,数据元说明!C:C,0),2)</f>
        <v>003001</v>
      </c>
      <c r="K574" s="68" t="str">
        <f>INDEX(数据元说明!A:F,MATCH(I574,数据元说明!C:C,0),5)</f>
        <v>系统内最细一级的账号，无唯一性约束，不需要和序号、子序号等做拼接。</v>
      </c>
      <c r="L574" s="67" t="str">
        <f>INDEX(数据元说明!A:F,MATCH(I574,数据元说明!C:C,0),6)</f>
        <v>C..60</v>
      </c>
      <c r="M574" s="68" t="s">
        <v>1679</v>
      </c>
      <c r="N574" s="68" t="s">
        <v>1583</v>
      </c>
      <c r="O574" s="68"/>
      <c r="P574" s="68" t="s">
        <v>1634</v>
      </c>
    </row>
    <row r="575" ht="39.95" hidden="1" customHeight="1" outlineLevel="1" spans="1:16">
      <c r="A575" s="70"/>
      <c r="B575" s="71"/>
      <c r="C575" s="59" t="s">
        <v>134</v>
      </c>
      <c r="D575" s="59" t="s">
        <v>2291</v>
      </c>
      <c r="E575" s="65">
        <v>411</v>
      </c>
      <c r="F575" s="67" t="s">
        <v>2257</v>
      </c>
      <c r="G575" s="65">
        <v>41109</v>
      </c>
      <c r="H575" s="67" t="s">
        <v>2258</v>
      </c>
      <c r="I575" s="67" t="s">
        <v>683</v>
      </c>
      <c r="J575" s="67" t="str">
        <f>INDEX(数据元说明!A:F,MATCH(I575,数据元说明!C:C,0),2)</f>
        <v>003020</v>
      </c>
      <c r="K575" s="68" t="str">
        <f>INDEX(数据元说明!A:F,MATCH(I575,数据元说明!C:C,0),5)</f>
        <v>合同号。</v>
      </c>
      <c r="L575" s="67" t="str">
        <f>INDEX(数据元说明!A:F,MATCH(I575,数据元说明!C:C,0),6)</f>
        <v>C..100</v>
      </c>
      <c r="M575" s="69" t="s">
        <v>2259</v>
      </c>
      <c r="N575" s="68" t="s">
        <v>1601</v>
      </c>
      <c r="O575" s="68"/>
      <c r="P575" s="68"/>
    </row>
    <row r="576" ht="39.95" hidden="1" customHeight="1" outlineLevel="1" spans="1:16">
      <c r="A576" s="63"/>
      <c r="B576" s="64"/>
      <c r="C576" s="59" t="s">
        <v>134</v>
      </c>
      <c r="D576" s="59" t="s">
        <v>2291</v>
      </c>
      <c r="E576" s="65">
        <v>411</v>
      </c>
      <c r="F576" s="67" t="s">
        <v>2260</v>
      </c>
      <c r="G576" s="65">
        <v>41110</v>
      </c>
      <c r="H576" s="67" t="s">
        <v>2261</v>
      </c>
      <c r="I576" s="67" t="s">
        <v>678</v>
      </c>
      <c r="J576" s="67" t="str">
        <f>INDEX(数据元说明!A:F,MATCH(I576,数据元说明!C:C,0),2)</f>
        <v>003019</v>
      </c>
      <c r="K576" s="68" t="str">
        <f>INDEX(数据元说明!A:F,MATCH(I576,数据元说明!C:C,0),5)</f>
        <v>借据统一编号。</v>
      </c>
      <c r="L576" s="67" t="str">
        <f>INDEX(数据元说明!A:F,MATCH(I576,数据元说明!C:C,0),6)</f>
        <v>C..100</v>
      </c>
      <c r="M576" s="68" t="s">
        <v>2292</v>
      </c>
      <c r="N576" s="68" t="s">
        <v>1583</v>
      </c>
      <c r="O576" s="68"/>
      <c r="P576" s="68" t="s">
        <v>1634</v>
      </c>
    </row>
    <row r="577" ht="39.95" hidden="1" customHeight="1" outlineLevel="1" spans="1:16">
      <c r="A577" s="70"/>
      <c r="B577" s="71"/>
      <c r="C577" s="59" t="s">
        <v>134</v>
      </c>
      <c r="D577" s="59" t="s">
        <v>2291</v>
      </c>
      <c r="E577" s="65">
        <v>411</v>
      </c>
      <c r="F577" s="67" t="s">
        <v>2263</v>
      </c>
      <c r="G577" s="65">
        <v>41111</v>
      </c>
      <c r="H577" s="67" t="s">
        <v>2293</v>
      </c>
      <c r="I577" s="67" t="s">
        <v>670</v>
      </c>
      <c r="J577" s="67" t="str">
        <f>INDEX(数据元说明!A:F,MATCH(I577,数据元说明!C:C,0),2)</f>
        <v>003017</v>
      </c>
      <c r="K577" s="68" t="str">
        <f>INDEX(数据元说明!A:F,MATCH(I577,数据元说明!C:C,0),5)</f>
        <v>百分比为单位，即%，如4.5%填报为4.5。</v>
      </c>
      <c r="L577" s="67" t="str">
        <f>INDEX(数据元说明!A:F,MATCH(I577,数据元说明!C:C,0),6)</f>
        <v>D20.4</v>
      </c>
      <c r="M577" s="68" t="s">
        <v>2265</v>
      </c>
      <c r="N577" s="68" t="s">
        <v>1583</v>
      </c>
      <c r="O577" s="68" t="s">
        <v>2294</v>
      </c>
      <c r="P577" s="68"/>
    </row>
    <row r="578" ht="39.95" hidden="1" customHeight="1" outlineLevel="1" spans="1:16">
      <c r="A578" s="63"/>
      <c r="B578" s="64"/>
      <c r="C578" s="59" t="s">
        <v>134</v>
      </c>
      <c r="D578" s="59" t="s">
        <v>2291</v>
      </c>
      <c r="E578" s="65">
        <v>411</v>
      </c>
      <c r="F578" s="67" t="s">
        <v>642</v>
      </c>
      <c r="G578" s="65">
        <v>41112</v>
      </c>
      <c r="H578" s="67" t="s">
        <v>1914</v>
      </c>
      <c r="I578" s="67" t="s">
        <v>642</v>
      </c>
      <c r="J578" s="67" t="str">
        <f>INDEX(数据元说明!A:F,MATCH(I578,数据元说明!C:C,0),2)</f>
        <v>003010</v>
      </c>
      <c r="K578" s="68" t="str">
        <f>INDEX(数据元说明!A:F,MATCH(I578,数据元说明!C:C,0),5)</f>
        <v>遵循《GB/T 12406 表示货币和资金的代码》的字母代码，如CNY。上述文件所列币种无法涵盖的，允许银行自定义填报。多个币种合计折算为人民币（本外币合计）的，填报为BWB。</v>
      </c>
      <c r="L578" s="67" t="str">
        <f>INDEX(数据元说明!A:F,MATCH(I578,数据元说明!C:C,0),6)</f>
        <v>C3</v>
      </c>
      <c r="M578" s="68" t="s">
        <v>1587</v>
      </c>
      <c r="N578" s="68" t="s">
        <v>1583</v>
      </c>
      <c r="O578" s="68"/>
      <c r="P578" s="68" t="s">
        <v>1634</v>
      </c>
    </row>
    <row r="579" ht="39.95" hidden="1" customHeight="1" outlineLevel="1" spans="1:16">
      <c r="A579" s="70"/>
      <c r="B579" s="71"/>
      <c r="C579" s="59" t="s">
        <v>134</v>
      </c>
      <c r="D579" s="59" t="s">
        <v>2291</v>
      </c>
      <c r="E579" s="65">
        <v>411</v>
      </c>
      <c r="F579" s="67" t="s">
        <v>2266</v>
      </c>
      <c r="G579" s="65">
        <v>41113</v>
      </c>
      <c r="H579" s="67" t="s">
        <v>2267</v>
      </c>
      <c r="I579" s="67" t="s">
        <v>634</v>
      </c>
      <c r="J579" s="67" t="str">
        <f>INDEX(数据元说明!A:F,MATCH(I579,数据元说明!C:C,0),2)</f>
        <v>003008</v>
      </c>
      <c r="K579" s="68" t="str">
        <f>INDEX(数据元说明!A:F,MATCH(I579,数据元说明!C:C,0),5)</f>
        <v>与币种相对应金额。</v>
      </c>
      <c r="L579" s="67" t="str">
        <f>INDEX(数据元说明!A:F,MATCH(I579,数据元说明!C:C,0),6)</f>
        <v>D20.2</v>
      </c>
      <c r="M579" s="68" t="s">
        <v>2268</v>
      </c>
      <c r="N579" s="68" t="s">
        <v>1583</v>
      </c>
      <c r="O579" s="68" t="s">
        <v>1745</v>
      </c>
      <c r="P579" s="68"/>
    </row>
    <row r="580" ht="39.95" hidden="1" customHeight="1" outlineLevel="1" spans="1:16">
      <c r="A580" s="70"/>
      <c r="B580" s="71"/>
      <c r="C580" s="59" t="s">
        <v>134</v>
      </c>
      <c r="D580" s="59" t="s">
        <v>2291</v>
      </c>
      <c r="E580" s="65">
        <v>411</v>
      </c>
      <c r="F580" s="67" t="s">
        <v>2269</v>
      </c>
      <c r="G580" s="65">
        <v>41114</v>
      </c>
      <c r="H580" s="67" t="s">
        <v>2270</v>
      </c>
      <c r="I580" s="67" t="s">
        <v>638</v>
      </c>
      <c r="J580" s="67" t="str">
        <f>INDEX(数据元说明!A:F,MATCH(I580,数据元说明!C:C,0),2)</f>
        <v>003009</v>
      </c>
      <c r="K580" s="68" t="str">
        <f>INDEX(数据元说明!A:F,MATCH(I580,数据元说明!C:C,0),5)</f>
        <v>与币种相对应金额。(以正数填列。如信贷分户账，某客户初次获得贷款1万元，此时余额为10000；如活期存款明细，某客户初次开户存入10000元，此时余额为10000）</v>
      </c>
      <c r="L580" s="67" t="str">
        <f>INDEX(数据元说明!A:F,MATCH(I580,数据元说明!C:C,0),6)</f>
        <v>D20.2</v>
      </c>
      <c r="M580" s="68" t="s">
        <v>2271</v>
      </c>
      <c r="N580" s="68" t="s">
        <v>1601</v>
      </c>
      <c r="O580" s="68"/>
      <c r="P580" s="68"/>
    </row>
    <row r="581" ht="39.95" hidden="1" customHeight="1" outlineLevel="1" spans="1:16">
      <c r="A581" s="70"/>
      <c r="B581" s="71"/>
      <c r="C581" s="59" t="s">
        <v>134</v>
      </c>
      <c r="D581" s="59" t="s">
        <v>2291</v>
      </c>
      <c r="E581" s="65">
        <v>411</v>
      </c>
      <c r="F581" s="67" t="s">
        <v>2272</v>
      </c>
      <c r="G581" s="65">
        <v>41115</v>
      </c>
      <c r="H581" s="67" t="s">
        <v>2273</v>
      </c>
      <c r="I581" s="67" t="s">
        <v>345</v>
      </c>
      <c r="J581" s="67" t="str">
        <f>INDEX(数据元说明!A:F,MATCH(I581,数据元说明!C:C,0),2)</f>
        <v>001005</v>
      </c>
      <c r="K581" s="68" t="str">
        <f>INDEX(数据元说明!A:F,MATCH(I581,数据元说明!C:C,0),5)</f>
        <v>YYYYMMDD，默认值99991231。</v>
      </c>
      <c r="L581" s="67" t="str">
        <f>INDEX(数据元说明!A:F,MATCH(I581,数据元说明!C:C,0),6)</f>
        <v>C8</v>
      </c>
      <c r="M581" s="68" t="s">
        <v>2274</v>
      </c>
      <c r="N581" s="68" t="s">
        <v>1601</v>
      </c>
      <c r="O581" s="68"/>
      <c r="P581" s="68"/>
    </row>
    <row r="582" ht="39.95" hidden="1" customHeight="1" outlineLevel="1" spans="1:16">
      <c r="A582" s="70"/>
      <c r="B582" s="71"/>
      <c r="C582" s="59" t="s">
        <v>134</v>
      </c>
      <c r="D582" s="59" t="s">
        <v>2291</v>
      </c>
      <c r="E582" s="65">
        <v>411</v>
      </c>
      <c r="F582" s="67" t="s">
        <v>2275</v>
      </c>
      <c r="G582" s="65">
        <v>41116</v>
      </c>
      <c r="H582" s="67" t="s">
        <v>2276</v>
      </c>
      <c r="I582" s="67" t="s">
        <v>345</v>
      </c>
      <c r="J582" s="67" t="str">
        <f>INDEX(数据元说明!A:F,MATCH(I582,数据元说明!C:C,0),2)</f>
        <v>001005</v>
      </c>
      <c r="K582" s="68" t="str">
        <f>INDEX(数据元说明!A:F,MATCH(I582,数据元说明!C:C,0),5)</f>
        <v>YYYYMMDD，默认值99991231。</v>
      </c>
      <c r="L582" s="67" t="str">
        <f>INDEX(数据元说明!A:F,MATCH(I582,数据元说明!C:C,0),6)</f>
        <v>C8</v>
      </c>
      <c r="M582" s="68" t="s">
        <v>2277</v>
      </c>
      <c r="N582" s="68" t="s">
        <v>1583</v>
      </c>
      <c r="O582" s="68" t="s">
        <v>484</v>
      </c>
      <c r="P582" s="68"/>
    </row>
    <row r="583" ht="39.95" hidden="1" customHeight="1" outlineLevel="1" spans="1:16">
      <c r="A583" s="70"/>
      <c r="B583" s="71"/>
      <c r="C583" s="59" t="s">
        <v>134</v>
      </c>
      <c r="D583" s="59" t="s">
        <v>2291</v>
      </c>
      <c r="E583" s="65">
        <v>411</v>
      </c>
      <c r="F583" s="67" t="s">
        <v>2144</v>
      </c>
      <c r="G583" s="65">
        <v>41117</v>
      </c>
      <c r="H583" s="67" t="s">
        <v>2145</v>
      </c>
      <c r="I583" s="67" t="s">
        <v>345</v>
      </c>
      <c r="J583" s="67" t="str">
        <f>INDEX(数据元说明!A:F,MATCH(I583,数据元说明!C:C,0),2)</f>
        <v>001005</v>
      </c>
      <c r="K583" s="68" t="str">
        <f>INDEX(数据元说明!A:F,MATCH(I583,数据元说明!C:C,0),5)</f>
        <v>YYYYMMDD，默认值99991231。</v>
      </c>
      <c r="L583" s="67" t="str">
        <f>INDEX(数据元说明!A:F,MATCH(I583,数据元说明!C:C,0),6)</f>
        <v>C8</v>
      </c>
      <c r="M583" s="68"/>
      <c r="N583" s="68"/>
      <c r="O583" s="68"/>
      <c r="P583" s="68"/>
    </row>
    <row r="584" ht="39.95" hidden="1" customHeight="1" outlineLevel="1" spans="1:16">
      <c r="A584" s="70"/>
      <c r="B584" s="71"/>
      <c r="C584" s="59" t="s">
        <v>134</v>
      </c>
      <c r="D584" s="59" t="s">
        <v>2291</v>
      </c>
      <c r="E584" s="65">
        <v>411</v>
      </c>
      <c r="F584" s="67" t="s">
        <v>2151</v>
      </c>
      <c r="G584" s="65">
        <v>41118</v>
      </c>
      <c r="H584" s="67" t="s">
        <v>2152</v>
      </c>
      <c r="I584" s="67" t="s">
        <v>345</v>
      </c>
      <c r="J584" s="67" t="str">
        <f>INDEX(数据元说明!A:F,MATCH(I584,数据元说明!C:C,0),2)</f>
        <v>001005</v>
      </c>
      <c r="K584" s="68" t="str">
        <f>INDEX(数据元说明!A:F,MATCH(I584,数据元说明!C:C,0),5)</f>
        <v>YYYYMMDD，默认值99991231。</v>
      </c>
      <c r="L584" s="67" t="str">
        <f>INDEX(数据元说明!A:F,MATCH(I584,数据元说明!C:C,0),6)</f>
        <v>C8</v>
      </c>
      <c r="M584" s="68" t="s">
        <v>2153</v>
      </c>
      <c r="N584" s="68" t="s">
        <v>1583</v>
      </c>
      <c r="O584" s="68"/>
      <c r="P584" s="68" t="s">
        <v>1648</v>
      </c>
    </row>
    <row r="585" ht="39.95" hidden="1" customHeight="1" outlineLevel="1" spans="1:16">
      <c r="A585" s="70"/>
      <c r="B585" s="71"/>
      <c r="C585" s="59" t="s">
        <v>134</v>
      </c>
      <c r="D585" s="59" t="s">
        <v>2291</v>
      </c>
      <c r="E585" s="65">
        <v>411</v>
      </c>
      <c r="F585" s="67" t="s">
        <v>832</v>
      </c>
      <c r="G585" s="65">
        <v>41119</v>
      </c>
      <c r="H585" s="67" t="s">
        <v>2278</v>
      </c>
      <c r="I585" s="67" t="s">
        <v>832</v>
      </c>
      <c r="J585" s="67" t="str">
        <f>INDEX(数据元说明!A:F,MATCH(I585,数据元说明!C:C,0),2)</f>
        <v>005023</v>
      </c>
      <c r="K585" s="68" t="str">
        <f>INDEX(数据元说明!A:F,MATCH(I585,数据元说明!C:C,0),5)</f>
        <v>正常、结清、逾期、核销、转让，其他-银行自定义。以枚举类型填报，如无法以枚举类型填报，则以“其他-XX”填报，其中“XX”为银行自定义状态。</v>
      </c>
      <c r="L585" s="67" t="str">
        <f>INDEX(数据元说明!A:F,MATCH(I585,数据元说明!C:C,0),6)</f>
        <v>C..30</v>
      </c>
      <c r="M585" s="68"/>
      <c r="N585" s="68" t="s">
        <v>1583</v>
      </c>
      <c r="O585" s="68" t="s">
        <v>1576</v>
      </c>
      <c r="P585" s="68"/>
    </row>
    <row r="586" ht="39.95" hidden="1" customHeight="1" outlineLevel="1" spans="1:16">
      <c r="A586" s="70"/>
      <c r="B586" s="71"/>
      <c r="C586" s="59" t="s">
        <v>134</v>
      </c>
      <c r="D586" s="59" t="s">
        <v>2291</v>
      </c>
      <c r="E586" s="65">
        <v>411</v>
      </c>
      <c r="F586" s="67" t="s">
        <v>654</v>
      </c>
      <c r="G586" s="65">
        <v>41120</v>
      </c>
      <c r="H586" s="67" t="s">
        <v>2155</v>
      </c>
      <c r="I586" s="67" t="s">
        <v>654</v>
      </c>
      <c r="J586" s="67" t="str">
        <f>INDEX(数据元说明!A:F,MATCH(I586,数据元说明!C:C,0),2)</f>
        <v>003013</v>
      </c>
      <c r="K586" s="68" t="str">
        <f>INDEX(数据元说明!A:F,MATCH(I586,数据元说明!C:C,0),5)</f>
        <v>正常，预销户，销户，冻结，止付，其他-银行自定义。无法以枚举类型填报的，以“其他-XX”填报，其中“XX”为银行自定义类型。</v>
      </c>
      <c r="L586" s="67" t="str">
        <f>INDEX(数据元说明!A:F,MATCH(I586,数据元说明!C:C,0),6)</f>
        <v>C..30</v>
      </c>
      <c r="M586" s="68"/>
      <c r="N586" s="68" t="s">
        <v>1583</v>
      </c>
      <c r="O586" s="68" t="s">
        <v>1577</v>
      </c>
      <c r="P586" s="68"/>
    </row>
    <row r="587" ht="39.95" hidden="1" customHeight="1" outlineLevel="1" spans="1:16">
      <c r="A587" s="63"/>
      <c r="B587" s="64"/>
      <c r="C587" s="59" t="s">
        <v>134</v>
      </c>
      <c r="D587" s="59" t="s">
        <v>2291</v>
      </c>
      <c r="E587" s="65">
        <v>411</v>
      </c>
      <c r="F587" s="67" t="s">
        <v>484</v>
      </c>
      <c r="G587" s="65">
        <v>41121</v>
      </c>
      <c r="H587" s="67" t="s">
        <v>1623</v>
      </c>
      <c r="I587" s="67" t="s">
        <v>484</v>
      </c>
      <c r="J587" s="67" t="str">
        <f>INDEX(数据元说明!A:F,MATCH(I587,数据元说明!C:C,0),2)</f>
        <v>001038</v>
      </c>
      <c r="K587" s="68" t="str">
        <f>INDEX(数据元说明!A:F,MATCH(I587,数据元说明!C:C,0),5)</f>
        <v>银行自定义。</v>
      </c>
      <c r="L587" s="67" t="str">
        <f>INDEX(数据元说明!A:F,MATCH(I587,数据元说明!C:C,0),6)</f>
        <v>C..600</v>
      </c>
      <c r="M587" s="68" t="s">
        <v>1624</v>
      </c>
      <c r="N587" s="68" t="s">
        <v>1601</v>
      </c>
      <c r="O587" s="68"/>
      <c r="P587" s="68"/>
    </row>
    <row r="588" ht="39.95" hidden="1" customHeight="1" outlineLevel="1" spans="1:16">
      <c r="A588" s="70"/>
      <c r="B588" s="71"/>
      <c r="C588" s="59" t="s">
        <v>134</v>
      </c>
      <c r="D588" s="59" t="s">
        <v>2291</v>
      </c>
      <c r="E588" s="65">
        <v>411</v>
      </c>
      <c r="F588" s="67" t="s">
        <v>1625</v>
      </c>
      <c r="G588" s="65">
        <v>41122</v>
      </c>
      <c r="H588" s="67" t="s">
        <v>1626</v>
      </c>
      <c r="I588" s="67" t="s">
        <v>345</v>
      </c>
      <c r="J588" s="67" t="str">
        <f>INDEX(数据元说明!A:F,MATCH(I588,数据元说明!C:C,0),2)</f>
        <v>001005</v>
      </c>
      <c r="K588" s="68" t="str">
        <f>INDEX(数据元说明!A:F,MATCH(I588,数据元说明!C:C,0),5)</f>
        <v>YYYYMMDD，默认值99991231。</v>
      </c>
      <c r="L588" s="67" t="str">
        <f>INDEX(数据元说明!A:F,MATCH(I588,数据元说明!C:C,0),6)</f>
        <v>C8</v>
      </c>
      <c r="M588" s="68" t="s">
        <v>1627</v>
      </c>
      <c r="N588" s="74"/>
      <c r="O588" s="74"/>
      <c r="P588" s="74"/>
    </row>
    <row r="589" ht="39.95" hidden="1" customHeight="1" collapsed="1" spans="1:16">
      <c r="A589" s="70"/>
      <c r="B589" s="71"/>
      <c r="C589" s="59" t="s">
        <v>138</v>
      </c>
      <c r="D589" s="59" t="s">
        <v>2295</v>
      </c>
      <c r="E589" s="65">
        <v>412</v>
      </c>
      <c r="F589" s="67"/>
      <c r="G589" s="65"/>
      <c r="H589" s="67"/>
      <c r="I589" s="67"/>
      <c r="J589" s="67"/>
      <c r="K589" s="68"/>
      <c r="L589" s="67"/>
      <c r="M589" s="68" t="str">
        <f>INDEX(表结构总览!D:G,MATCH(D589,表结构总览!D:D,0),4)</f>
        <v>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v>
      </c>
      <c r="N589" s="68" t="s">
        <v>1583</v>
      </c>
      <c r="O589" s="68" t="s">
        <v>484</v>
      </c>
      <c r="P589" s="68"/>
    </row>
    <row r="590" ht="39.95" hidden="1" customHeight="1" spans="1:16">
      <c r="A590" s="70"/>
      <c r="B590" s="71"/>
      <c r="C590" s="59" t="s">
        <v>138</v>
      </c>
      <c r="D590" s="59" t="s">
        <v>2295</v>
      </c>
      <c r="E590" s="65">
        <v>412</v>
      </c>
      <c r="F590" s="67" t="s">
        <v>709</v>
      </c>
      <c r="G590" s="65">
        <v>41201</v>
      </c>
      <c r="H590" s="67" t="s">
        <v>2157</v>
      </c>
      <c r="I590" s="67" t="s">
        <v>709</v>
      </c>
      <c r="J590" s="67" t="str">
        <f>INDEX(数据元说明!A:F,MATCH(I590,数据元说明!C:C,0),2)</f>
        <v>004001</v>
      </c>
      <c r="K590" s="68" t="str">
        <f>INDEX(数据元说明!A:F,MATCH(I590,数据元说明!C:C,0),5)</f>
        <v>唯一标识该笔交易的编号，银行自定义。可以是业务编号，也可以是交易系统中使用的时间戳，需能够体现交易次序，如：时间戳(纳秒)：1530027865231834600。</v>
      </c>
      <c r="L590" s="67" t="str">
        <f>INDEX(数据元说明!A:F,MATCH(I590,数据元说明!C:C,0),6)</f>
        <v>C..100</v>
      </c>
      <c r="M590" s="68" t="s">
        <v>1679</v>
      </c>
      <c r="N590" s="68" t="s">
        <v>1601</v>
      </c>
      <c r="O590" s="80"/>
      <c r="P590" s="68"/>
    </row>
    <row r="591" ht="39.95" hidden="1" customHeight="1" outlineLevel="1" spans="1:16">
      <c r="A591" s="63"/>
      <c r="B591" s="64"/>
      <c r="C591" s="59" t="s">
        <v>138</v>
      </c>
      <c r="D591" s="59" t="s">
        <v>2295</v>
      </c>
      <c r="E591" s="65">
        <v>412</v>
      </c>
      <c r="F591" s="67" t="s">
        <v>373</v>
      </c>
      <c r="G591" s="65">
        <v>41202</v>
      </c>
      <c r="H591" s="67" t="s">
        <v>1588</v>
      </c>
      <c r="I591" s="67" t="s">
        <v>373</v>
      </c>
      <c r="J591" s="67" t="str">
        <f>INDEX(数据元说明!A:F,MATCH(I591,数据元说明!C:C,0),2)</f>
        <v>001011</v>
      </c>
      <c r="K591" s="68" t="str">
        <f>INDEX(数据元说明!A:F,MATCH(I591,数据元说明!C:C,0),5)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91" s="67" t="str">
        <f>INDEX(数据元说明!A:F,MATCH(I591,数据元说明!C:C,0),6)</f>
        <v>C..30</v>
      </c>
      <c r="M591" s="68" t="s">
        <v>2280</v>
      </c>
      <c r="N591" s="68" t="s">
        <v>1583</v>
      </c>
      <c r="O591" s="68" t="s">
        <v>484</v>
      </c>
      <c r="P591" s="68"/>
    </row>
    <row r="592" ht="39.95" hidden="1" customHeight="1" outlineLevel="1" spans="1:16">
      <c r="A592" s="70"/>
      <c r="B592" s="71"/>
      <c r="C592" s="59" t="s">
        <v>138</v>
      </c>
      <c r="D592" s="59" t="s">
        <v>2295</v>
      </c>
      <c r="E592" s="65">
        <v>412</v>
      </c>
      <c r="F592" s="67" t="s">
        <v>377</v>
      </c>
      <c r="G592" s="65">
        <v>41203</v>
      </c>
      <c r="H592" s="67" t="s">
        <v>1586</v>
      </c>
      <c r="I592" s="67" t="s">
        <v>377</v>
      </c>
      <c r="J592" s="67" t="str">
        <f>INDEX(数据元说明!A:F,MATCH(I592,数据元说明!C:C,0),2)</f>
        <v>001012</v>
      </c>
      <c r="K592" s="68" t="str">
        <f>INDEX(数据元说明!A:F,MATCH(I592,数据元说明!C:C,0),5)</f>
        <v>银行内部机构号。应具有标识机构的唯一性。</v>
      </c>
      <c r="L592" s="67" t="str">
        <f>INDEX(数据元说明!A:F,MATCH(I592,数据元说明!C:C,0),6)</f>
        <v>C..30</v>
      </c>
      <c r="M592" s="68" t="s">
        <v>2281</v>
      </c>
      <c r="N592" s="68"/>
      <c r="O592" s="68"/>
      <c r="P592" s="68"/>
    </row>
    <row r="593" ht="39.95" hidden="1" customHeight="1" outlineLevel="1" spans="1:16">
      <c r="A593" s="70"/>
      <c r="B593" s="71"/>
      <c r="C593" s="59" t="s">
        <v>138</v>
      </c>
      <c r="D593" s="59" t="s">
        <v>2295</v>
      </c>
      <c r="E593" s="65">
        <v>412</v>
      </c>
      <c r="F593" s="67" t="s">
        <v>2158</v>
      </c>
      <c r="G593" s="65">
        <v>41204</v>
      </c>
      <c r="H593" s="67" t="s">
        <v>2159</v>
      </c>
      <c r="I593" s="67" t="s">
        <v>377</v>
      </c>
      <c r="J593" s="67" t="str">
        <f>INDEX(数据元说明!A:F,MATCH(I593,数据元说明!C:C,0),2)</f>
        <v>001012</v>
      </c>
      <c r="K593" s="68" t="str">
        <f>INDEX(数据元说明!A:F,MATCH(I593,数据元说明!C:C,0),5)</f>
        <v>银行内部机构号。应具有标识机构的唯一性。</v>
      </c>
      <c r="L593" s="67" t="str">
        <f>INDEX(数据元说明!A:F,MATCH(I593,数据元说明!C:C,0),6)</f>
        <v>C..30</v>
      </c>
      <c r="M593" s="68" t="s">
        <v>2160</v>
      </c>
      <c r="N593" s="68"/>
      <c r="O593" s="68"/>
      <c r="P593" s="68"/>
    </row>
    <row r="594" ht="39.95" hidden="1" customHeight="1" outlineLevel="1" spans="1:16">
      <c r="A594" s="70"/>
      <c r="B594" s="71"/>
      <c r="C594" s="59" t="s">
        <v>138</v>
      </c>
      <c r="D594" s="59" t="s">
        <v>2295</v>
      </c>
      <c r="E594" s="65">
        <v>412</v>
      </c>
      <c r="F594" s="67" t="s">
        <v>1592</v>
      </c>
      <c r="G594" s="65">
        <v>41205</v>
      </c>
      <c r="H594" s="67" t="s">
        <v>1593</v>
      </c>
      <c r="I594" s="67" t="s">
        <v>325</v>
      </c>
      <c r="J594" s="67" t="str">
        <f>INDEX(数据元说明!A:F,MATCH(I594,数据元说明!C:C,0),2)</f>
        <v>001001</v>
      </c>
      <c r="K594" s="68" t="str">
        <f>INDEX(数据元说明!A:F,MATCH(I594,数据元说明!C:C,0),5)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594" s="67" t="str">
        <f>INDEX(数据元说明!A:F,MATCH(I594,数据元说明!C:C,0),6)</f>
        <v>C..450</v>
      </c>
      <c r="M594" s="68" t="s">
        <v>2282</v>
      </c>
      <c r="N594" s="68" t="s">
        <v>1583</v>
      </c>
      <c r="O594" s="68" t="s">
        <v>322</v>
      </c>
      <c r="P594" s="68" t="s">
        <v>1634</v>
      </c>
    </row>
    <row r="595" ht="39.95" hidden="1" customHeight="1" outlineLevel="1" spans="1:16">
      <c r="A595" s="70"/>
      <c r="B595" s="71"/>
      <c r="C595" s="59" t="s">
        <v>138</v>
      </c>
      <c r="D595" s="59" t="s">
        <v>2295</v>
      </c>
      <c r="E595" s="65">
        <v>412</v>
      </c>
      <c r="F595" s="67" t="s">
        <v>2125</v>
      </c>
      <c r="G595" s="65">
        <v>41206</v>
      </c>
      <c r="H595" s="67" t="s">
        <v>2126</v>
      </c>
      <c r="I595" s="67" t="s">
        <v>609</v>
      </c>
      <c r="J595" s="67" t="str">
        <f>INDEX(数据元说明!A:F,MATCH(I595,数据元说明!C:C,0),2)</f>
        <v>003002</v>
      </c>
      <c r="K595" s="68" t="str">
        <f>INDEX(数据元说明!A:F,MATCH(I595,数据元说明!C:C,0),5)</f>
        <v>机构实际使用的总账会计科目编码。</v>
      </c>
      <c r="L595" s="67" t="str">
        <f>INDEX(数据元说明!A:F,MATCH(I595,数据元说明!C:C,0),6)</f>
        <v>C..60</v>
      </c>
      <c r="M595" s="68" t="s">
        <v>2219</v>
      </c>
      <c r="N595" s="68" t="s">
        <v>1583</v>
      </c>
      <c r="O595" s="68" t="s">
        <v>1577</v>
      </c>
      <c r="P595" s="68"/>
    </row>
    <row r="596" ht="39.95" hidden="1" customHeight="1" outlineLevel="1" spans="1:16">
      <c r="A596" s="70"/>
      <c r="B596" s="71"/>
      <c r="C596" s="59" t="s">
        <v>138</v>
      </c>
      <c r="D596" s="59" t="s">
        <v>2295</v>
      </c>
      <c r="E596" s="65">
        <v>412</v>
      </c>
      <c r="F596" s="67" t="s">
        <v>2128</v>
      </c>
      <c r="G596" s="65">
        <v>41207</v>
      </c>
      <c r="H596" s="67" t="s">
        <v>2129</v>
      </c>
      <c r="I596" s="67" t="s">
        <v>613</v>
      </c>
      <c r="J596" s="67" t="str">
        <f>INDEX(数据元说明!A:F,MATCH(I596,数据元说明!C:C,0),2)</f>
        <v>003003</v>
      </c>
      <c r="K596" s="68" t="str">
        <f>INDEX(数据元说明!A:F,MATCH(I596,数据元说明!C:C,0),5)</f>
        <v>机构实际使用的总账会计科目编码对应的名称。</v>
      </c>
      <c r="L596" s="67" t="str">
        <f>INDEX(数据元说明!A:F,MATCH(I596,数据元说明!C:C,0),6)</f>
        <v>C..300</v>
      </c>
      <c r="M596" s="68" t="s">
        <v>2219</v>
      </c>
      <c r="N596" s="68" t="s">
        <v>1583</v>
      </c>
      <c r="O596" s="68" t="s">
        <v>484</v>
      </c>
      <c r="P596" s="68"/>
    </row>
    <row r="597" ht="39.95" hidden="1" customHeight="1" outlineLevel="1" spans="1:16">
      <c r="A597" s="70"/>
      <c r="B597" s="71"/>
      <c r="C597" s="59" t="s">
        <v>138</v>
      </c>
      <c r="D597" s="59" t="s">
        <v>2295</v>
      </c>
      <c r="E597" s="65">
        <v>412</v>
      </c>
      <c r="F597" s="67" t="s">
        <v>488</v>
      </c>
      <c r="G597" s="65">
        <v>41208</v>
      </c>
      <c r="H597" s="67" t="s">
        <v>1699</v>
      </c>
      <c r="I597" s="67" t="s">
        <v>488</v>
      </c>
      <c r="J597" s="67" t="str">
        <f>INDEX(数据元说明!A:F,MATCH(I597,数据元说明!C:C,0),2)</f>
        <v>002001</v>
      </c>
      <c r="K597" s="68" t="str">
        <f>INDEX(数据元说明!A:F,MATCH(I597,数据元说明!C:C,0),5)</f>
        <v>银行自定义的唯一识别客户的标识。供应链融资的填写供应链融资编码。</v>
      </c>
      <c r="L597" s="67" t="str">
        <f>INDEX(数据元说明!A:F,MATCH(I597,数据元说明!C:C,0),6)</f>
        <v>C..60</v>
      </c>
      <c r="M597" s="68" t="s">
        <v>2213</v>
      </c>
      <c r="N597" s="68" t="s">
        <v>1583</v>
      </c>
      <c r="O597" s="68"/>
      <c r="P597" s="68" t="s">
        <v>1634</v>
      </c>
    </row>
    <row r="598" ht="39.95" hidden="1" customHeight="1" outlineLevel="1" spans="1:16">
      <c r="A598" s="70"/>
      <c r="B598" s="71"/>
      <c r="C598" s="59" t="s">
        <v>138</v>
      </c>
      <c r="D598" s="59" t="s">
        <v>2295</v>
      </c>
      <c r="E598" s="65">
        <v>412</v>
      </c>
      <c r="F598" s="67" t="s">
        <v>646</v>
      </c>
      <c r="G598" s="65">
        <v>41209</v>
      </c>
      <c r="H598" s="67" t="s">
        <v>2131</v>
      </c>
      <c r="I598" s="67" t="s">
        <v>646</v>
      </c>
      <c r="J598" s="67" t="str">
        <f>INDEX(数据元说明!A:F,MATCH(I598,数据元说明!C:C,0),2)</f>
        <v>003011</v>
      </c>
      <c r="K598" s="68" t="str">
        <f>INDEX(数据元说明!A:F,MATCH(I598,数据元说明!C:C,0),5)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598" s="67" t="str">
        <f>INDEX(数据元说明!A:F,MATCH(I598,数据元说明!C:C,0),6)</f>
        <v>C..450</v>
      </c>
      <c r="M598" s="68" t="s">
        <v>2223</v>
      </c>
      <c r="N598" s="68" t="s">
        <v>1583</v>
      </c>
      <c r="O598" s="68" t="s">
        <v>1660</v>
      </c>
      <c r="P598" s="68" t="s">
        <v>1634</v>
      </c>
    </row>
    <row r="599" ht="39.95" hidden="1" customHeight="1" outlineLevel="1" spans="1:16">
      <c r="A599" s="70"/>
      <c r="B599" s="71"/>
      <c r="C599" s="59" t="s">
        <v>138</v>
      </c>
      <c r="D599" s="59" t="s">
        <v>2295</v>
      </c>
      <c r="E599" s="65">
        <v>412</v>
      </c>
      <c r="F599" s="67" t="s">
        <v>2255</v>
      </c>
      <c r="G599" s="65">
        <v>41210</v>
      </c>
      <c r="H599" s="67" t="s">
        <v>2256</v>
      </c>
      <c r="I599" s="67" t="s">
        <v>605</v>
      </c>
      <c r="J599" s="67" t="str">
        <f>INDEX(数据元说明!A:F,MATCH(I599,数据元说明!C:C,0),2)</f>
        <v>003001</v>
      </c>
      <c r="K599" s="68" t="str">
        <f>INDEX(数据元说明!A:F,MATCH(I599,数据元说明!C:C,0),5)</f>
        <v>系统内最细一级的账号，无唯一性约束，不需要和序号、子序号等做拼接。</v>
      </c>
      <c r="L599" s="67" t="str">
        <f>INDEX(数据元说明!A:F,MATCH(I599,数据元说明!C:C,0),6)</f>
        <v>C..60</v>
      </c>
      <c r="M599" s="68" t="s">
        <v>2296</v>
      </c>
      <c r="N599" s="68" t="s">
        <v>1583</v>
      </c>
      <c r="O599" s="68" t="s">
        <v>1745</v>
      </c>
      <c r="P599" s="68" t="s">
        <v>1634</v>
      </c>
    </row>
    <row r="600" ht="39.95" hidden="1" customHeight="1" outlineLevel="1" spans="1:16">
      <c r="A600" s="70"/>
      <c r="B600" s="71"/>
      <c r="C600" s="59" t="s">
        <v>138</v>
      </c>
      <c r="D600" s="59" t="s">
        <v>2295</v>
      </c>
      <c r="E600" s="65">
        <v>412</v>
      </c>
      <c r="F600" s="67" t="s">
        <v>2260</v>
      </c>
      <c r="G600" s="65">
        <v>41211</v>
      </c>
      <c r="H600" s="67" t="s">
        <v>2261</v>
      </c>
      <c r="I600" s="67" t="s">
        <v>678</v>
      </c>
      <c r="J600" s="67" t="str">
        <f>INDEX(数据元说明!A:F,MATCH(I600,数据元说明!C:C,0),2)</f>
        <v>003019</v>
      </c>
      <c r="K600" s="68" t="str">
        <f>INDEX(数据元说明!A:F,MATCH(I600,数据元说明!C:C,0),5)</f>
        <v>借据统一编号。</v>
      </c>
      <c r="L600" s="67" t="str">
        <f>INDEX(数据元说明!A:F,MATCH(I600,数据元说明!C:C,0),6)</f>
        <v>C..100</v>
      </c>
      <c r="M600" s="68" t="s">
        <v>2292</v>
      </c>
      <c r="N600" s="68" t="s">
        <v>1583</v>
      </c>
      <c r="O600" s="68" t="s">
        <v>484</v>
      </c>
      <c r="P600" s="68" t="s">
        <v>1634</v>
      </c>
    </row>
    <row r="601" ht="39.95" hidden="1" customHeight="1" outlineLevel="1" spans="1:16">
      <c r="A601" s="70"/>
      <c r="B601" s="71"/>
      <c r="C601" s="59" t="s">
        <v>138</v>
      </c>
      <c r="D601" s="59" t="s">
        <v>2295</v>
      </c>
      <c r="E601" s="65">
        <v>412</v>
      </c>
      <c r="F601" s="67" t="s">
        <v>2166</v>
      </c>
      <c r="G601" s="65">
        <v>41212</v>
      </c>
      <c r="H601" s="67" t="s">
        <v>2167</v>
      </c>
      <c r="I601" s="67" t="s">
        <v>345</v>
      </c>
      <c r="J601" s="67" t="str">
        <f>INDEX(数据元说明!A:F,MATCH(I601,数据元说明!C:C,0),2)</f>
        <v>001005</v>
      </c>
      <c r="K601" s="68" t="str">
        <f>INDEX(数据元说明!A:F,MATCH(I601,数据元说明!C:C,0),5)</f>
        <v>YYYYMMDD，默认值99991231。</v>
      </c>
      <c r="L601" s="67" t="str">
        <f>INDEX(数据元说明!A:F,MATCH(I601,数据元说明!C:C,0),6)</f>
        <v>C8</v>
      </c>
      <c r="M601" s="68" t="s">
        <v>2168</v>
      </c>
      <c r="N601" s="80"/>
      <c r="O601" s="80"/>
      <c r="P601" s="80"/>
    </row>
    <row r="602" ht="39.95" hidden="1" customHeight="1" outlineLevel="1" spans="1:16">
      <c r="A602" s="70"/>
      <c r="B602" s="71"/>
      <c r="C602" s="59" t="s">
        <v>138</v>
      </c>
      <c r="D602" s="59" t="s">
        <v>2295</v>
      </c>
      <c r="E602" s="65">
        <v>412</v>
      </c>
      <c r="F602" s="67" t="s">
        <v>2169</v>
      </c>
      <c r="G602" s="65">
        <v>41213</v>
      </c>
      <c r="H602" s="67" t="s">
        <v>2170</v>
      </c>
      <c r="I602" s="67" t="s">
        <v>355</v>
      </c>
      <c r="J602" s="67" t="str">
        <f>INDEX(数据元说明!A:F,MATCH(I602,数据元说明!C:C,0),2)</f>
        <v>001007</v>
      </c>
      <c r="K602" s="68" t="str">
        <f>INDEX(数据元说明!A:F,MATCH(I602,数据元说明!C:C,0),5)</f>
        <v>24小时制时间，精确到秒。hhmmss，默认值000000。</v>
      </c>
      <c r="L602" s="67" t="str">
        <f>INDEX(数据元说明!A:F,MATCH(I602,数据元说明!C:C,0),6)</f>
        <v>C6</v>
      </c>
      <c r="M602" s="68" t="s">
        <v>2171</v>
      </c>
      <c r="N602" s="80"/>
      <c r="O602" s="80"/>
      <c r="P602" s="80"/>
    </row>
    <row r="603" ht="39.95" hidden="1" customHeight="1" outlineLevel="1" spans="1:16">
      <c r="A603" s="70"/>
      <c r="B603" s="71"/>
      <c r="C603" s="59" t="s">
        <v>138</v>
      </c>
      <c r="D603" s="59" t="s">
        <v>2295</v>
      </c>
      <c r="E603" s="65">
        <v>412</v>
      </c>
      <c r="F603" s="67" t="s">
        <v>713</v>
      </c>
      <c r="G603" s="65">
        <v>41214</v>
      </c>
      <c r="H603" s="67" t="s">
        <v>2164</v>
      </c>
      <c r="I603" s="67" t="s">
        <v>713</v>
      </c>
      <c r="J603" s="67" t="str">
        <f>INDEX(数据元说明!A:F,MATCH(I603,数据元说明!C:C,0),2)</f>
        <v>004002</v>
      </c>
      <c r="K603" s="68" t="str">
        <f>INDEX(数据元说明!A:F,MATCH(I603,数据元说明!C:C,0),5)</f>
        <v>转账，取现，存现，消费，代发，代扣，代缴，结息，批量交易，贷款发放，贷款还本，贷款还息，银证业务，投资理财，其他-银行自定义类型。无法以枚举类型填报的，以“其他-XX”报送，其中“XX”为银行自定义类型。</v>
      </c>
      <c r="L603" s="67" t="str">
        <f>INDEX(数据元说明!A:F,MATCH(I603,数据元说明!C:C,0),6)</f>
        <v>C..60</v>
      </c>
      <c r="M603" s="68"/>
      <c r="N603" s="68" t="s">
        <v>1583</v>
      </c>
      <c r="O603" s="68" t="s">
        <v>321</v>
      </c>
      <c r="P603" s="68"/>
    </row>
    <row r="604" ht="39.95" hidden="1" customHeight="1" outlineLevel="1" spans="1:16">
      <c r="A604" s="70"/>
      <c r="B604" s="71"/>
      <c r="C604" s="59" t="s">
        <v>138</v>
      </c>
      <c r="D604" s="59" t="s">
        <v>2295</v>
      </c>
      <c r="E604" s="65">
        <v>412</v>
      </c>
      <c r="F604" s="67" t="s">
        <v>700</v>
      </c>
      <c r="G604" s="65">
        <v>41215</v>
      </c>
      <c r="H604" s="67" t="s">
        <v>2165</v>
      </c>
      <c r="I604" s="67" t="s">
        <v>700</v>
      </c>
      <c r="J604" s="67" t="str">
        <f>INDEX(数据元说明!A:F,MATCH(I604,数据元说明!C:C,0),2)</f>
        <v>003024</v>
      </c>
      <c r="K604" s="68" t="str">
        <f>INDEX(数据元说明!A:F,MATCH(I604,数据元说明!C:C,0),5)</f>
        <v>借，贷。</v>
      </c>
      <c r="L604" s="67" t="str">
        <f>INDEX(数据元说明!A:F,MATCH(I604,数据元说明!C:C,0),6)</f>
        <v>C3</v>
      </c>
      <c r="M604" s="68"/>
      <c r="N604" s="68" t="s">
        <v>1583</v>
      </c>
      <c r="O604" s="68" t="s">
        <v>322</v>
      </c>
      <c r="P604" s="68"/>
    </row>
    <row r="605" ht="39.95" hidden="1" customHeight="1" outlineLevel="1" spans="1:16">
      <c r="A605" s="63"/>
      <c r="B605" s="64"/>
      <c r="C605" s="59" t="s">
        <v>138</v>
      </c>
      <c r="D605" s="59" t="s">
        <v>2295</v>
      </c>
      <c r="E605" s="65">
        <v>412</v>
      </c>
      <c r="F605" s="67" t="s">
        <v>642</v>
      </c>
      <c r="G605" s="65">
        <v>41216</v>
      </c>
      <c r="H605" s="67" t="s">
        <v>1914</v>
      </c>
      <c r="I605" s="67" t="s">
        <v>642</v>
      </c>
      <c r="J605" s="67" t="str">
        <f>INDEX(数据元说明!A:F,MATCH(I605,数据元说明!C:C,0),2)</f>
        <v>003010</v>
      </c>
      <c r="K605" s="68" t="str">
        <f>INDEX(数据元说明!A:F,MATCH(I605,数据元说明!C:C,0),5)</f>
        <v>遵循《GB/T 12406 表示货币和资金的代码》的字母代码，如CNY。上述文件所列币种无法涵盖的，允许银行自定义填报。多个币种合计折算为人民币（本外币合计）的，填报为BWB。</v>
      </c>
      <c r="L605" s="67" t="str">
        <f>INDEX(数据元说明!A:F,MATCH(I605,数据元说明!C:C,0),6)</f>
        <v>C3</v>
      </c>
      <c r="M605" s="68"/>
      <c r="N605" s="68" t="s">
        <v>1583</v>
      </c>
      <c r="O605" s="68"/>
      <c r="P605" s="68" t="s">
        <v>1634</v>
      </c>
    </row>
    <row r="606" ht="39.95" hidden="1" customHeight="1" outlineLevel="1" spans="1:16">
      <c r="A606" s="70"/>
      <c r="B606" s="71"/>
      <c r="C606" s="59" t="s">
        <v>138</v>
      </c>
      <c r="D606" s="59" t="s">
        <v>2295</v>
      </c>
      <c r="E606" s="65">
        <v>412</v>
      </c>
      <c r="F606" s="67" t="s">
        <v>2172</v>
      </c>
      <c r="G606" s="65">
        <v>41217</v>
      </c>
      <c r="H606" s="67" t="s">
        <v>2173</v>
      </c>
      <c r="I606" s="67" t="s">
        <v>634</v>
      </c>
      <c r="J606" s="67" t="str">
        <f>INDEX(数据元说明!A:F,MATCH(I606,数据元说明!C:C,0),2)</f>
        <v>003008</v>
      </c>
      <c r="K606" s="68" t="str">
        <f>INDEX(数据元说明!A:F,MATCH(I606,数据元说明!C:C,0),5)</f>
        <v>与币种相对应金额。</v>
      </c>
      <c r="L606" s="67" t="str">
        <f>INDEX(数据元说明!A:F,MATCH(I606,数据元说明!C:C,0),6)</f>
        <v>D20.2</v>
      </c>
      <c r="M606" s="69" t="s">
        <v>2284</v>
      </c>
      <c r="N606" s="68" t="s">
        <v>1583</v>
      </c>
      <c r="O606" s="68" t="s">
        <v>484</v>
      </c>
      <c r="P606" s="68"/>
    </row>
    <row r="607" ht="39.95" hidden="1" customHeight="1" outlineLevel="1" spans="1:16">
      <c r="A607" s="70"/>
      <c r="B607" s="71"/>
      <c r="C607" s="59" t="s">
        <v>138</v>
      </c>
      <c r="D607" s="59" t="s">
        <v>2295</v>
      </c>
      <c r="E607" s="65">
        <v>412</v>
      </c>
      <c r="F607" s="67" t="s">
        <v>2174</v>
      </c>
      <c r="G607" s="65">
        <v>41218</v>
      </c>
      <c r="H607" s="67" t="s">
        <v>2175</v>
      </c>
      <c r="I607" s="67" t="s">
        <v>638</v>
      </c>
      <c r="J607" s="67" t="str">
        <f>INDEX(数据元说明!A:F,MATCH(I607,数据元说明!C:C,0),2)</f>
        <v>003009</v>
      </c>
      <c r="K607" s="68" t="str">
        <f>INDEX(数据元说明!A:F,MATCH(I607,数据元说明!C:C,0),5)</f>
        <v>与币种相对应金额。(以正数填列。如信贷分户账，某客户初次获得贷款1万元，此时余额为10000；如活期存款明细，某客户初次开户存入10000元，此时余额为10000）</v>
      </c>
      <c r="L607" s="67" t="str">
        <f>INDEX(数据元说明!A:F,MATCH(I607,数据元说明!C:C,0),6)</f>
        <v>D20.2</v>
      </c>
      <c r="M607" s="68" t="s">
        <v>2285</v>
      </c>
      <c r="N607" s="68" t="s">
        <v>1583</v>
      </c>
      <c r="O607" s="68" t="s">
        <v>484</v>
      </c>
      <c r="P607" s="68"/>
    </row>
    <row r="608" ht="39.95" hidden="1" customHeight="1" outlineLevel="1" spans="1:16">
      <c r="A608" s="70"/>
      <c r="B608" s="71"/>
      <c r="C608" s="59" t="s">
        <v>138</v>
      </c>
      <c r="D608" s="59" t="s">
        <v>2295</v>
      </c>
      <c r="E608" s="65">
        <v>412</v>
      </c>
      <c r="F608" s="67" t="s">
        <v>2177</v>
      </c>
      <c r="G608" s="65">
        <v>41219</v>
      </c>
      <c r="H608" s="67" t="s">
        <v>2178</v>
      </c>
      <c r="I608" s="67" t="s">
        <v>704</v>
      </c>
      <c r="J608" s="67" t="str">
        <f>INDEX(数据元说明!A:F,MATCH(I608,数据元说明!C:C,0),2)</f>
        <v>003025</v>
      </c>
      <c r="K608" s="68" t="str">
        <f>INDEX(数据元说明!A:F,MATCH(I608,数据元说明!C:C,0),5)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608" s="67" t="str">
        <f>INDEX(数据元说明!A:F,MATCH(I608,数据元说明!C:C,0),6)</f>
        <v>C..60</v>
      </c>
      <c r="M608" s="68" t="s">
        <v>2286</v>
      </c>
      <c r="N608" s="68" t="s">
        <v>1583</v>
      </c>
      <c r="O608" s="68" t="s">
        <v>484</v>
      </c>
      <c r="P608" s="68"/>
    </row>
    <row r="609" ht="39.95" hidden="1" customHeight="1" outlineLevel="1" spans="1:16">
      <c r="A609" s="70"/>
      <c r="B609" s="71"/>
      <c r="C609" s="59" t="s">
        <v>138</v>
      </c>
      <c r="D609" s="59" t="s">
        <v>2295</v>
      </c>
      <c r="E609" s="65">
        <v>412</v>
      </c>
      <c r="F609" s="67" t="s">
        <v>2180</v>
      </c>
      <c r="G609" s="65">
        <v>41220</v>
      </c>
      <c r="H609" s="67" t="s">
        <v>2181</v>
      </c>
      <c r="I609" s="67" t="s">
        <v>646</v>
      </c>
      <c r="J609" s="67" t="str">
        <f>INDEX(数据元说明!A:F,MATCH(I609,数据元说明!C:C,0),2)</f>
        <v>003011</v>
      </c>
      <c r="K609" s="68" t="str">
        <f>INDEX(数据元说明!A:F,MATCH(I609,数据元说明!C:C,0),5)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609" s="67" t="str">
        <f>INDEX(数据元说明!A:F,MATCH(I609,数据元说明!C:C,0),6)</f>
        <v>C..450</v>
      </c>
      <c r="M609" s="68" t="s">
        <v>2247</v>
      </c>
      <c r="N609" s="68" t="s">
        <v>1583</v>
      </c>
      <c r="O609" s="68" t="s">
        <v>1660</v>
      </c>
      <c r="P609" s="68"/>
    </row>
    <row r="610" ht="39.95" hidden="1" customHeight="1" outlineLevel="1" spans="1:16">
      <c r="A610" s="70"/>
      <c r="B610" s="71"/>
      <c r="C610" s="59" t="s">
        <v>138</v>
      </c>
      <c r="D610" s="59" t="s">
        <v>2295</v>
      </c>
      <c r="E610" s="65">
        <v>412</v>
      </c>
      <c r="F610" s="67" t="s">
        <v>2182</v>
      </c>
      <c r="G610" s="65">
        <v>41221</v>
      </c>
      <c r="H610" s="67" t="s">
        <v>2183</v>
      </c>
      <c r="I610" s="67" t="s">
        <v>369</v>
      </c>
      <c r="J610" s="67" t="str">
        <f>INDEX(数据元说明!A:F,MATCH(I610,数据元说明!C:C,0),2)</f>
        <v>001010</v>
      </c>
      <c r="K610" s="68" t="str">
        <f>INDEX(数据元说明!A:F,MATCH(I610,数据元说明!C:C,0),5)</f>
        <v>12位人行支付行号或SWIFT行号。</v>
      </c>
      <c r="L610" s="67" t="str">
        <f>INDEX(数据元说明!A:F,MATCH(I610,数据元说明!C:C,0),6)</f>
        <v>C..30</v>
      </c>
      <c r="M610" s="80" t="s">
        <v>2248</v>
      </c>
      <c r="N610" s="80" t="s">
        <v>1583</v>
      </c>
      <c r="O610" s="80" t="s">
        <v>484</v>
      </c>
      <c r="P610" s="80"/>
    </row>
    <row r="611" ht="39.95" hidden="1" customHeight="1" outlineLevel="1" spans="1:16">
      <c r="A611" s="70"/>
      <c r="B611" s="71"/>
      <c r="C611" s="59" t="s">
        <v>138</v>
      </c>
      <c r="D611" s="59" t="s">
        <v>2295</v>
      </c>
      <c r="E611" s="65">
        <v>412</v>
      </c>
      <c r="F611" s="67" t="s">
        <v>2184</v>
      </c>
      <c r="G611" s="65">
        <v>41222</v>
      </c>
      <c r="H611" s="67" t="s">
        <v>2185</v>
      </c>
      <c r="I611" s="67" t="s">
        <v>325</v>
      </c>
      <c r="J611" s="67" t="str">
        <f>INDEX(数据元说明!A:F,MATCH(I611,数据元说明!C:C,0),2)</f>
        <v>001001</v>
      </c>
      <c r="K611" s="68" t="str">
        <f>INDEX(数据元说明!A:F,MATCH(I611,数据元说明!C:C,0),5)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611" s="67" t="str">
        <f>INDEX(数据元说明!A:F,MATCH(I611,数据元说明!C:C,0),6)</f>
        <v>C..450</v>
      </c>
      <c r="M611" s="80" t="s">
        <v>2297</v>
      </c>
      <c r="N611" s="80" t="s">
        <v>1583</v>
      </c>
      <c r="O611" s="80" t="s">
        <v>1695</v>
      </c>
      <c r="P611" s="80"/>
    </row>
    <row r="612" ht="39.95" hidden="1" customHeight="1" outlineLevel="1" spans="1:16">
      <c r="A612" s="63"/>
      <c r="B612" s="64"/>
      <c r="C612" s="59" t="s">
        <v>138</v>
      </c>
      <c r="D612" s="59" t="s">
        <v>2295</v>
      </c>
      <c r="E612" s="65">
        <v>412</v>
      </c>
      <c r="F612" s="67" t="s">
        <v>725</v>
      </c>
      <c r="G612" s="65">
        <v>41223</v>
      </c>
      <c r="H612" s="67" t="s">
        <v>1792</v>
      </c>
      <c r="I612" s="67" t="s">
        <v>725</v>
      </c>
      <c r="J612" s="67" t="str">
        <f>INDEX(数据元说明!A:F,MATCH(I612,数据元说明!C:C,0),2)</f>
        <v>004005</v>
      </c>
      <c r="K612" s="68" t="str">
        <f>INDEX(数据元说明!A:F,MATCH(I612,数据元说明!C:C,0),5)</f>
        <v>银行自定义交易内容的简要描述。</v>
      </c>
      <c r="L612" s="67" t="str">
        <f>INDEX(数据元说明!A:F,MATCH(I612,数据元说明!C:C,0),6)</f>
        <v>C..600</v>
      </c>
      <c r="M612" s="68"/>
      <c r="N612" s="68" t="s">
        <v>1583</v>
      </c>
      <c r="O612" s="68" t="s">
        <v>321</v>
      </c>
      <c r="P612" s="68" t="s">
        <v>1634</v>
      </c>
    </row>
    <row r="613" ht="39.95" hidden="1" customHeight="1" outlineLevel="1" spans="1:16">
      <c r="A613" s="63"/>
      <c r="B613" s="64"/>
      <c r="C613" s="59" t="s">
        <v>138</v>
      </c>
      <c r="D613" s="59" t="s">
        <v>2295</v>
      </c>
      <c r="E613" s="65">
        <v>412</v>
      </c>
      <c r="F613" s="67" t="s">
        <v>717</v>
      </c>
      <c r="G613" s="65">
        <v>41224</v>
      </c>
      <c r="H613" s="67" t="s">
        <v>2191</v>
      </c>
      <c r="I613" s="67" t="s">
        <v>717</v>
      </c>
      <c r="J613" s="67" t="str">
        <f>INDEX(数据元说明!A:F,MATCH(I613,数据元说明!C:C,0),2)</f>
        <v>004003</v>
      </c>
      <c r="K613" s="68" t="str">
        <f>INDEX(数据元说明!A:F,MATCH(I613,数据元说明!C:C,0),5)</f>
        <v>柜面，ATM，VTM，POS，网银，手机银行，银联交易，第三方支付-银行自定义，其他-银行自定义。交易类型为第三方支付的，以“第三方支付-XX”填报，其中“XX”为第三方支付平台名称。如无法以枚举类型填报，则以“其他-XX”填报，其中“XX”为银行自定义类型。</v>
      </c>
      <c r="L613" s="67" t="str">
        <f>INDEX(数据元说明!A:F,MATCH(I613,数据元说明!C:C,0),6)</f>
        <v>C..60</v>
      </c>
      <c r="M613" s="69" t="s">
        <v>2221</v>
      </c>
      <c r="N613" s="68" t="s">
        <v>1583</v>
      </c>
      <c r="O613" s="68" t="s">
        <v>321</v>
      </c>
      <c r="P613" s="68" t="s">
        <v>1648</v>
      </c>
    </row>
    <row r="614" ht="39.95" hidden="1" customHeight="1" outlineLevel="1" spans="1:16">
      <c r="A614" s="63"/>
      <c r="B614" s="64"/>
      <c r="C614" s="59" t="s">
        <v>138</v>
      </c>
      <c r="D614" s="59" t="s">
        <v>2295</v>
      </c>
      <c r="E614" s="65">
        <v>412</v>
      </c>
      <c r="F614" s="67" t="s">
        <v>733</v>
      </c>
      <c r="G614" s="65">
        <v>41225</v>
      </c>
      <c r="H614" s="67" t="s">
        <v>2187</v>
      </c>
      <c r="I614" s="67" t="s">
        <v>733</v>
      </c>
      <c r="J614" s="67" t="str">
        <f>INDEX(数据元说明!A:F,MATCH(I614,数据元说明!C:C,0),2)</f>
        <v>004007</v>
      </c>
      <c r="K614" s="68" t="str">
        <f>INDEX(数据元说明!A:F,MATCH(I614,数据元说明!C:C,0),5)</f>
        <v>正常，冲补抹。</v>
      </c>
      <c r="L614" s="67" t="str">
        <f>INDEX(数据元说明!A:F,MATCH(I614,数据元说明!C:C,0),6)</f>
        <v>C..9</v>
      </c>
      <c r="M614" s="68" t="s">
        <v>2188</v>
      </c>
      <c r="N614" s="68"/>
      <c r="O614" s="68"/>
      <c r="P614" s="68"/>
    </row>
    <row r="615" ht="39.95" hidden="1" customHeight="1" outlineLevel="1" spans="1:16">
      <c r="A615" s="63"/>
      <c r="B615" s="64"/>
      <c r="C615" s="59" t="s">
        <v>138</v>
      </c>
      <c r="D615" s="59" t="s">
        <v>2295</v>
      </c>
      <c r="E615" s="65">
        <v>412</v>
      </c>
      <c r="F615" s="67" t="s">
        <v>2207</v>
      </c>
      <c r="G615" s="65">
        <v>41226</v>
      </c>
      <c r="H615" s="67" t="s">
        <v>2208</v>
      </c>
      <c r="I615" s="67" t="s">
        <v>409</v>
      </c>
      <c r="J615" s="67" t="str">
        <f>INDEX(数据元说明!A:F,MATCH(I615,数据元说明!C:C,0),2)</f>
        <v>001020</v>
      </c>
      <c r="K615" s="68" t="str">
        <f>INDEX(数据元说明!A:F,MATCH(I615,数据元说明!C:C,0),5)</f>
        <v>柜员编号，银行自定义。</v>
      </c>
      <c r="L615" s="67" t="str">
        <f>INDEX(数据元说明!A:F,MATCH(I615,数据元说明!C:C,0),6)</f>
        <v>C..30</v>
      </c>
      <c r="M615" s="69" t="s">
        <v>2014</v>
      </c>
      <c r="N615" s="68"/>
      <c r="O615" s="68"/>
      <c r="P615" s="68"/>
    </row>
    <row r="616" ht="39.95" hidden="1" customHeight="1" outlineLevel="1" spans="1:16">
      <c r="A616" s="63"/>
      <c r="B616" s="64"/>
      <c r="C616" s="59" t="s">
        <v>138</v>
      </c>
      <c r="D616" s="59" t="s">
        <v>2295</v>
      </c>
      <c r="E616" s="65">
        <v>412</v>
      </c>
      <c r="F616" s="67" t="s">
        <v>2209</v>
      </c>
      <c r="G616" s="65">
        <v>41227</v>
      </c>
      <c r="H616" s="67" t="s">
        <v>2210</v>
      </c>
      <c r="I616" s="67" t="s">
        <v>409</v>
      </c>
      <c r="J616" s="67" t="str">
        <f>INDEX(数据元说明!A:F,MATCH(I616,数据元说明!C:C,0),2)</f>
        <v>001020</v>
      </c>
      <c r="K616" s="68" t="str">
        <f>INDEX(数据元说明!A:F,MATCH(I616,数据元说明!C:C,0),5)</f>
        <v>柜员编号，银行自定义。</v>
      </c>
      <c r="L616" s="67" t="str">
        <f>INDEX(数据元说明!A:F,MATCH(I616,数据元说明!C:C,0),6)</f>
        <v>C..30</v>
      </c>
      <c r="M616" s="69" t="s">
        <v>2211</v>
      </c>
      <c r="N616" s="68" t="s">
        <v>1583</v>
      </c>
      <c r="O616" s="68" t="s">
        <v>484</v>
      </c>
      <c r="P616" s="68"/>
    </row>
    <row r="617" ht="39.95" hidden="1" customHeight="1" outlineLevel="1" spans="1:16">
      <c r="A617" s="63"/>
      <c r="B617" s="64"/>
      <c r="C617" s="59" t="s">
        <v>138</v>
      </c>
      <c r="D617" s="59" t="s">
        <v>2295</v>
      </c>
      <c r="E617" s="65">
        <v>412</v>
      </c>
      <c r="F617" s="67" t="s">
        <v>721</v>
      </c>
      <c r="G617" s="65">
        <v>41228</v>
      </c>
      <c r="H617" s="67" t="s">
        <v>2189</v>
      </c>
      <c r="I617" s="67" t="s">
        <v>721</v>
      </c>
      <c r="J617" s="67" t="str">
        <f>INDEX(数据元说明!A:F,MATCH(I617,数据元说明!C:C,0),2)</f>
        <v>004004</v>
      </c>
      <c r="K617" s="68" t="str">
        <f>INDEX(数据元说明!A:F,MATCH(I617,数据元说明!C:C,0),5)</f>
        <v>现，转。</v>
      </c>
      <c r="L617" s="67" t="str">
        <f>INDEX(数据元说明!A:F,MATCH(I617,数据元说明!C:C,0),6)</f>
        <v>C3</v>
      </c>
      <c r="M617" s="68" t="s">
        <v>2190</v>
      </c>
      <c r="N617" s="68" t="s">
        <v>1583</v>
      </c>
      <c r="O617" s="68" t="s">
        <v>484</v>
      </c>
      <c r="P617" s="68"/>
    </row>
    <row r="618" ht="39.95" hidden="1" customHeight="1" outlineLevel="1" spans="1:16">
      <c r="A618" s="63"/>
      <c r="B618" s="64"/>
      <c r="C618" s="59" t="s">
        <v>138</v>
      </c>
      <c r="D618" s="59" t="s">
        <v>2295</v>
      </c>
      <c r="E618" s="65">
        <v>412</v>
      </c>
      <c r="F618" s="67" t="s">
        <v>484</v>
      </c>
      <c r="G618" s="65">
        <v>41229</v>
      </c>
      <c r="H618" s="67" t="s">
        <v>1623</v>
      </c>
      <c r="I618" s="67" t="s">
        <v>484</v>
      </c>
      <c r="J618" s="67" t="str">
        <f>INDEX(数据元说明!A:F,MATCH(I618,数据元说明!C:C,0),2)</f>
        <v>001038</v>
      </c>
      <c r="K618" s="68" t="str">
        <f>INDEX(数据元说明!A:F,MATCH(I618,数据元说明!C:C,0),5)</f>
        <v>银行自定义。</v>
      </c>
      <c r="L618" s="67" t="str">
        <f>INDEX(数据元说明!A:F,MATCH(I618,数据元说明!C:C,0),6)</f>
        <v>C..600</v>
      </c>
      <c r="M618" s="68" t="s">
        <v>1624</v>
      </c>
      <c r="N618" s="68" t="s">
        <v>1601</v>
      </c>
      <c r="O618" s="68"/>
      <c r="P618" s="68"/>
    </row>
    <row r="619" ht="39.95" hidden="1" customHeight="1" outlineLevel="1" spans="1:16">
      <c r="A619" s="63"/>
      <c r="B619" s="64"/>
      <c r="C619" s="59" t="s">
        <v>138</v>
      </c>
      <c r="D619" s="59" t="s">
        <v>2295</v>
      </c>
      <c r="E619" s="65">
        <v>412</v>
      </c>
      <c r="F619" s="67" t="s">
        <v>1625</v>
      </c>
      <c r="G619" s="65">
        <v>41230</v>
      </c>
      <c r="H619" s="67" t="s">
        <v>1626</v>
      </c>
      <c r="I619" s="67" t="s">
        <v>345</v>
      </c>
      <c r="J619" s="67" t="str">
        <f>INDEX(数据元说明!A:F,MATCH(I619,数据元说明!C:C,0),2)</f>
        <v>001005</v>
      </c>
      <c r="K619" s="68" t="str">
        <f>INDEX(数据元说明!A:F,MATCH(I619,数据元说明!C:C,0),5)</f>
        <v>YYYYMMDD，默认值99991231。</v>
      </c>
      <c r="L619" s="67" t="str">
        <f>INDEX(数据元说明!A:F,MATCH(I619,数据元说明!C:C,0),6)</f>
        <v>C8</v>
      </c>
      <c r="M619" s="68" t="s">
        <v>1627</v>
      </c>
      <c r="N619" s="68"/>
      <c r="O619" s="68"/>
      <c r="P619" s="68"/>
    </row>
    <row r="620" ht="39.95" hidden="1" customHeight="1" collapsed="1" spans="1:16">
      <c r="A620" s="63" t="s">
        <v>2298</v>
      </c>
      <c r="B620" s="64" t="s">
        <v>143</v>
      </c>
      <c r="C620" s="59"/>
      <c r="D620" s="59"/>
      <c r="E620" s="65"/>
      <c r="F620" s="67"/>
      <c r="G620" s="65"/>
      <c r="H620" s="67"/>
      <c r="I620" s="67"/>
      <c r="J620" s="67"/>
      <c r="K620" s="68"/>
      <c r="L620" s="67"/>
      <c r="M620" s="68"/>
      <c r="N620" s="68"/>
      <c r="O620" s="68"/>
      <c r="P620" s="68"/>
    </row>
    <row r="621" ht="39.95" hidden="1" customHeight="1" spans="1:16">
      <c r="A621" s="63"/>
      <c r="B621" s="64"/>
      <c r="C621" s="59" t="s">
        <v>144</v>
      </c>
      <c r="D621" s="59" t="s">
        <v>2299</v>
      </c>
      <c r="E621" s="65">
        <v>501</v>
      </c>
      <c r="F621" s="67"/>
      <c r="G621" s="65"/>
      <c r="H621" s="67"/>
      <c r="I621" s="67"/>
      <c r="J621" s="67"/>
      <c r="K621" s="68"/>
      <c r="L621" s="67"/>
      <c r="M621" s="68" t="str">
        <f>INDEX(表结构总览!D:G,MATCH(D621,表结构总览!D:D,0),4)</f>
        <v>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v>
      </c>
      <c r="N621" s="68" t="s">
        <v>1583</v>
      </c>
      <c r="O621" s="68" t="s">
        <v>484</v>
      </c>
      <c r="P621" s="68"/>
    </row>
    <row r="622" ht="39.95" hidden="1" customHeight="1" outlineLevel="1" spans="1:16">
      <c r="A622" s="63"/>
      <c r="B622" s="64"/>
      <c r="C622" s="74" t="s">
        <v>144</v>
      </c>
      <c r="D622" s="74" t="s">
        <v>2299</v>
      </c>
      <c r="E622" s="65">
        <v>501</v>
      </c>
      <c r="F622" s="67" t="s">
        <v>373</v>
      </c>
      <c r="G622" s="65">
        <v>50101</v>
      </c>
      <c r="H622" s="67" t="s">
        <v>1588</v>
      </c>
      <c r="I622" s="67" t="s">
        <v>373</v>
      </c>
      <c r="J622" s="67" t="str">
        <f>INDEX(数据元说明!A:F,MATCH(I622,数据元说明!C:C,0),2)</f>
        <v>001011</v>
      </c>
      <c r="K622" s="68" t="str">
        <f>INDEX(数据元说明!A:F,MATCH(I622,数据元说明!C:C,0),5)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22" s="67" t="str">
        <f>INDEX(数据元说明!A:F,MATCH(I622,数据元说明!C:C,0),6)</f>
        <v>C..30</v>
      </c>
      <c r="M622" s="68" t="s">
        <v>1629</v>
      </c>
      <c r="N622" s="68" t="s">
        <v>1583</v>
      </c>
      <c r="O622" s="68" t="s">
        <v>484</v>
      </c>
      <c r="P622" s="68"/>
    </row>
    <row r="623" ht="39.95" hidden="1" customHeight="1" outlineLevel="1" spans="1:16">
      <c r="A623" s="70"/>
      <c r="B623" s="71"/>
      <c r="C623" s="74" t="s">
        <v>144</v>
      </c>
      <c r="D623" s="74" t="s">
        <v>2299</v>
      </c>
      <c r="E623" s="65">
        <v>501</v>
      </c>
      <c r="F623" s="67" t="s">
        <v>377</v>
      </c>
      <c r="G623" s="65">
        <v>50102</v>
      </c>
      <c r="H623" s="67" t="s">
        <v>1586</v>
      </c>
      <c r="I623" s="67" t="s">
        <v>377</v>
      </c>
      <c r="J623" s="67" t="str">
        <f>INDEX(数据元说明!A:F,MATCH(I623,数据元说明!C:C,0),2)</f>
        <v>001012</v>
      </c>
      <c r="K623" s="68" t="str">
        <f>INDEX(数据元说明!A:F,MATCH(I623,数据元说明!C:C,0),5)</f>
        <v>银行内部机构号。应具有标识机构的唯一性。</v>
      </c>
      <c r="L623" s="67" t="str">
        <f>INDEX(数据元说明!A:F,MATCH(I623,数据元说明!C:C,0),6)</f>
        <v>C..30</v>
      </c>
      <c r="M623" s="68" t="s">
        <v>1820</v>
      </c>
      <c r="N623" s="68"/>
      <c r="O623" s="68"/>
      <c r="P623" s="68"/>
    </row>
    <row r="624" ht="39.95" hidden="1" customHeight="1" outlineLevel="1" spans="1:16">
      <c r="A624" s="70"/>
      <c r="B624" s="71"/>
      <c r="C624" s="74" t="s">
        <v>144</v>
      </c>
      <c r="D624" s="74" t="s">
        <v>2299</v>
      </c>
      <c r="E624" s="65">
        <v>501</v>
      </c>
      <c r="F624" s="67" t="s">
        <v>488</v>
      </c>
      <c r="G624" s="65">
        <v>50103</v>
      </c>
      <c r="H624" s="67" t="s">
        <v>1699</v>
      </c>
      <c r="I624" s="67" t="s">
        <v>488</v>
      </c>
      <c r="J624" s="67" t="str">
        <f>INDEX(数据元说明!A:F,MATCH(I624,数据元说明!C:C,0),2)</f>
        <v>002001</v>
      </c>
      <c r="K624" s="68" t="str">
        <f>INDEX(数据元说明!A:F,MATCH(I624,数据元说明!C:C,0),5)</f>
        <v>银行自定义的唯一识别客户的标识。供应链融资的填写供应链融资编码。</v>
      </c>
      <c r="L624" s="67" t="str">
        <f>INDEX(数据元说明!A:F,MATCH(I624,数据元说明!C:C,0),6)</f>
        <v>C..60</v>
      </c>
      <c r="M624" s="68" t="s">
        <v>1711</v>
      </c>
      <c r="N624" s="68" t="s">
        <v>1583</v>
      </c>
      <c r="O624" s="68"/>
      <c r="P624" s="68" t="s">
        <v>1634</v>
      </c>
    </row>
    <row r="625" ht="39.95" hidden="1" customHeight="1" outlineLevel="1" spans="1:16">
      <c r="A625" s="70"/>
      <c r="B625" s="71"/>
      <c r="C625" s="74" t="s">
        <v>144</v>
      </c>
      <c r="D625" s="74" t="s">
        <v>2299</v>
      </c>
      <c r="E625" s="65">
        <v>501</v>
      </c>
      <c r="F625" s="67" t="s">
        <v>1837</v>
      </c>
      <c r="G625" s="65">
        <v>50104</v>
      </c>
      <c r="H625" s="67" t="s">
        <v>1838</v>
      </c>
      <c r="I625" s="67" t="s">
        <v>325</v>
      </c>
      <c r="J625" s="67" t="str">
        <f>INDEX(数据元说明!A:F,MATCH(I625,数据元说明!C:C,0),2)</f>
        <v>001001</v>
      </c>
      <c r="K625" s="68" t="str">
        <f>INDEX(数据元说明!A:F,MATCH(I625,数据元说明!C:C,0),5)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625" s="67" t="str">
        <f>INDEX(数据元说明!A:F,MATCH(I625,数据元说明!C:C,0),6)</f>
        <v>C..450</v>
      </c>
      <c r="M625" s="68" t="s">
        <v>2300</v>
      </c>
      <c r="N625" s="68" t="s">
        <v>1583</v>
      </c>
      <c r="O625" s="68" t="s">
        <v>1695</v>
      </c>
      <c r="P625" s="68"/>
    </row>
    <row r="626" ht="39.95" hidden="1" customHeight="1" outlineLevel="1" spans="1:16">
      <c r="A626" s="63"/>
      <c r="B626" s="64"/>
      <c r="C626" s="74" t="s">
        <v>144</v>
      </c>
      <c r="D626" s="74" t="s">
        <v>2299</v>
      </c>
      <c r="E626" s="65">
        <v>501</v>
      </c>
      <c r="F626" s="67" t="s">
        <v>2257</v>
      </c>
      <c r="G626" s="65">
        <v>50105</v>
      </c>
      <c r="H626" s="67" t="s">
        <v>2258</v>
      </c>
      <c r="I626" s="67" t="s">
        <v>683</v>
      </c>
      <c r="J626" s="67" t="str">
        <f>INDEX(数据元说明!A:F,MATCH(I626,数据元说明!C:C,0),2)</f>
        <v>003020</v>
      </c>
      <c r="K626" s="68" t="str">
        <f>INDEX(数据元说明!A:F,MATCH(I626,数据元说明!C:C,0),5)</f>
        <v>合同号。</v>
      </c>
      <c r="L626" s="67" t="str">
        <f>INDEX(数据元说明!A:F,MATCH(I626,数据元说明!C:C,0),6)</f>
        <v>C..100</v>
      </c>
      <c r="M626" s="68" t="s">
        <v>2301</v>
      </c>
      <c r="N626" s="68" t="s">
        <v>1583</v>
      </c>
      <c r="O626" s="68"/>
      <c r="P626" s="68" t="s">
        <v>1634</v>
      </c>
    </row>
    <row r="627" ht="39.95" hidden="1" customHeight="1" outlineLevel="1" spans="1:16">
      <c r="A627" s="63"/>
      <c r="B627" s="64"/>
      <c r="C627" s="74" t="s">
        <v>144</v>
      </c>
      <c r="D627" s="74" t="s">
        <v>2299</v>
      </c>
      <c r="E627" s="65">
        <v>501</v>
      </c>
      <c r="F627" s="67" t="s">
        <v>2302</v>
      </c>
      <c r="G627" s="65">
        <v>50106</v>
      </c>
      <c r="H627" s="67" t="s">
        <v>2303</v>
      </c>
      <c r="I627" s="67" t="s">
        <v>683</v>
      </c>
      <c r="J627" s="67" t="str">
        <f>INDEX(数据元说明!A:F,MATCH(I627,数据元说明!C:C,0),2)</f>
        <v>003020</v>
      </c>
      <c r="K627" s="68" t="str">
        <f>INDEX(数据元说明!A:F,MATCH(I627,数据元说明!C:C,0),5)</f>
        <v>合同号。</v>
      </c>
      <c r="L627" s="67" t="str">
        <f>INDEX(数据元说明!A:F,MATCH(I627,数据元说明!C:C,0),6)</f>
        <v>C..100</v>
      </c>
      <c r="M627" s="68" t="s">
        <v>2304</v>
      </c>
      <c r="N627" s="68" t="s">
        <v>1583</v>
      </c>
      <c r="O627" s="68"/>
      <c r="P627" s="68" t="s">
        <v>1634</v>
      </c>
    </row>
    <row r="628" ht="39.95" hidden="1" customHeight="1" outlineLevel="1" spans="1:16">
      <c r="A628" s="70"/>
      <c r="B628" s="71"/>
      <c r="C628" s="74" t="s">
        <v>144</v>
      </c>
      <c r="D628" s="74" t="s">
        <v>2299</v>
      </c>
      <c r="E628" s="65">
        <v>501</v>
      </c>
      <c r="F628" s="67" t="s">
        <v>750</v>
      </c>
      <c r="G628" s="65">
        <v>50107</v>
      </c>
      <c r="H628" s="67" t="s">
        <v>2305</v>
      </c>
      <c r="I628" s="67" t="s">
        <v>750</v>
      </c>
      <c r="J628" s="67" t="str">
        <f>INDEX(数据元说明!A:F,MATCH(I628,数据元说明!C:C,0),2)</f>
        <v>005002</v>
      </c>
      <c r="K628" s="68" t="str">
        <f>INDEX(数据元说明!A:F,MATCH(I628,数据元说明!C:C,0),5)</f>
        <v>信贷合同的中文名称，银行自定义。</v>
      </c>
      <c r="L628" s="67" t="str">
        <f>INDEX(数据元说明!A:F,MATCH(I628,数据元说明!C:C,0),6)</f>
        <v>C..300</v>
      </c>
      <c r="M628" s="68" t="s">
        <v>2306</v>
      </c>
      <c r="N628" s="68" t="s">
        <v>1583</v>
      </c>
      <c r="O628" s="68" t="s">
        <v>1794</v>
      </c>
      <c r="P628" s="68"/>
    </row>
    <row r="629" ht="39.95" hidden="1" customHeight="1" outlineLevel="1" spans="1:16">
      <c r="A629" s="70"/>
      <c r="B629" s="71"/>
      <c r="C629" s="74" t="s">
        <v>144</v>
      </c>
      <c r="D629" s="74" t="s">
        <v>2299</v>
      </c>
      <c r="E629" s="65">
        <v>501</v>
      </c>
      <c r="F629" s="67" t="s">
        <v>754</v>
      </c>
      <c r="G629" s="65">
        <v>50108</v>
      </c>
      <c r="H629" s="67" t="s">
        <v>2307</v>
      </c>
      <c r="I629" s="67" t="s">
        <v>754</v>
      </c>
      <c r="J629" s="67" t="str">
        <f>INDEX(数据元说明!A:F,MATCH(I629,数据元说明!C:C,0),2)</f>
        <v>005003</v>
      </c>
      <c r="K629" s="68" t="str">
        <f>INDEX(数据元说明!A:F,MATCH(I629,数据元说明!C:C,0),5)</f>
        <v>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v>
      </c>
      <c r="L629" s="67" t="str">
        <f>INDEX(数据元说明!A:F,MATCH(I629,数据元说明!C:C,0),6)</f>
        <v>C..150</v>
      </c>
      <c r="M629" s="69" t="s">
        <v>2308</v>
      </c>
      <c r="N629" s="68" t="s">
        <v>1601</v>
      </c>
      <c r="O629" s="68"/>
      <c r="P629" s="68"/>
    </row>
    <row r="630" ht="39.95" hidden="1" customHeight="1" outlineLevel="1" spans="1:16">
      <c r="A630" s="70"/>
      <c r="B630" s="71"/>
      <c r="C630" s="74" t="s">
        <v>144</v>
      </c>
      <c r="D630" s="74" t="s">
        <v>2299</v>
      </c>
      <c r="E630" s="65">
        <v>501</v>
      </c>
      <c r="F630" s="67" t="s">
        <v>642</v>
      </c>
      <c r="G630" s="65">
        <v>50109</v>
      </c>
      <c r="H630" s="67" t="s">
        <v>1914</v>
      </c>
      <c r="I630" s="67" t="s">
        <v>642</v>
      </c>
      <c r="J630" s="67" t="str">
        <f>INDEX(数据元说明!A:F,MATCH(I630,数据元说明!C:C,0),2)</f>
        <v>003010</v>
      </c>
      <c r="K630" s="68" t="str">
        <f>INDEX(数据元说明!A:F,MATCH(I630,数据元说明!C:C,0),5)</f>
        <v>遵循《GB/T 12406 表示货币和资金的代码》的字母代码，如CNY。上述文件所列币种无法涵盖的，允许银行自定义填报。多个币种合计折算为人民币（本外币合计）的，填报为BWB。</v>
      </c>
      <c r="L630" s="67" t="str">
        <f>INDEX(数据元说明!A:F,MATCH(I630,数据元说明!C:C,0),6)</f>
        <v>C3</v>
      </c>
      <c r="M630" s="68"/>
      <c r="N630" s="68"/>
      <c r="O630" s="68"/>
      <c r="P630" s="68"/>
    </row>
    <row r="631" ht="39.95" hidden="1" customHeight="1" outlineLevel="1" spans="1:16">
      <c r="A631" s="70"/>
      <c r="B631" s="71"/>
      <c r="C631" s="74" t="s">
        <v>144</v>
      </c>
      <c r="D631" s="74" t="s">
        <v>2299</v>
      </c>
      <c r="E631" s="65">
        <v>501</v>
      </c>
      <c r="F631" s="67" t="s">
        <v>2309</v>
      </c>
      <c r="G631" s="65">
        <v>50110</v>
      </c>
      <c r="H631" s="67" t="s">
        <v>2310</v>
      </c>
      <c r="I631" s="67" t="s">
        <v>634</v>
      </c>
      <c r="J631" s="67" t="str">
        <f>INDEX(数据元说明!A:F,MATCH(I631,数据元说明!C:C,0),2)</f>
        <v>003008</v>
      </c>
      <c r="K631" s="68" t="str">
        <f>INDEX(数据元说明!A:F,MATCH(I631,数据元说明!C:C,0),5)</f>
        <v>与币种相对应金额。</v>
      </c>
      <c r="L631" s="67" t="str">
        <f>INDEX(数据元说明!A:F,MATCH(I631,数据元说明!C:C,0),6)</f>
        <v>D20.2</v>
      </c>
      <c r="M631" s="68"/>
      <c r="N631" s="68" t="s">
        <v>1583</v>
      </c>
      <c r="O631" s="68" t="s">
        <v>1574</v>
      </c>
      <c r="P631" s="68"/>
    </row>
    <row r="632" ht="39.95" hidden="1" customHeight="1" outlineLevel="1" spans="1:16">
      <c r="A632" s="70"/>
      <c r="B632" s="71"/>
      <c r="C632" s="74" t="s">
        <v>144</v>
      </c>
      <c r="D632" s="74" t="s">
        <v>2299</v>
      </c>
      <c r="E632" s="65">
        <v>501</v>
      </c>
      <c r="F632" s="67" t="s">
        <v>2311</v>
      </c>
      <c r="G632" s="65">
        <v>50111</v>
      </c>
      <c r="H632" s="67" t="s">
        <v>2312</v>
      </c>
      <c r="I632" s="67" t="s">
        <v>345</v>
      </c>
      <c r="J632" s="67" t="str">
        <f>INDEX(数据元说明!A:F,MATCH(I632,数据元说明!C:C,0),2)</f>
        <v>001005</v>
      </c>
      <c r="K632" s="68" t="str">
        <f>INDEX(数据元说明!A:F,MATCH(I632,数据元说明!C:C,0),5)</f>
        <v>YYYYMMDD，默认值99991231。</v>
      </c>
      <c r="L632" s="67" t="str">
        <f>INDEX(数据元说明!A:F,MATCH(I632,数据元说明!C:C,0),6)</f>
        <v>C8</v>
      </c>
      <c r="M632" s="68" t="s">
        <v>2313</v>
      </c>
      <c r="N632" s="68" t="s">
        <v>1583</v>
      </c>
      <c r="O632" s="68"/>
      <c r="P632" s="68"/>
    </row>
    <row r="633" ht="39.95" hidden="1" customHeight="1" outlineLevel="1" spans="1:16">
      <c r="A633" s="70"/>
      <c r="B633" s="71"/>
      <c r="C633" s="74" t="s">
        <v>144</v>
      </c>
      <c r="D633" s="74" t="s">
        <v>2299</v>
      </c>
      <c r="E633" s="65">
        <v>501</v>
      </c>
      <c r="F633" s="67" t="s">
        <v>2314</v>
      </c>
      <c r="G633" s="65">
        <v>50112</v>
      </c>
      <c r="H633" s="67" t="s">
        <v>2315</v>
      </c>
      <c r="I633" s="67" t="s">
        <v>345</v>
      </c>
      <c r="J633" s="67" t="str">
        <f>INDEX(数据元说明!A:F,MATCH(I633,数据元说明!C:C,0),2)</f>
        <v>001005</v>
      </c>
      <c r="K633" s="68" t="str">
        <f>INDEX(数据元说明!A:F,MATCH(I633,数据元说明!C:C,0),5)</f>
        <v>YYYYMMDD，默认值99991231。</v>
      </c>
      <c r="L633" s="67" t="str">
        <f>INDEX(数据元说明!A:F,MATCH(I633,数据元说明!C:C,0),6)</f>
        <v>C8</v>
      </c>
      <c r="M633" s="68" t="s">
        <v>2316</v>
      </c>
      <c r="N633" s="68" t="s">
        <v>1583</v>
      </c>
      <c r="O633" s="68" t="s">
        <v>484</v>
      </c>
      <c r="P633" s="68"/>
    </row>
    <row r="634" ht="39.95" hidden="1" customHeight="1" outlineLevel="1" spans="1:16">
      <c r="A634" s="70"/>
      <c r="B634" s="71"/>
      <c r="C634" s="74" t="s">
        <v>144</v>
      </c>
      <c r="D634" s="74" t="s">
        <v>2299</v>
      </c>
      <c r="E634" s="65">
        <v>501</v>
      </c>
      <c r="F634" s="67" t="s">
        <v>844</v>
      </c>
      <c r="G634" s="65">
        <v>50113</v>
      </c>
      <c r="H634" s="67" t="s">
        <v>2317</v>
      </c>
      <c r="I634" s="67" t="s">
        <v>844</v>
      </c>
      <c r="J634" s="67" t="str">
        <f>INDEX(数据元说明!A:F,MATCH(I634,数据元说明!C:C,0),2)</f>
        <v>005026</v>
      </c>
      <c r="K634" s="68" t="str">
        <f>INDEX(数据元说明!A:F,MATCH(I634,数据元说明!C:C,0),5)</f>
        <v>抵押，质押，保证，信用，混合，其他-银行自定义。若无法以枚举类型填写，则以“其他-XX”填报，其中“XX”为银行自定义类型。</v>
      </c>
      <c r="L634" s="67" t="str">
        <f>INDEX(数据元说明!A:F,MATCH(I634,数据元说明!C:C,0),6)</f>
        <v>C..60</v>
      </c>
      <c r="M634" s="68"/>
      <c r="N634" s="68" t="s">
        <v>1583</v>
      </c>
      <c r="O634" s="68"/>
      <c r="P634" s="68"/>
    </row>
    <row r="635" ht="39.95" hidden="1" customHeight="1" outlineLevel="1" spans="1:16">
      <c r="A635" s="63"/>
      <c r="B635" s="64"/>
      <c r="C635" s="74" t="s">
        <v>144</v>
      </c>
      <c r="D635" s="74" t="s">
        <v>2299</v>
      </c>
      <c r="E635" s="65">
        <v>501</v>
      </c>
      <c r="F635" s="67" t="s">
        <v>2318</v>
      </c>
      <c r="G635" s="65">
        <v>50114</v>
      </c>
      <c r="H635" s="67" t="s">
        <v>2319</v>
      </c>
      <c r="I635" s="67" t="s">
        <v>766</v>
      </c>
      <c r="J635" s="67" t="str">
        <f>INDEX(数据元说明!A:F,MATCH(I635,数据元说明!C:C,0),2)</f>
        <v>005006</v>
      </c>
      <c r="K635" s="68" t="str">
        <f>INDEX(数据元说明!A:F,MATCH(I635,数据元说明!C:C,0),5)</f>
        <v>贷款使用的具体内容。</v>
      </c>
      <c r="L635" s="67" t="str">
        <f>INDEX(数据元说明!A:F,MATCH(I635,数据元说明!C:C,0),6)</f>
        <v>C..1500</v>
      </c>
      <c r="M635" s="68" t="s">
        <v>2320</v>
      </c>
      <c r="N635" s="68" t="s">
        <v>1583</v>
      </c>
      <c r="O635" s="68"/>
      <c r="P635" s="68" t="s">
        <v>1648</v>
      </c>
    </row>
    <row r="636" ht="39.95" hidden="1" customHeight="1" outlineLevel="1" spans="1:16">
      <c r="A636" s="70"/>
      <c r="B636" s="71"/>
      <c r="C636" s="74" t="s">
        <v>144</v>
      </c>
      <c r="D636" s="74" t="s">
        <v>2299</v>
      </c>
      <c r="E636" s="65">
        <v>501</v>
      </c>
      <c r="F636" s="67" t="s">
        <v>2321</v>
      </c>
      <c r="G636" s="65">
        <v>50115</v>
      </c>
      <c r="H636" s="67" t="s">
        <v>2322</v>
      </c>
      <c r="I636" s="67" t="s">
        <v>389</v>
      </c>
      <c r="J636" s="67" t="str">
        <f>INDEX(数据元说明!A:F,MATCH(I636,数据元说明!C:C,0),2)</f>
        <v>001015</v>
      </c>
      <c r="K636" s="68" t="str">
        <f>INDEX(数据元说明!A:F,MATCH(I636,数据元说明!C:C,0),5)</f>
        <v>工号，银行自定义。</v>
      </c>
      <c r="L636" s="67" t="str">
        <f>INDEX(数据元说明!A:F,MATCH(I636,数据元说明!C:C,0),6)</f>
        <v>C..30</v>
      </c>
      <c r="M636" s="68" t="s">
        <v>2323</v>
      </c>
      <c r="N636" s="68" t="s">
        <v>1583</v>
      </c>
      <c r="O636" s="68" t="s">
        <v>1576</v>
      </c>
      <c r="P636" s="68"/>
    </row>
    <row r="637" ht="39.95" hidden="1" customHeight="1" outlineLevel="1" spans="1:16">
      <c r="A637" s="70"/>
      <c r="B637" s="71"/>
      <c r="C637" s="74" t="s">
        <v>144</v>
      </c>
      <c r="D637" s="74" t="s">
        <v>2299</v>
      </c>
      <c r="E637" s="65">
        <v>501</v>
      </c>
      <c r="F637" s="67" t="s">
        <v>908</v>
      </c>
      <c r="G637" s="65">
        <v>50116</v>
      </c>
      <c r="H637" s="67" t="s">
        <v>2324</v>
      </c>
      <c r="I637" s="67" t="s">
        <v>908</v>
      </c>
      <c r="J637" s="67" t="str">
        <f>INDEX(数据元说明!A:F,MATCH(I637,数据元说明!C:C,0),2)</f>
        <v>005042</v>
      </c>
      <c r="K637" s="68" t="str">
        <f>INDEX(数据元说明!A:F,MATCH(I637,数据元说明!C:C,0),5)</f>
        <v>未生效，有效，撤销，终结，其他-银行自定义。无法以枚举类型填报的，以“其他-XX”填报，其中“XX”为银行自定义状态。</v>
      </c>
      <c r="L637" s="67" t="str">
        <f>INDEX(数据元说明!A:F,MATCH(I637,数据元说明!C:C,0),6)</f>
        <v>C..30</v>
      </c>
      <c r="M637" s="68"/>
      <c r="N637" s="68" t="s">
        <v>1601</v>
      </c>
      <c r="O637" s="68"/>
      <c r="P637" s="68"/>
    </row>
    <row r="638" ht="39.95" hidden="1" customHeight="1" outlineLevel="1" spans="1:16">
      <c r="A638" s="63"/>
      <c r="B638" s="64"/>
      <c r="C638" s="74" t="s">
        <v>144</v>
      </c>
      <c r="D638" s="74" t="s">
        <v>2299</v>
      </c>
      <c r="E638" s="65">
        <v>501</v>
      </c>
      <c r="F638" s="67" t="s">
        <v>484</v>
      </c>
      <c r="G638" s="65">
        <v>50117</v>
      </c>
      <c r="H638" s="67" t="s">
        <v>1623</v>
      </c>
      <c r="I638" s="67" t="s">
        <v>484</v>
      </c>
      <c r="J638" s="67" t="str">
        <f>INDEX(数据元说明!A:F,MATCH(I638,数据元说明!C:C,0),2)</f>
        <v>001038</v>
      </c>
      <c r="K638" s="68" t="str">
        <f>INDEX(数据元说明!A:F,MATCH(I638,数据元说明!C:C,0),5)</f>
        <v>银行自定义。</v>
      </c>
      <c r="L638" s="67" t="str">
        <f>INDEX(数据元说明!A:F,MATCH(I638,数据元说明!C:C,0),6)</f>
        <v>C..600</v>
      </c>
      <c r="M638" s="68" t="s">
        <v>1624</v>
      </c>
      <c r="N638" s="68" t="s">
        <v>1601</v>
      </c>
      <c r="O638" s="68"/>
      <c r="P638" s="68"/>
    </row>
    <row r="639" ht="39.95" hidden="1" customHeight="1" outlineLevel="1" spans="1:16">
      <c r="A639" s="63"/>
      <c r="B639" s="64"/>
      <c r="C639" s="74" t="s">
        <v>144</v>
      </c>
      <c r="D639" s="74" t="s">
        <v>2299</v>
      </c>
      <c r="E639" s="65">
        <v>501</v>
      </c>
      <c r="F639" s="67" t="s">
        <v>1625</v>
      </c>
      <c r="G639" s="65">
        <v>50118</v>
      </c>
      <c r="H639" s="67" t="s">
        <v>1626</v>
      </c>
      <c r="I639" s="67" t="s">
        <v>345</v>
      </c>
      <c r="J639" s="67" t="str">
        <f>INDEX(数据元说明!A:F,MATCH(I639,数据元说明!C:C,0),2)</f>
        <v>001005</v>
      </c>
      <c r="K639" s="68" t="str">
        <f>INDEX(数据元说明!A:F,MATCH(I639,数据元说明!C:C,0),5)</f>
        <v>YYYYMMDD，默认值99991231。</v>
      </c>
      <c r="L639" s="67" t="str">
        <f>INDEX(数据元说明!A:F,MATCH(I639,数据元说明!C:C,0),6)</f>
        <v>C8</v>
      </c>
      <c r="M639" s="68" t="s">
        <v>1627</v>
      </c>
      <c r="N639" s="68"/>
      <c r="O639" s="68"/>
      <c r="P639" s="68"/>
    </row>
    <row r="640" ht="39.95" hidden="1" customHeight="1" collapsed="1" spans="1:16">
      <c r="A640" s="63"/>
      <c r="B640" s="64"/>
      <c r="C640" s="59" t="s">
        <v>149</v>
      </c>
      <c r="D640" s="59" t="s">
        <v>2325</v>
      </c>
      <c r="E640" s="65">
        <v>502</v>
      </c>
      <c r="F640" s="67"/>
      <c r="G640" s="65"/>
      <c r="H640" s="67"/>
      <c r="I640" s="67"/>
      <c r="J640" s="67"/>
      <c r="K640" s="68"/>
      <c r="L640" s="67"/>
      <c r="M640" s="68" t="str">
        <f>INDEX(表结构总览!D:G,MATCH(D640,表结构总览!D:D,0),4)</f>
        <v>本表报送所有互联网贷款合同的附加信息。互联网贷款的认定参照《商业银行互联网贷款管理暂行办法》。互联网贷款的发放明细应该报送至相对应的信贷业务借据表、信贷合同表、信贷分户账以及信贷分户账明细记录中。已撤销、失效、终结的合同在报送合同最后状态的次月可不再报送。</v>
      </c>
      <c r="N640" s="68" t="s">
        <v>1601</v>
      </c>
      <c r="O640" s="68"/>
      <c r="P640" s="68"/>
    </row>
    <row r="641" ht="39.95" hidden="1" customHeight="1" outlineLevel="1" spans="1:16">
      <c r="A641" s="63"/>
      <c r="B641" s="64"/>
      <c r="C641" s="59" t="s">
        <v>149</v>
      </c>
      <c r="D641" s="59" t="s">
        <v>2325</v>
      </c>
      <c r="E641" s="65">
        <v>502</v>
      </c>
      <c r="F641" s="67" t="s">
        <v>373</v>
      </c>
      <c r="G641" s="65">
        <v>50201</v>
      </c>
      <c r="H641" s="67" t="s">
        <v>1588</v>
      </c>
      <c r="I641" s="67" t="s">
        <v>373</v>
      </c>
      <c r="J641" s="67" t="str">
        <f>INDEX(数据元说明!A:F,MATCH(I641,数据元说明!C:C,0),2)</f>
        <v>001011</v>
      </c>
      <c r="K641" s="68" t="str">
        <f>INDEX(数据元说明!A:F,MATCH(I641,数据元说明!C:C,0),5)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41" s="67" t="str">
        <f>INDEX(数据元说明!A:F,MATCH(I641,数据元说明!C:C,0),6)</f>
        <v>C..30</v>
      </c>
      <c r="M641" s="68" t="s">
        <v>2326</v>
      </c>
      <c r="N641" s="68" t="s">
        <v>1583</v>
      </c>
      <c r="O641" s="68" t="s">
        <v>484</v>
      </c>
      <c r="P641" s="68"/>
    </row>
    <row r="642" ht="39.95" hidden="1" customHeight="1" outlineLevel="1" spans="1:16">
      <c r="A642" s="63"/>
      <c r="B642" s="64"/>
      <c r="C642" s="59" t="s">
        <v>149</v>
      </c>
      <c r="D642" s="59" t="s">
        <v>2325</v>
      </c>
      <c r="E642" s="65">
        <v>502</v>
      </c>
      <c r="F642" s="67" t="s">
        <v>377</v>
      </c>
      <c r="G642" s="65">
        <v>50202</v>
      </c>
      <c r="H642" s="67" t="s">
        <v>1586</v>
      </c>
      <c r="I642" s="67" t="s">
        <v>377</v>
      </c>
      <c r="J642" s="67" t="str">
        <f>INDEX(数据元说明!A:F,MATCH(I642,数据元说明!C:C,0),2)</f>
        <v>001012</v>
      </c>
      <c r="K642" s="68" t="str">
        <f>INDEX(数据元说明!A:F,MATCH(I642,数据元说明!C:C,0),5)</f>
        <v>银行内部机构号。应具有标识机构的唯一性。</v>
      </c>
      <c r="L642" s="67" t="str">
        <f>INDEX(数据元说明!A:F,MATCH(I642,数据元说明!C:C,0),6)</f>
        <v>C..30</v>
      </c>
      <c r="M642" s="68" t="s">
        <v>1820</v>
      </c>
      <c r="N642" s="68"/>
      <c r="O642" s="68"/>
      <c r="P642" s="68"/>
    </row>
    <row r="643" ht="39.95" hidden="1" customHeight="1" outlineLevel="1" spans="1:16">
      <c r="A643" s="63"/>
      <c r="B643" s="64"/>
      <c r="C643" s="59" t="s">
        <v>149</v>
      </c>
      <c r="D643" s="59" t="s">
        <v>2325</v>
      </c>
      <c r="E643" s="65">
        <v>502</v>
      </c>
      <c r="F643" s="67" t="s">
        <v>1592</v>
      </c>
      <c r="G643" s="65">
        <v>50203</v>
      </c>
      <c r="H643" s="67" t="s">
        <v>1593</v>
      </c>
      <c r="I643" s="67" t="s">
        <v>325</v>
      </c>
      <c r="J643" s="67" t="str">
        <f>INDEX(数据元说明!A:F,MATCH(I643,数据元说明!C:C,0),2)</f>
        <v>001001</v>
      </c>
      <c r="K643" s="68" t="str">
        <f>INDEX(数据元说明!A:F,MATCH(I643,数据元说明!C:C,0),5)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643" s="67" t="str">
        <f>INDEX(数据元说明!A:F,MATCH(I643,数据元说明!C:C,0),6)</f>
        <v>C..450</v>
      </c>
      <c r="M643" s="68" t="s">
        <v>2327</v>
      </c>
      <c r="N643" s="68" t="s">
        <v>1583</v>
      </c>
      <c r="O643" s="68" t="s">
        <v>322</v>
      </c>
      <c r="P643" s="68" t="s">
        <v>1634</v>
      </c>
    </row>
    <row r="644" ht="39.95" hidden="1" customHeight="1" outlineLevel="1" spans="1:16">
      <c r="A644" s="63"/>
      <c r="B644" s="64"/>
      <c r="C644" s="59" t="s">
        <v>149</v>
      </c>
      <c r="D644" s="59" t="s">
        <v>2325</v>
      </c>
      <c r="E644" s="65">
        <v>502</v>
      </c>
      <c r="F644" s="67" t="s">
        <v>2257</v>
      </c>
      <c r="G644" s="65">
        <v>50204</v>
      </c>
      <c r="H644" s="67" t="s">
        <v>2258</v>
      </c>
      <c r="I644" s="67" t="s">
        <v>683</v>
      </c>
      <c r="J644" s="67" t="str">
        <f>INDEX(数据元说明!A:F,MATCH(I644,数据元说明!C:C,0),2)</f>
        <v>003020</v>
      </c>
      <c r="K644" s="68" t="s">
        <v>2259</v>
      </c>
      <c r="L644" s="67" t="str">
        <f>INDEX(数据元说明!A:F,MATCH(I644,数据元说明!C:C,0),6)</f>
        <v>C..100</v>
      </c>
      <c r="M644" s="68" t="s">
        <v>1679</v>
      </c>
      <c r="N644" s="68" t="s">
        <v>1601</v>
      </c>
      <c r="O644" s="68"/>
      <c r="P644" s="68"/>
    </row>
    <row r="645" ht="39.95" hidden="1" customHeight="1" outlineLevel="1" spans="1:16">
      <c r="A645" s="70"/>
      <c r="B645" s="71"/>
      <c r="C645" s="59" t="s">
        <v>149</v>
      </c>
      <c r="D645" s="59" t="s">
        <v>2325</v>
      </c>
      <c r="E645" s="65">
        <v>502</v>
      </c>
      <c r="F645" s="67" t="s">
        <v>2328</v>
      </c>
      <c r="G645" s="65">
        <v>50205</v>
      </c>
      <c r="H645" s="67" t="s">
        <v>2329</v>
      </c>
      <c r="I645" s="73" t="s">
        <v>1091</v>
      </c>
      <c r="J645" s="67" t="str">
        <f>INDEX(数据元说明!A:F,MATCH(I645,数据元说明!C:C,0),2)</f>
        <v>007020</v>
      </c>
      <c r="K645" s="67" t="str">
        <f>INDEX(数据元说明!A:F,MATCH(I645,数据元说明!C:C,0),5)</f>
        <v>合作，独立。</v>
      </c>
      <c r="L645" s="67" t="str">
        <f>INDEX(数据元说明!A:F,MATCH(I645,数据元说明!C:C,0),6)</f>
        <v>C6</v>
      </c>
      <c r="M645" s="68" t="s">
        <v>2330</v>
      </c>
      <c r="N645" s="68" t="s">
        <v>1601</v>
      </c>
      <c r="O645" s="68"/>
      <c r="P645" s="68"/>
    </row>
    <row r="646" ht="39.95" hidden="1" customHeight="1" outlineLevel="1" spans="1:16">
      <c r="A646" s="63"/>
      <c r="B646" s="64"/>
      <c r="C646" s="59" t="s">
        <v>149</v>
      </c>
      <c r="D646" s="59" t="s">
        <v>2325</v>
      </c>
      <c r="E646" s="65">
        <v>502</v>
      </c>
      <c r="F646" s="73" t="s">
        <v>2331</v>
      </c>
      <c r="G646" s="65">
        <v>50206</v>
      </c>
      <c r="H646" s="67" t="s">
        <v>2332</v>
      </c>
      <c r="I646" s="73" t="s">
        <v>1095</v>
      </c>
      <c r="J646" s="67" t="str">
        <f>INDEX(数据元说明!A:F,MATCH(I646,数据元说明!C:C,0),2)</f>
        <v>007021</v>
      </c>
      <c r="K646" s="68" t="s">
        <v>2333</v>
      </c>
      <c r="L646" s="67" t="str">
        <f>INDEX(数据元说明!A:F,MATCH(I646,数据元说明!C:C,0),6)</f>
        <v>C..200</v>
      </c>
      <c r="M646" s="68" t="s">
        <v>2334</v>
      </c>
      <c r="N646" s="68" t="s">
        <v>1601</v>
      </c>
      <c r="O646" s="68"/>
      <c r="P646" s="68"/>
    </row>
    <row r="647" ht="39.95" hidden="1" customHeight="1" outlineLevel="1" spans="1:16">
      <c r="A647" s="63"/>
      <c r="B647" s="64"/>
      <c r="C647" s="59" t="s">
        <v>149</v>
      </c>
      <c r="D647" s="59" t="s">
        <v>2325</v>
      </c>
      <c r="E647" s="65">
        <v>502</v>
      </c>
      <c r="F647" s="73" t="s">
        <v>642</v>
      </c>
      <c r="G647" s="65">
        <v>50207</v>
      </c>
      <c r="H647" s="67" t="s">
        <v>1914</v>
      </c>
      <c r="I647" s="73" t="s">
        <v>642</v>
      </c>
      <c r="J647" s="67" t="str">
        <f>INDEX(数据元说明!A:F,MATCH(I647,数据元说明!C:C,0),2)</f>
        <v>003010</v>
      </c>
      <c r="K647" s="68" t="str">
        <f>INDEX(数据元说明!A:F,MATCH(I647,数据元说明!C:C,0),5)</f>
        <v>遵循《GB/T 12406 表示货币和资金的代码》的字母代码，如CNY。上述文件所列币种无法涵盖的，允许银行自定义填报。多个币种合计折算为人民币（本外币合计）的，填报为BWB。</v>
      </c>
      <c r="L647" s="67" t="str">
        <f>INDEX(数据元说明!A:F,MATCH(I647,数据元说明!C:C,0),6)</f>
        <v>C3</v>
      </c>
      <c r="M647" s="73"/>
      <c r="N647" s="68" t="s">
        <v>1601</v>
      </c>
      <c r="O647" s="68"/>
      <c r="P647" s="68"/>
    </row>
    <row r="648" ht="39.95" hidden="1" customHeight="1" outlineLevel="1" spans="1:16">
      <c r="A648" s="63"/>
      <c r="B648" s="64"/>
      <c r="C648" s="59" t="s">
        <v>149</v>
      </c>
      <c r="D648" s="59" t="s">
        <v>2325</v>
      </c>
      <c r="E648" s="65">
        <v>502</v>
      </c>
      <c r="F648" s="73" t="s">
        <v>2335</v>
      </c>
      <c r="G648" s="65">
        <v>50208</v>
      </c>
      <c r="H648" s="67" t="s">
        <v>2336</v>
      </c>
      <c r="I648" s="73" t="s">
        <v>634</v>
      </c>
      <c r="J648" s="67" t="str">
        <f>INDEX(数据元说明!A:F,MATCH(I648,数据元说明!C:C,0),2)</f>
        <v>003008</v>
      </c>
      <c r="K648" s="68" t="str">
        <f>INDEX(数据元说明!A:F,MATCH(I648,数据元说明!C:C,0),5)</f>
        <v>与币种相对应金额。</v>
      </c>
      <c r="L648" s="67" t="str">
        <f>INDEX(数据元说明!A:F,MATCH(I648,数据元说明!C:C,0),6)</f>
        <v>D20.2</v>
      </c>
      <c r="M648" s="73" t="s">
        <v>2337</v>
      </c>
      <c r="N648" s="68" t="s">
        <v>1601</v>
      </c>
      <c r="O648" s="68"/>
      <c r="P648" s="68"/>
    </row>
    <row r="649" ht="39.95" hidden="1" customHeight="1" outlineLevel="1" spans="1:16">
      <c r="A649" s="63"/>
      <c r="B649" s="64"/>
      <c r="C649" s="59" t="s">
        <v>149</v>
      </c>
      <c r="D649" s="59" t="s">
        <v>2325</v>
      </c>
      <c r="E649" s="65">
        <v>502</v>
      </c>
      <c r="F649" s="73" t="s">
        <v>2338</v>
      </c>
      <c r="G649" s="65">
        <v>50209</v>
      </c>
      <c r="H649" s="67" t="s">
        <v>1643</v>
      </c>
      <c r="I649" s="73" t="s">
        <v>364</v>
      </c>
      <c r="J649" s="67" t="str">
        <f>INDEX(数据元说明!A:F,MATCH(I649,数据元说明!C:C,0),2)</f>
        <v>001009</v>
      </c>
      <c r="K649" s="68" t="str">
        <f>INDEX(数据元说明!A:F,MATCH(I649,数据元说明!C:C,0),5)</f>
        <v>手机号码或者区号-固定电话号码。</v>
      </c>
      <c r="L649" s="67" t="str">
        <f>INDEX(数据元说明!A:F,MATCH(I649,数据元说明!C:C,0),6)</f>
        <v>C..30</v>
      </c>
      <c r="M649" s="73" t="s">
        <v>2339</v>
      </c>
      <c r="N649" s="68" t="s">
        <v>1601</v>
      </c>
      <c r="O649" s="68"/>
      <c r="P649" s="68"/>
    </row>
    <row r="650" ht="39.95" hidden="1" customHeight="1" outlineLevel="1" spans="1:16">
      <c r="A650" s="63"/>
      <c r="B650" s="64"/>
      <c r="C650" s="59" t="s">
        <v>149</v>
      </c>
      <c r="D650" s="59" t="s">
        <v>2325</v>
      </c>
      <c r="E650" s="65">
        <v>502</v>
      </c>
      <c r="F650" s="73" t="s">
        <v>1099</v>
      </c>
      <c r="G650" s="65">
        <v>50210</v>
      </c>
      <c r="H650" s="67" t="s">
        <v>2340</v>
      </c>
      <c r="I650" s="73" t="s">
        <v>1099</v>
      </c>
      <c r="J650" s="67" t="str">
        <f>INDEX(数据元说明!A:F,MATCH(I650,数据元说明!C:C,0),2)</f>
        <v>007022</v>
      </c>
      <c r="K650" s="68" t="str">
        <f>INDEX(数据元说明!A:F,MATCH(I650,数据元说明!C:C,0),5)</f>
        <v>根据银行或合作方授权系统自定义。未签订授权书的填“未签订”；合作方未提供授权书信息的，填“合作方未提供”。</v>
      </c>
      <c r="L650" s="67" t="str">
        <f>INDEX(数据元说明!A:F,MATCH(I650,数据元说明!C:C,0),6)</f>
        <v>C..300</v>
      </c>
      <c r="M650" s="73" t="s">
        <v>2341</v>
      </c>
      <c r="N650" s="68" t="s">
        <v>1601</v>
      </c>
      <c r="O650" s="68"/>
      <c r="P650" s="68"/>
    </row>
    <row r="651" ht="39.95" hidden="1" customHeight="1" outlineLevel="1" spans="1:16">
      <c r="A651" s="63"/>
      <c r="B651" s="64"/>
      <c r="C651" s="59" t="s">
        <v>149</v>
      </c>
      <c r="D651" s="59" t="s">
        <v>2325</v>
      </c>
      <c r="E651" s="65">
        <v>502</v>
      </c>
      <c r="F651" s="73" t="s">
        <v>2342</v>
      </c>
      <c r="G651" s="65">
        <v>50211</v>
      </c>
      <c r="H651" s="67" t="s">
        <v>2067</v>
      </c>
      <c r="I651" s="73" t="s">
        <v>345</v>
      </c>
      <c r="J651" s="67" t="str">
        <f>INDEX(数据元说明!A:F,MATCH(I651,数据元说明!C:C,0),2)</f>
        <v>001005</v>
      </c>
      <c r="K651" s="68" t="str">
        <f>INDEX(数据元说明!A:F,MATCH(I651,数据元说明!C:C,0),5)</f>
        <v>YYYYMMDD，默认值99991231。</v>
      </c>
      <c r="L651" s="67" t="str">
        <f>INDEX(数据元说明!A:F,MATCH(I651,数据元说明!C:C,0),6)</f>
        <v>C8</v>
      </c>
      <c r="M651" s="73" t="s">
        <v>2343</v>
      </c>
      <c r="N651" s="68" t="s">
        <v>1601</v>
      </c>
      <c r="O651" s="68"/>
      <c r="P651" s="68"/>
    </row>
    <row r="652" ht="39.95" hidden="1" customHeight="1" outlineLevel="1" spans="1:16">
      <c r="A652" s="63"/>
      <c r="B652" s="64"/>
      <c r="C652" s="59" t="s">
        <v>149</v>
      </c>
      <c r="D652" s="59" t="s">
        <v>2325</v>
      </c>
      <c r="E652" s="65">
        <v>502</v>
      </c>
      <c r="F652" s="73" t="s">
        <v>2344</v>
      </c>
      <c r="G652" s="65">
        <v>50212</v>
      </c>
      <c r="H652" s="67" t="s">
        <v>2345</v>
      </c>
      <c r="I652" s="73" t="s">
        <v>345</v>
      </c>
      <c r="J652" s="67" t="str">
        <f>INDEX(数据元说明!A:F,MATCH(I652,数据元说明!C:C,0),2)</f>
        <v>001005</v>
      </c>
      <c r="K652" s="68" t="str">
        <f>INDEX(数据元说明!A:F,MATCH(I652,数据元说明!C:C,0),5)</f>
        <v>YYYYMMDD，默认值99991231。</v>
      </c>
      <c r="L652" s="67" t="str">
        <f>INDEX(数据元说明!A:F,MATCH(I652,数据元说明!C:C,0),6)</f>
        <v>C8</v>
      </c>
      <c r="M652" s="73" t="s">
        <v>2346</v>
      </c>
      <c r="N652" s="68" t="s">
        <v>1601</v>
      </c>
      <c r="O652" s="68"/>
      <c r="P652" s="68"/>
    </row>
    <row r="653" ht="39.95" hidden="1" customHeight="1" outlineLevel="1" spans="1:16">
      <c r="A653" s="63"/>
      <c r="B653" s="64"/>
      <c r="C653" s="59" t="s">
        <v>149</v>
      </c>
      <c r="D653" s="59" t="s">
        <v>2325</v>
      </c>
      <c r="E653" s="65">
        <v>502</v>
      </c>
      <c r="F653" s="73" t="s">
        <v>908</v>
      </c>
      <c r="G653" s="65">
        <v>50213</v>
      </c>
      <c r="H653" s="67" t="s">
        <v>2324</v>
      </c>
      <c r="I653" s="73" t="s">
        <v>908</v>
      </c>
      <c r="J653" s="67" t="str">
        <f>INDEX(数据元说明!A:F,MATCH(I653,数据元说明!C:C,0),2)</f>
        <v>005042</v>
      </c>
      <c r="K653" s="68" t="str">
        <f>INDEX(数据元说明!A:F,MATCH(I653,数据元说明!C:C,0),5)</f>
        <v>未生效，有效，撤销，终结，其他-银行自定义。无法以枚举类型填报的，以“其他-XX”填报，其中“XX”为银行自定义状态。</v>
      </c>
      <c r="L653" s="67" t="str">
        <f>INDEX(数据元说明!A:F,MATCH(I653,数据元说明!C:C,0),6)</f>
        <v>C..30</v>
      </c>
      <c r="M653" s="73" t="s">
        <v>2347</v>
      </c>
      <c r="N653" s="68" t="s">
        <v>1601</v>
      </c>
      <c r="O653" s="68"/>
      <c r="P653" s="68"/>
    </row>
    <row r="654" ht="39.95" hidden="1" customHeight="1" outlineLevel="1" spans="1:16">
      <c r="A654" s="77"/>
      <c r="B654" s="64"/>
      <c r="C654" s="59" t="s">
        <v>149</v>
      </c>
      <c r="D654" s="59" t="s">
        <v>2325</v>
      </c>
      <c r="E654" s="65">
        <v>502</v>
      </c>
      <c r="F654" s="67" t="s">
        <v>484</v>
      </c>
      <c r="G654" s="65">
        <v>50214</v>
      </c>
      <c r="H654" s="67" t="s">
        <v>1623</v>
      </c>
      <c r="I654" s="67" t="s">
        <v>484</v>
      </c>
      <c r="J654" s="67" t="str">
        <f>INDEX(数据元说明!A:F,MATCH(I654,数据元说明!C:C,0),2)</f>
        <v>001038</v>
      </c>
      <c r="K654" s="68" t="str">
        <f>INDEX(数据元说明!A:F,MATCH(I654,数据元说明!C:C,0),5)</f>
        <v>银行自定义。</v>
      </c>
      <c r="L654" s="67" t="str">
        <f>INDEX(数据元说明!A:F,MATCH(I654,数据元说明!C:C,0),6)</f>
        <v>C..600</v>
      </c>
      <c r="M654" s="68" t="s">
        <v>1624</v>
      </c>
      <c r="N654" s="68" t="s">
        <v>1601</v>
      </c>
      <c r="O654" s="68"/>
      <c r="P654" s="68"/>
    </row>
    <row r="655" ht="39.95" hidden="1" customHeight="1" outlineLevel="1" spans="1:16">
      <c r="A655" s="63"/>
      <c r="B655" s="64"/>
      <c r="C655" s="59" t="s">
        <v>149</v>
      </c>
      <c r="D655" s="59" t="s">
        <v>2325</v>
      </c>
      <c r="E655" s="65">
        <v>502</v>
      </c>
      <c r="F655" s="73" t="s">
        <v>1625</v>
      </c>
      <c r="G655" s="65">
        <v>50215</v>
      </c>
      <c r="H655" s="67" t="s">
        <v>1626</v>
      </c>
      <c r="I655" s="73" t="s">
        <v>345</v>
      </c>
      <c r="J655" s="67" t="str">
        <f>INDEX(数据元说明!A:F,MATCH(I655,数据元说明!C:C,0),2)</f>
        <v>001005</v>
      </c>
      <c r="K655" s="68" t="str">
        <f>INDEX(数据元说明!A:F,MATCH(I655,数据元说明!C:C,0),5)</f>
        <v>YYYYMMDD，默认值99991231。</v>
      </c>
      <c r="L655" s="67" t="str">
        <f>INDEX(数据元说明!A:F,MATCH(I655,数据元说明!C:C,0),6)</f>
        <v>C8</v>
      </c>
      <c r="M655" s="68" t="s">
        <v>1627</v>
      </c>
      <c r="N655" s="68" t="s">
        <v>1601</v>
      </c>
      <c r="O655" s="68"/>
      <c r="P655" s="68"/>
    </row>
    <row r="656" ht="39.95" hidden="1" customHeight="1" collapsed="1" spans="1:16">
      <c r="A656" s="63"/>
      <c r="B656" s="64"/>
      <c r="C656" s="59" t="s">
        <v>153</v>
      </c>
      <c r="D656" s="59" t="s">
        <v>2348</v>
      </c>
      <c r="E656" s="65">
        <v>503</v>
      </c>
      <c r="F656" s="67"/>
      <c r="G656" s="65"/>
      <c r="H656" s="67"/>
      <c r="I656" s="67"/>
      <c r="J656" s="67"/>
      <c r="K656" s="68"/>
      <c r="L656" s="67"/>
      <c r="M656" s="68" t="str">
        <f>INDEX(表结构总览!D:G,MATCH(D656,表结构总览!D:D,0),4)</f>
        <v>所有以个人名义在信贷业务中签订的借据信息。个体工商户、私营业主以个人名义办理的贷款的计入本表，以机构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v>
      </c>
      <c r="N656" s="68" t="s">
        <v>1583</v>
      </c>
      <c r="O656" s="68" t="s">
        <v>484</v>
      </c>
      <c r="P656" s="68"/>
    </row>
    <row r="657" ht="39.95" hidden="1" customHeight="1" outlineLevel="1" spans="1:16">
      <c r="A657" s="63"/>
      <c r="B657" s="64"/>
      <c r="C657" s="59" t="s">
        <v>153</v>
      </c>
      <c r="D657" s="59" t="s">
        <v>2348</v>
      </c>
      <c r="E657" s="81">
        <v>503</v>
      </c>
      <c r="F657" s="67" t="s">
        <v>373</v>
      </c>
      <c r="G657" s="65">
        <v>50301</v>
      </c>
      <c r="H657" s="67" t="s">
        <v>1588</v>
      </c>
      <c r="I657" s="67" t="s">
        <v>373</v>
      </c>
      <c r="J657" s="67" t="str">
        <f>INDEX(数据元说明!A:F,MATCH(I657,数据元说明!C:C,0),2)</f>
        <v>001011</v>
      </c>
      <c r="K657" s="68" t="str">
        <f>INDEX(数据元说明!A:F,MATCH(I657,数据元说明!C:C,0),5)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57" s="67" t="str">
        <f>INDEX(数据元说明!A:F,MATCH(I657,数据元说明!C:C,0),6)</f>
        <v>C..30</v>
      </c>
      <c r="M657" s="68" t="s">
        <v>1629</v>
      </c>
      <c r="N657" s="68" t="s">
        <v>1583</v>
      </c>
      <c r="O657" s="68" t="s">
        <v>484</v>
      </c>
      <c r="P657" s="68"/>
    </row>
    <row r="658" ht="39.95" hidden="1" customHeight="1" outlineLevel="1" spans="1:16">
      <c r="A658" s="70"/>
      <c r="B658" s="71"/>
      <c r="C658" s="59" t="s">
        <v>153</v>
      </c>
      <c r="D658" s="59" t="s">
        <v>2348</v>
      </c>
      <c r="E658" s="81">
        <v>503</v>
      </c>
      <c r="F658" s="67" t="s">
        <v>377</v>
      </c>
      <c r="G658" s="65">
        <v>50302</v>
      </c>
      <c r="H658" s="67" t="s">
        <v>1586</v>
      </c>
      <c r="I658" s="67" t="s">
        <v>377</v>
      </c>
      <c r="J658" s="67" t="str">
        <f>INDEX(数据元说明!A:F,MATCH(I658,数据元说明!C:C,0),2)</f>
        <v>001012</v>
      </c>
      <c r="K658" s="68" t="str">
        <f>INDEX(数据元说明!A:F,MATCH(I658,数据元说明!C:C,0),5)</f>
        <v>银行内部机构号。应具有标识机构的唯一性。</v>
      </c>
      <c r="L658" s="67" t="str">
        <f>INDEX(数据元说明!A:F,MATCH(I658,数据元说明!C:C,0),6)</f>
        <v>C..30</v>
      </c>
      <c r="M658" s="68" t="s">
        <v>1820</v>
      </c>
      <c r="N658" s="68" t="s">
        <v>1583</v>
      </c>
      <c r="O658" s="68"/>
      <c r="P658" s="68" t="s">
        <v>1634</v>
      </c>
    </row>
    <row r="659" ht="39.95" hidden="1" customHeight="1" outlineLevel="1" spans="1:16">
      <c r="A659" s="70"/>
      <c r="B659" s="71"/>
      <c r="C659" s="59" t="s">
        <v>153</v>
      </c>
      <c r="D659" s="59" t="s">
        <v>2348</v>
      </c>
      <c r="E659" s="81">
        <v>503</v>
      </c>
      <c r="F659" s="67" t="s">
        <v>1592</v>
      </c>
      <c r="G659" s="65">
        <v>50303</v>
      </c>
      <c r="H659" s="67" t="s">
        <v>1593</v>
      </c>
      <c r="I659" s="67" t="s">
        <v>325</v>
      </c>
      <c r="J659" s="67" t="str">
        <f>INDEX(数据元说明!A:F,MATCH(I659,数据元说明!C:C,0),2)</f>
        <v>001001</v>
      </c>
      <c r="K659" s="68" t="str">
        <f>INDEX(数据元说明!A:F,MATCH(I659,数据元说明!C:C,0),5)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659" s="67" t="str">
        <f>INDEX(数据元说明!A:F,MATCH(I659,数据元说明!C:C,0),6)</f>
        <v>C..450</v>
      </c>
      <c r="M659" s="68" t="s">
        <v>1631</v>
      </c>
      <c r="N659" s="68" t="s">
        <v>1583</v>
      </c>
      <c r="O659" s="68" t="s">
        <v>322</v>
      </c>
      <c r="P659" s="68" t="s">
        <v>1634</v>
      </c>
    </row>
    <row r="660" ht="39.95" hidden="1" customHeight="1" outlineLevel="1" spans="1:16">
      <c r="A660" s="70"/>
      <c r="B660" s="71"/>
      <c r="C660" s="59" t="s">
        <v>153</v>
      </c>
      <c r="D660" s="59" t="s">
        <v>2348</v>
      </c>
      <c r="E660" s="81">
        <v>503</v>
      </c>
      <c r="F660" s="67" t="s">
        <v>2125</v>
      </c>
      <c r="G660" s="65">
        <v>50304</v>
      </c>
      <c r="H660" s="67" t="s">
        <v>2126</v>
      </c>
      <c r="I660" s="67" t="s">
        <v>609</v>
      </c>
      <c r="J660" s="67" t="str">
        <f>INDEX(数据元说明!A:F,MATCH(I660,数据元说明!C:C,0),2)</f>
        <v>003002</v>
      </c>
      <c r="K660" s="68" t="str">
        <f>INDEX(数据元说明!A:F,MATCH(I660,数据元说明!C:C,0),5)</f>
        <v>机构实际使用的总账会计科目编码。</v>
      </c>
      <c r="L660" s="67" t="str">
        <f>INDEX(数据元说明!A:F,MATCH(I660,数据元说明!C:C,0),6)</f>
        <v>C..60</v>
      </c>
      <c r="M660" s="68" t="s">
        <v>2219</v>
      </c>
      <c r="N660" s="68" t="s">
        <v>1583</v>
      </c>
      <c r="O660" s="68" t="s">
        <v>1660</v>
      </c>
      <c r="P660" s="68" t="s">
        <v>1634</v>
      </c>
    </row>
    <row r="661" ht="39.95" hidden="1" customHeight="1" outlineLevel="1" spans="1:16">
      <c r="A661" s="70"/>
      <c r="B661" s="71"/>
      <c r="C661" s="59" t="s">
        <v>153</v>
      </c>
      <c r="D661" s="59" t="s">
        <v>2348</v>
      </c>
      <c r="E661" s="81">
        <v>503</v>
      </c>
      <c r="F661" s="67" t="s">
        <v>2128</v>
      </c>
      <c r="G661" s="65">
        <v>50305</v>
      </c>
      <c r="H661" s="67" t="s">
        <v>2129</v>
      </c>
      <c r="I661" s="67" t="s">
        <v>613</v>
      </c>
      <c r="J661" s="67" t="str">
        <f>INDEX(数据元说明!A:F,MATCH(I661,数据元说明!C:C,0),2)</f>
        <v>003003</v>
      </c>
      <c r="K661" s="68" t="str">
        <f>INDEX(数据元说明!A:F,MATCH(I661,数据元说明!C:C,0),5)</f>
        <v>机构实际使用的总账会计科目编码对应的名称。</v>
      </c>
      <c r="L661" s="67" t="str">
        <f>INDEX(数据元说明!A:F,MATCH(I661,数据元说明!C:C,0),6)</f>
        <v>C..300</v>
      </c>
      <c r="M661" s="68" t="s">
        <v>2219</v>
      </c>
      <c r="N661" s="68" t="s">
        <v>1583</v>
      </c>
      <c r="O661" s="68" t="s">
        <v>484</v>
      </c>
      <c r="P661" s="68" t="s">
        <v>1634</v>
      </c>
    </row>
    <row r="662" ht="39.95" hidden="1" customHeight="1" outlineLevel="1" spans="1:16">
      <c r="A662" s="70"/>
      <c r="B662" s="71"/>
      <c r="C662" s="59" t="s">
        <v>153</v>
      </c>
      <c r="D662" s="59" t="s">
        <v>2348</v>
      </c>
      <c r="E662" s="81">
        <v>503</v>
      </c>
      <c r="F662" s="67" t="s">
        <v>488</v>
      </c>
      <c r="G662" s="65">
        <v>50306</v>
      </c>
      <c r="H662" s="67" t="s">
        <v>1699</v>
      </c>
      <c r="I662" s="67" t="s">
        <v>488</v>
      </c>
      <c r="J662" s="67" t="str">
        <f>INDEX(数据元说明!A:F,MATCH(I662,数据元说明!C:C,0),2)</f>
        <v>002001</v>
      </c>
      <c r="K662" s="68" t="str">
        <f>INDEX(数据元说明!A:F,MATCH(I662,数据元说明!C:C,0),5)</f>
        <v>银行自定义的唯一识别客户的标识。供应链融资的填写供应链融资编码。</v>
      </c>
      <c r="L662" s="74"/>
      <c r="M662" s="68" t="s">
        <v>2130</v>
      </c>
      <c r="N662" s="68" t="s">
        <v>1583</v>
      </c>
      <c r="O662" s="68"/>
      <c r="P662" s="68" t="s">
        <v>1634</v>
      </c>
    </row>
    <row r="663" ht="39.95" hidden="1" customHeight="1" outlineLevel="1" spans="1:16">
      <c r="A663" s="63"/>
      <c r="B663" s="64"/>
      <c r="C663" s="59" t="s">
        <v>153</v>
      </c>
      <c r="D663" s="59" t="s">
        <v>2348</v>
      </c>
      <c r="E663" s="81">
        <v>503</v>
      </c>
      <c r="F663" s="67" t="s">
        <v>1837</v>
      </c>
      <c r="G663" s="65">
        <v>50307</v>
      </c>
      <c r="H663" s="67" t="s">
        <v>1838</v>
      </c>
      <c r="I663" s="67" t="s">
        <v>325</v>
      </c>
      <c r="J663" s="67" t="str">
        <f>INDEX(数据元说明!A:F,MATCH(I663,数据元说明!C:C,0),2)</f>
        <v>001001</v>
      </c>
      <c r="K663" s="68" t="str">
        <f>INDEX(数据元说明!A:F,MATCH(I663,数据元说明!C:C,0),5)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663" s="67" t="str">
        <f>INDEX(数据元说明!A:F,MATCH(I663,数据元说明!C:C,0),6)</f>
        <v>C..450</v>
      </c>
      <c r="M663" s="68" t="s">
        <v>2349</v>
      </c>
      <c r="N663" s="68" t="s">
        <v>1583</v>
      </c>
      <c r="O663" s="68" t="s">
        <v>1695</v>
      </c>
      <c r="P663" s="68" t="s">
        <v>1634</v>
      </c>
    </row>
    <row r="664" ht="39.95" hidden="1" customHeight="1" outlineLevel="1" spans="1:16">
      <c r="A664" s="63"/>
      <c r="B664" s="64"/>
      <c r="C664" s="59" t="s">
        <v>153</v>
      </c>
      <c r="D664" s="59" t="s">
        <v>2348</v>
      </c>
      <c r="E664" s="81">
        <v>503</v>
      </c>
      <c r="F664" s="67" t="s">
        <v>492</v>
      </c>
      <c r="G664" s="65">
        <v>50308</v>
      </c>
      <c r="H664" s="67" t="s">
        <v>1639</v>
      </c>
      <c r="I664" s="67" t="s">
        <v>492</v>
      </c>
      <c r="J664" s="67" t="str">
        <f>INDEX(数据元说明!A:F,MATCH(I664,数据元说明!C:C,0),2)</f>
        <v>002002</v>
      </c>
      <c r="K664" s="68" t="str">
        <f>INDEX(数据元说明!A:F,MATCH(I664,数据元说明!C:C,0),5)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664" s="67" t="str">
        <f>INDEX(数据元说明!A:F,MATCH(I664,数据元说明!C:C,0),6)</f>
        <v>C..60</v>
      </c>
      <c r="M664" s="68" t="s">
        <v>2350</v>
      </c>
      <c r="N664" s="68" t="s">
        <v>1601</v>
      </c>
      <c r="O664" s="68"/>
      <c r="P664" s="68"/>
    </row>
    <row r="665" ht="39.95" hidden="1" customHeight="1" outlineLevel="1" spans="1:16">
      <c r="A665" s="63"/>
      <c r="B665" s="64"/>
      <c r="C665" s="59" t="s">
        <v>153</v>
      </c>
      <c r="D665" s="59" t="s">
        <v>2348</v>
      </c>
      <c r="E665" s="81">
        <v>503</v>
      </c>
      <c r="F665" s="67" t="s">
        <v>496</v>
      </c>
      <c r="G665" s="65">
        <v>50309</v>
      </c>
      <c r="H665" s="67" t="s">
        <v>1640</v>
      </c>
      <c r="I665" s="67" t="s">
        <v>496</v>
      </c>
      <c r="J665" s="67" t="str">
        <f>INDEX(数据元说明!A:F,MATCH(I665,数据元说明!C:C,0),2)</f>
        <v>002003</v>
      </c>
      <c r="K665" s="68" t="str">
        <f>INDEX(数据元说明!A:F,MATCH(I665,数据元说明!C:C,0),5)</f>
        <v>与证件类别对应的证件号码。涉及个人身份证件时需按照本规范给定规则进行脱敏处理。</v>
      </c>
      <c r="L665" s="67" t="str">
        <f>INDEX(数据元说明!A:F,MATCH(I665,数据元说明!C:C,0),6)</f>
        <v>C..70</v>
      </c>
      <c r="M665" s="68" t="s">
        <v>2351</v>
      </c>
      <c r="N665" s="68" t="s">
        <v>1601</v>
      </c>
      <c r="O665" s="68"/>
      <c r="P665" s="68"/>
    </row>
    <row r="666" ht="39.95" hidden="1" customHeight="1" outlineLevel="1" spans="1:16">
      <c r="A666" s="70"/>
      <c r="B666" s="71"/>
      <c r="C666" s="59" t="s">
        <v>153</v>
      </c>
      <c r="D666" s="59" t="s">
        <v>2348</v>
      </c>
      <c r="E666" s="81">
        <v>503</v>
      </c>
      <c r="F666" s="67" t="s">
        <v>2257</v>
      </c>
      <c r="G666" s="65">
        <v>50310</v>
      </c>
      <c r="H666" s="67" t="s">
        <v>2258</v>
      </c>
      <c r="I666" s="67" t="s">
        <v>683</v>
      </c>
      <c r="J666" s="67" t="str">
        <f>INDEX(数据元说明!A:F,MATCH(I666,数据元说明!C:C,0),2)</f>
        <v>003020</v>
      </c>
      <c r="K666" s="68" t="str">
        <f>INDEX(数据元说明!A:F,MATCH(I666,数据元说明!C:C,0),5)</f>
        <v>合同号。</v>
      </c>
      <c r="L666" s="67" t="str">
        <f>INDEX(数据元说明!A:F,MATCH(I666,数据元说明!C:C,0),6)</f>
        <v>C..100</v>
      </c>
      <c r="M666" s="69" t="s">
        <v>2259</v>
      </c>
      <c r="N666" s="68" t="s">
        <v>1583</v>
      </c>
      <c r="O666" s="68"/>
      <c r="P666" s="68" t="s">
        <v>1634</v>
      </c>
    </row>
    <row r="667" ht="39.95" hidden="1" customHeight="1" outlineLevel="1" spans="1:16">
      <c r="A667" s="70"/>
      <c r="B667" s="71"/>
      <c r="C667" s="59" t="s">
        <v>153</v>
      </c>
      <c r="D667" s="59" t="s">
        <v>2348</v>
      </c>
      <c r="E667" s="81">
        <v>503</v>
      </c>
      <c r="F667" s="67" t="s">
        <v>2260</v>
      </c>
      <c r="G667" s="65">
        <v>50311</v>
      </c>
      <c r="H667" s="67" t="s">
        <v>2261</v>
      </c>
      <c r="I667" s="67" t="s">
        <v>678</v>
      </c>
      <c r="J667" s="67" t="str">
        <f>INDEX(数据元说明!A:F,MATCH(I667,数据元说明!C:C,0),2)</f>
        <v>003019</v>
      </c>
      <c r="K667" s="68" t="str">
        <f>INDEX(数据元说明!A:F,MATCH(I667,数据元说明!C:C,0),5)</f>
        <v>借据统一编号。</v>
      </c>
      <c r="L667" s="67" t="str">
        <f>INDEX(数据元说明!A:F,MATCH(I667,数据元说明!C:C,0),6)</f>
        <v>C..100</v>
      </c>
      <c r="M667" s="69" t="s">
        <v>1679</v>
      </c>
      <c r="N667" s="68"/>
      <c r="O667" s="68"/>
      <c r="P667" s="68"/>
    </row>
    <row r="668" ht="39.95" hidden="1" customHeight="1" outlineLevel="1" spans="1:16">
      <c r="A668" s="70"/>
      <c r="B668" s="71"/>
      <c r="C668" s="59" t="s">
        <v>153</v>
      </c>
      <c r="D668" s="59" t="s">
        <v>2348</v>
      </c>
      <c r="E668" s="81">
        <v>503</v>
      </c>
      <c r="F668" s="67" t="s">
        <v>2255</v>
      </c>
      <c r="G668" s="65">
        <v>50312</v>
      </c>
      <c r="H668" s="67" t="s">
        <v>2256</v>
      </c>
      <c r="I668" s="67" t="s">
        <v>605</v>
      </c>
      <c r="J668" s="67" t="str">
        <f>INDEX(数据元说明!A:F,MATCH(I668,数据元说明!C:C,0),2)</f>
        <v>003001</v>
      </c>
      <c r="K668" s="68" t="str">
        <f>INDEX(数据元说明!A:F,MATCH(I668,数据元说明!C:C,0),5)</f>
        <v>系统内最细一级的账号，无唯一性约束，不需要和序号、子序号等做拼接。</v>
      </c>
      <c r="L668" s="67" t="str">
        <f>INDEX(数据元说明!A:F,MATCH(I668,数据元说明!C:C,0),6)</f>
        <v>C..60</v>
      </c>
      <c r="M668" s="68" t="s">
        <v>2352</v>
      </c>
      <c r="N668" s="68" t="s">
        <v>1583</v>
      </c>
      <c r="O668" s="68" t="s">
        <v>484</v>
      </c>
      <c r="P668" s="68"/>
    </row>
    <row r="669" ht="39.95" hidden="1" customHeight="1" outlineLevel="1" spans="1:16">
      <c r="A669" s="70"/>
      <c r="B669" s="71"/>
      <c r="C669" s="59" t="s">
        <v>153</v>
      </c>
      <c r="D669" s="59" t="s">
        <v>2348</v>
      </c>
      <c r="E669" s="81">
        <v>503</v>
      </c>
      <c r="F669" s="67" t="s">
        <v>754</v>
      </c>
      <c r="G669" s="65">
        <v>50313</v>
      </c>
      <c r="H669" s="67" t="s">
        <v>2307</v>
      </c>
      <c r="I669" s="67" t="s">
        <v>754</v>
      </c>
      <c r="J669" s="67" t="str">
        <f>INDEX(数据元说明!A:F,MATCH(I669,数据元说明!C:C,0),2)</f>
        <v>005003</v>
      </c>
      <c r="K669" s="68" t="str">
        <f>INDEX(数据元说明!A:F,MATCH(I669,数据元说明!C:C,0),5)</f>
        <v>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v>
      </c>
      <c r="L669" s="67" t="str">
        <f>INDEX(数据元说明!A:F,MATCH(I669,数据元说明!C:C,0),6)</f>
        <v>C..150</v>
      </c>
      <c r="M669" s="69" t="s">
        <v>2308</v>
      </c>
      <c r="N669" s="68" t="s">
        <v>1583</v>
      </c>
      <c r="O669" s="68" t="s">
        <v>321</v>
      </c>
      <c r="P669" s="68"/>
    </row>
    <row r="670" ht="39.95" hidden="1" customHeight="1" outlineLevel="1" spans="1:16">
      <c r="A670" s="70"/>
      <c r="B670" s="71"/>
      <c r="C670" s="59" t="s">
        <v>153</v>
      </c>
      <c r="D670" s="59" t="s">
        <v>2348</v>
      </c>
      <c r="E670" s="81">
        <v>503</v>
      </c>
      <c r="F670" s="67" t="s">
        <v>900</v>
      </c>
      <c r="G670" s="65">
        <v>50314</v>
      </c>
      <c r="H670" s="67" t="s">
        <v>2353</v>
      </c>
      <c r="I670" s="67" t="s">
        <v>900</v>
      </c>
      <c r="J670" s="67" t="str">
        <f>INDEX(数据元说明!A:F,MATCH(I670,数据元说明!C:C,0),2)</f>
        <v>005040</v>
      </c>
      <c r="K670" s="68" t="str">
        <f>INDEX(数据元说明!A:F,MATCH(I670,数据元说明!C:C,0),5)</f>
        <v>新增，无还本续贷，借新还旧，重组贷款，其他-银行自定义。无法以枚举类型填报的，以“其他-XX”填报，其中“XX”为银行自定义类型。</v>
      </c>
      <c r="L670" s="67" t="str">
        <f>INDEX(数据元说明!A:F,MATCH(I670,数据元说明!C:C,0),6)</f>
        <v>C..30</v>
      </c>
      <c r="M670" s="68" t="s">
        <v>2354</v>
      </c>
      <c r="N670" s="68" t="s">
        <v>1583</v>
      </c>
      <c r="O670" s="68" t="s">
        <v>2355</v>
      </c>
      <c r="P670" s="68" t="s">
        <v>1634</v>
      </c>
    </row>
    <row r="671" ht="39.95" hidden="1" customHeight="1" outlineLevel="1" spans="1:16">
      <c r="A671" s="70"/>
      <c r="B671" s="71"/>
      <c r="C671" s="59" t="s">
        <v>153</v>
      </c>
      <c r="D671" s="59" t="s">
        <v>2348</v>
      </c>
      <c r="E671" s="81">
        <v>503</v>
      </c>
      <c r="F671" s="67" t="s">
        <v>762</v>
      </c>
      <c r="G671" s="65">
        <v>50315</v>
      </c>
      <c r="H671" s="67" t="s">
        <v>2356</v>
      </c>
      <c r="I671" s="67" t="s">
        <v>762</v>
      </c>
      <c r="J671" s="67" t="str">
        <f>INDEX(数据元说明!A:F,MATCH(I671,数据元说明!C:C,0),2)</f>
        <v>005005</v>
      </c>
      <c r="K671" s="68" t="str">
        <f>INDEX(数据元说明!A:F,MATCH(I671,数据元说明!C:C,0),5)</f>
        <v>自主支付，受托支付，混合支付，其他-银行自定义。以枚举类型填报，如无法以枚举类型填报，则以“其他-XX”填报，其中“XX”为银行自定义方式。</v>
      </c>
      <c r="L671" s="67" t="str">
        <f>INDEX(数据元说明!A:F,MATCH(I671,数据元说明!C:C,0),6)</f>
        <v>C..30</v>
      </c>
      <c r="M671" s="69" t="s">
        <v>2357</v>
      </c>
      <c r="N671" s="68" t="s">
        <v>1583</v>
      </c>
      <c r="O671" s="68"/>
      <c r="P671" s="68" t="s">
        <v>1634</v>
      </c>
    </row>
    <row r="672" ht="39.95" hidden="1" customHeight="1" outlineLevel="1" spans="1:16">
      <c r="A672" s="70"/>
      <c r="B672" s="71"/>
      <c r="C672" s="59" t="s">
        <v>153</v>
      </c>
      <c r="D672" s="59" t="s">
        <v>2348</v>
      </c>
      <c r="E672" s="81">
        <v>503</v>
      </c>
      <c r="F672" s="67" t="s">
        <v>642</v>
      </c>
      <c r="G672" s="65">
        <v>50316</v>
      </c>
      <c r="H672" s="67" t="s">
        <v>1914</v>
      </c>
      <c r="I672" s="67" t="s">
        <v>642</v>
      </c>
      <c r="J672" s="67" t="str">
        <f>INDEX(数据元说明!A:F,MATCH(I672,数据元说明!C:C,0),2)</f>
        <v>003010</v>
      </c>
      <c r="K672" s="68" t="str">
        <f>INDEX(数据元说明!A:F,MATCH(I672,数据元说明!C:C,0),5)</f>
        <v>遵循《GB/T 12406 表示货币和资金的代码》的字母代码，如CNY。上述文件所列币种无法涵盖的，允许银行自定义填报。多个币种合计折算为人民币（本外币合计）的，填报为BWB。</v>
      </c>
      <c r="L672" s="67" t="str">
        <f>INDEX(数据元说明!A:F,MATCH(I672,数据元说明!C:C,0),6)</f>
        <v>C3</v>
      </c>
      <c r="M672" s="69"/>
      <c r="N672" s="68"/>
      <c r="O672" s="68"/>
      <c r="P672" s="68"/>
    </row>
    <row r="673" ht="39.95" hidden="1" customHeight="1" outlineLevel="1" spans="1:16">
      <c r="A673" s="70"/>
      <c r="B673" s="71"/>
      <c r="C673" s="59" t="s">
        <v>153</v>
      </c>
      <c r="D673" s="59" t="s">
        <v>2348</v>
      </c>
      <c r="E673" s="81">
        <v>503</v>
      </c>
      <c r="F673" s="67" t="s">
        <v>2266</v>
      </c>
      <c r="G673" s="65">
        <v>50317</v>
      </c>
      <c r="H673" s="67" t="s">
        <v>2267</v>
      </c>
      <c r="I673" s="67" t="s">
        <v>634</v>
      </c>
      <c r="J673" s="67" t="str">
        <f>INDEX(数据元说明!A:F,MATCH(I673,数据元说明!C:C,0),2)</f>
        <v>003008</v>
      </c>
      <c r="K673" s="68" t="str">
        <f>INDEX(数据元说明!A:F,MATCH(I673,数据元说明!C:C,0),5)</f>
        <v>与币种相对应金额。</v>
      </c>
      <c r="L673" s="67" t="str">
        <f>INDEX(数据元说明!A:F,MATCH(I673,数据元说明!C:C,0),6)</f>
        <v>D20.2</v>
      </c>
      <c r="M673" s="68" t="s">
        <v>2358</v>
      </c>
      <c r="N673" s="68" t="s">
        <v>1583</v>
      </c>
      <c r="O673" s="68"/>
      <c r="P673" s="68"/>
    </row>
    <row r="674" ht="39.95" hidden="1" customHeight="1" outlineLevel="1" spans="1:16">
      <c r="A674" s="70"/>
      <c r="B674" s="71"/>
      <c r="C674" s="59" t="s">
        <v>153</v>
      </c>
      <c r="D674" s="59" t="s">
        <v>2348</v>
      </c>
      <c r="E674" s="81">
        <v>503</v>
      </c>
      <c r="F674" s="67" t="s">
        <v>2269</v>
      </c>
      <c r="G674" s="65">
        <v>50318</v>
      </c>
      <c r="H674" s="67" t="s">
        <v>2270</v>
      </c>
      <c r="I674" s="67" t="s">
        <v>638</v>
      </c>
      <c r="J674" s="67" t="str">
        <f>INDEX(数据元说明!A:F,MATCH(I674,数据元说明!C:C,0),2)</f>
        <v>003009</v>
      </c>
      <c r="K674" s="68" t="str">
        <f>INDEX(数据元说明!A:F,MATCH(I674,数据元说明!C:C,0),5)</f>
        <v>与币种相对应金额。(以正数填列。如信贷分户账，某客户初次获得贷款1万元，此时余额为10000；如活期存款明细，某客户初次开户存入10000元，此时余额为10000）</v>
      </c>
      <c r="L674" s="67" t="str">
        <f>INDEX(数据元说明!A:F,MATCH(I674,数据元说明!C:C,0),6)</f>
        <v>D20.2</v>
      </c>
      <c r="M674" s="68" t="s">
        <v>2271</v>
      </c>
      <c r="N674" s="68" t="s">
        <v>1583</v>
      </c>
      <c r="O674" s="68" t="s">
        <v>2359</v>
      </c>
      <c r="P674" s="68" t="s">
        <v>1634</v>
      </c>
    </row>
    <row r="675" ht="39.95" hidden="1" customHeight="1" outlineLevel="1" spans="1:16">
      <c r="A675" s="63"/>
      <c r="B675" s="64"/>
      <c r="C675" s="59" t="s">
        <v>153</v>
      </c>
      <c r="D675" s="59" t="s">
        <v>2348</v>
      </c>
      <c r="E675" s="81">
        <v>503</v>
      </c>
      <c r="F675" s="67" t="s">
        <v>691</v>
      </c>
      <c r="G675" s="65">
        <v>50319</v>
      </c>
      <c r="H675" s="67" t="s">
        <v>2360</v>
      </c>
      <c r="I675" s="67" t="s">
        <v>691</v>
      </c>
      <c r="J675" s="67" t="str">
        <f>INDEX(数据元说明!A:F,MATCH(I675,数据元说明!C:C,0),2)</f>
        <v>003022</v>
      </c>
      <c r="K675" s="68" t="str">
        <f>INDEX(数据元说明!A:F,MATCH(I675,数据元说明!C:C,0),5)</f>
        <v>正常，关注，次级，可疑，损失。</v>
      </c>
      <c r="L675" s="67" t="str">
        <f>INDEX(数据元说明!A:F,MATCH(I675,数据元说明!C:C,0),6)</f>
        <v>C6</v>
      </c>
      <c r="M675" s="69" t="s">
        <v>2361</v>
      </c>
      <c r="N675" s="68" t="s">
        <v>1583</v>
      </c>
      <c r="O675" s="68" t="s">
        <v>1648</v>
      </c>
      <c r="P675" s="68" t="s">
        <v>1634</v>
      </c>
    </row>
    <row r="676" ht="39.95" hidden="1" customHeight="1" outlineLevel="1" spans="1:16">
      <c r="A676" s="70"/>
      <c r="B676" s="71"/>
      <c r="C676" s="59" t="s">
        <v>153</v>
      </c>
      <c r="D676" s="59" t="s">
        <v>2348</v>
      </c>
      <c r="E676" s="81">
        <v>503</v>
      </c>
      <c r="F676" s="67" t="s">
        <v>2362</v>
      </c>
      <c r="G676" s="65">
        <v>50320</v>
      </c>
      <c r="H676" s="67" t="s">
        <v>2363</v>
      </c>
      <c r="I676" s="67" t="s">
        <v>828</v>
      </c>
      <c r="J676" s="67" t="str">
        <f>INDEX(数据元说明!A:F,MATCH(I676,数据元说明!C:C,0),2)</f>
        <v>005022</v>
      </c>
      <c r="K676" s="68" t="str">
        <f>INDEX(数据元说明!A:F,MATCH(I676,数据元说明!C:C,0),5)</f>
        <v>期数，默认值0。</v>
      </c>
      <c r="L676" s="67" t="str">
        <f>INDEX(数据元说明!A:F,MATCH(I676,数据元说明!C:C,0),6)</f>
        <v>I</v>
      </c>
      <c r="M676" s="68" t="s">
        <v>2364</v>
      </c>
      <c r="N676" s="68"/>
      <c r="O676" s="68"/>
      <c r="P676" s="68"/>
    </row>
    <row r="677" ht="39.95" hidden="1" customHeight="1" outlineLevel="1" spans="1:16">
      <c r="A677" s="63"/>
      <c r="B677" s="64"/>
      <c r="C677" s="59" t="s">
        <v>153</v>
      </c>
      <c r="D677" s="59" t="s">
        <v>2348</v>
      </c>
      <c r="E677" s="81">
        <v>503</v>
      </c>
      <c r="F677" s="67" t="s">
        <v>2365</v>
      </c>
      <c r="G677" s="65">
        <v>50321</v>
      </c>
      <c r="H677" s="67" t="s">
        <v>2366</v>
      </c>
      <c r="I677" s="67" t="s">
        <v>828</v>
      </c>
      <c r="J677" s="67" t="str">
        <f>INDEX(数据元说明!A:F,MATCH(I677,数据元说明!C:C,0),2)</f>
        <v>005022</v>
      </c>
      <c r="K677" s="68" t="str">
        <f>INDEX(数据元说明!A:F,MATCH(I677,数据元说明!C:C,0),5)</f>
        <v>期数，默认值0。</v>
      </c>
      <c r="L677" s="67" t="str">
        <f>INDEX(数据元说明!A:F,MATCH(I677,数据元说明!C:C,0),6)</f>
        <v>I</v>
      </c>
      <c r="M677" s="68" t="s">
        <v>2367</v>
      </c>
      <c r="N677" s="68"/>
      <c r="O677" s="68"/>
      <c r="P677" s="68"/>
    </row>
    <row r="678" ht="39.95" hidden="1" customHeight="1" outlineLevel="1" spans="1:16">
      <c r="A678" s="70"/>
      <c r="B678" s="71"/>
      <c r="C678" s="59" t="s">
        <v>153</v>
      </c>
      <c r="D678" s="59" t="s">
        <v>2348</v>
      </c>
      <c r="E678" s="81">
        <v>503</v>
      </c>
      <c r="F678" s="67" t="s">
        <v>824</v>
      </c>
      <c r="G678" s="65">
        <v>50322</v>
      </c>
      <c r="H678" s="67" t="s">
        <v>2368</v>
      </c>
      <c r="I678" s="67" t="s">
        <v>824</v>
      </c>
      <c r="J678" s="67" t="str">
        <f>INDEX(数据元说明!A:F,MATCH(I678,数据元说明!C:C,0),2)</f>
        <v>005021</v>
      </c>
      <c r="K678" s="68" t="str">
        <f>INDEX(数据元说明!A:F,MATCH(I678,数据元说明!C:C,0),5)</f>
        <v>贷款展期次数，未展期为0。</v>
      </c>
      <c r="L678" s="67" t="str">
        <f>INDEX(数据元说明!A:F,MATCH(I678,数据元说明!C:C,0),6)</f>
        <v>I</v>
      </c>
      <c r="M678" s="69"/>
      <c r="N678" s="68"/>
      <c r="O678" s="68"/>
      <c r="P678" s="68"/>
    </row>
    <row r="679" ht="39.95" hidden="1" customHeight="1" outlineLevel="1" spans="1:16">
      <c r="A679" s="63"/>
      <c r="B679" s="64"/>
      <c r="C679" s="59" t="s">
        <v>153</v>
      </c>
      <c r="D679" s="59" t="s">
        <v>2348</v>
      </c>
      <c r="E679" s="81">
        <v>503</v>
      </c>
      <c r="F679" s="67" t="s">
        <v>2369</v>
      </c>
      <c r="G679" s="65">
        <v>50323</v>
      </c>
      <c r="H679" s="67" t="s">
        <v>2370</v>
      </c>
      <c r="I679" s="67" t="s">
        <v>345</v>
      </c>
      <c r="J679" s="67" t="str">
        <f>INDEX(数据元说明!A:F,MATCH(I679,数据元说明!C:C,0),2)</f>
        <v>001005</v>
      </c>
      <c r="K679" s="68" t="str">
        <f>INDEX(数据元说明!A:F,MATCH(I679,数据元说明!C:C,0),5)</f>
        <v>YYYYMMDD，默认值99991231。</v>
      </c>
      <c r="L679" s="67" t="str">
        <f>INDEX(数据元说明!A:F,MATCH(I679,数据元说明!C:C,0),6)</f>
        <v>C8</v>
      </c>
      <c r="M679" s="68" t="s">
        <v>2371</v>
      </c>
      <c r="N679" s="68" t="s">
        <v>1583</v>
      </c>
      <c r="O679" s="68"/>
      <c r="P679" s="68"/>
    </row>
    <row r="680" ht="39.95" hidden="1" customHeight="1" outlineLevel="1" spans="1:16">
      <c r="A680" s="63"/>
      <c r="B680" s="64"/>
      <c r="C680" s="59" t="s">
        <v>153</v>
      </c>
      <c r="D680" s="59" t="s">
        <v>2348</v>
      </c>
      <c r="E680" s="81">
        <v>503</v>
      </c>
      <c r="F680" s="67" t="s">
        <v>2372</v>
      </c>
      <c r="G680" s="65">
        <v>50324</v>
      </c>
      <c r="H680" s="67" t="s">
        <v>2373</v>
      </c>
      <c r="I680" s="67" t="s">
        <v>345</v>
      </c>
      <c r="J680" s="67" t="str">
        <f>INDEX(数据元说明!A:F,MATCH(I680,数据元说明!C:C,0),2)</f>
        <v>001005</v>
      </c>
      <c r="K680" s="68" t="str">
        <f>INDEX(数据元说明!A:F,MATCH(I680,数据元说明!C:C,0),5)</f>
        <v>YYYYMMDD，默认值99991231。</v>
      </c>
      <c r="L680" s="67" t="str">
        <f>INDEX(数据元说明!A:F,MATCH(I680,数据元说明!C:C,0),6)</f>
        <v>C8</v>
      </c>
      <c r="M680" s="68" t="s">
        <v>2374</v>
      </c>
      <c r="N680" s="68" t="s">
        <v>1583</v>
      </c>
      <c r="O680" s="68" t="s">
        <v>484</v>
      </c>
      <c r="P680" s="68"/>
    </row>
    <row r="681" ht="39.95" hidden="1" customHeight="1" outlineLevel="1" spans="1:16">
      <c r="A681" s="63"/>
      <c r="B681" s="64"/>
      <c r="C681" s="59" t="s">
        <v>153</v>
      </c>
      <c r="D681" s="59" t="s">
        <v>2348</v>
      </c>
      <c r="E681" s="81">
        <v>503</v>
      </c>
      <c r="F681" s="67" t="s">
        <v>2375</v>
      </c>
      <c r="G681" s="65">
        <v>50325</v>
      </c>
      <c r="H681" s="67" t="s">
        <v>2376</v>
      </c>
      <c r="I681" s="67" t="s">
        <v>345</v>
      </c>
      <c r="J681" s="67" t="str">
        <f>INDEX(数据元说明!A:F,MATCH(I681,数据元说明!C:C,0),2)</f>
        <v>001005</v>
      </c>
      <c r="K681" s="68" t="str">
        <f>INDEX(数据元说明!A:F,MATCH(I681,数据元说明!C:C,0),5)</f>
        <v>YYYYMMDD，默认值99991231。</v>
      </c>
      <c r="L681" s="67" t="str">
        <f>INDEX(数据元说明!A:F,MATCH(I681,数据元说明!C:C,0),6)</f>
        <v>C8</v>
      </c>
      <c r="M681" s="68" t="s">
        <v>2377</v>
      </c>
      <c r="N681" s="68" t="s">
        <v>1583</v>
      </c>
      <c r="O681" s="68" t="s">
        <v>484</v>
      </c>
      <c r="P681" s="68"/>
    </row>
    <row r="682" ht="39.95" hidden="1" customHeight="1" outlineLevel="1" spans="1:16">
      <c r="A682" s="63"/>
      <c r="B682" s="64"/>
      <c r="C682" s="59" t="s">
        <v>153</v>
      </c>
      <c r="D682" s="59" t="s">
        <v>2348</v>
      </c>
      <c r="E682" s="81">
        <v>503</v>
      </c>
      <c r="F682" s="67" t="s">
        <v>2378</v>
      </c>
      <c r="G682" s="65">
        <v>50326</v>
      </c>
      <c r="H682" s="67" t="s">
        <v>2379</v>
      </c>
      <c r="I682" s="67" t="s">
        <v>634</v>
      </c>
      <c r="J682" s="67" t="str">
        <f>INDEX(数据元说明!A:F,MATCH(I682,数据元说明!C:C,0),2)</f>
        <v>003008</v>
      </c>
      <c r="K682" s="68" t="str">
        <f>INDEX(数据元说明!A:F,MATCH(I682,数据元说明!C:C,0),5)</f>
        <v>与币种相对应金额。</v>
      </c>
      <c r="L682" s="67" t="str">
        <f>INDEX(数据元说明!A:F,MATCH(I682,数据元说明!C:C,0),6)</f>
        <v>D20.2</v>
      </c>
      <c r="M682" s="68" t="s">
        <v>2380</v>
      </c>
      <c r="N682" s="68" t="s">
        <v>1601</v>
      </c>
      <c r="O682" s="68"/>
      <c r="P682" s="68"/>
    </row>
    <row r="683" ht="39.95" hidden="1" customHeight="1" outlineLevel="1" spans="1:16">
      <c r="A683" s="63"/>
      <c r="B683" s="64"/>
      <c r="C683" s="59" t="s">
        <v>153</v>
      </c>
      <c r="D683" s="59" t="s">
        <v>2348</v>
      </c>
      <c r="E683" s="81">
        <v>503</v>
      </c>
      <c r="F683" s="67" t="s">
        <v>2381</v>
      </c>
      <c r="G683" s="65">
        <v>50327</v>
      </c>
      <c r="H683" s="67" t="s">
        <v>2382</v>
      </c>
      <c r="I683" s="67" t="s">
        <v>345</v>
      </c>
      <c r="J683" s="67" t="str">
        <f>INDEX(数据元说明!A:F,MATCH(I683,数据元说明!C:C,0),2)</f>
        <v>001005</v>
      </c>
      <c r="K683" s="68" t="str">
        <f>INDEX(数据元说明!A:F,MATCH(I683,数据元说明!C:C,0),5)</f>
        <v>YYYYMMDD，默认值99991231。</v>
      </c>
      <c r="L683" s="67" t="str">
        <f>INDEX(数据元说明!A:F,MATCH(I683,数据元说明!C:C,0),6)</f>
        <v>C8</v>
      </c>
      <c r="M683" s="68" t="s">
        <v>2383</v>
      </c>
      <c r="N683" s="68" t="s">
        <v>1601</v>
      </c>
      <c r="O683" s="68"/>
      <c r="P683" s="68"/>
    </row>
    <row r="684" ht="39.95" hidden="1" customHeight="1" outlineLevel="1" spans="1:16">
      <c r="A684" s="63"/>
      <c r="B684" s="64"/>
      <c r="C684" s="59" t="s">
        <v>153</v>
      </c>
      <c r="D684" s="59" t="s">
        <v>2348</v>
      </c>
      <c r="E684" s="81">
        <v>503</v>
      </c>
      <c r="F684" s="67" t="s">
        <v>2384</v>
      </c>
      <c r="G684" s="65">
        <v>50328</v>
      </c>
      <c r="H684" s="67" t="s">
        <v>2385</v>
      </c>
      <c r="I684" s="67" t="s">
        <v>638</v>
      </c>
      <c r="J684" s="67" t="str">
        <f>INDEX(数据元说明!A:F,MATCH(I684,数据元说明!C:C,0),2)</f>
        <v>003009</v>
      </c>
      <c r="K684" s="68" t="str">
        <f>INDEX(数据元说明!A:F,MATCH(I684,数据元说明!C:C,0),5)</f>
        <v>与币种相对应金额。(以正数填列。如信贷分户账，某客户初次获得贷款1万元，此时余额为10000；如活期存款明细，某客户初次开户存入10000元，此时余额为10000）</v>
      </c>
      <c r="L684" s="67" t="str">
        <f>INDEX(数据元说明!A:F,MATCH(I684,数据元说明!C:C,0),6)</f>
        <v>D20.2</v>
      </c>
      <c r="M684" s="68" t="s">
        <v>2386</v>
      </c>
      <c r="N684" s="68"/>
      <c r="O684" s="68"/>
      <c r="P684" s="68"/>
    </row>
    <row r="685" ht="39.95" hidden="1" customHeight="1" outlineLevel="1" spans="1:16">
      <c r="A685" s="63"/>
      <c r="B685" s="64"/>
      <c r="C685" s="59" t="s">
        <v>153</v>
      </c>
      <c r="D685" s="59" t="s">
        <v>2348</v>
      </c>
      <c r="E685" s="81">
        <v>503</v>
      </c>
      <c r="F685" s="67" t="s">
        <v>2387</v>
      </c>
      <c r="G685" s="65">
        <v>50329</v>
      </c>
      <c r="H685" s="67" t="s">
        <v>2388</v>
      </c>
      <c r="I685" s="67" t="s">
        <v>638</v>
      </c>
      <c r="J685" s="67" t="str">
        <f>INDEX(数据元说明!A:F,MATCH(I685,数据元说明!C:C,0),2)</f>
        <v>003009</v>
      </c>
      <c r="K685" s="68" t="str">
        <f>INDEX(数据元说明!A:F,MATCH(I685,数据元说明!C:C,0),5)</f>
        <v>与币种相对应金额。(以正数填列。如信贷分户账，某客户初次获得贷款1万元，此时余额为10000；如活期存款明细，某客户初次开户存入10000元，此时余额为10000）</v>
      </c>
      <c r="L685" s="67" t="str">
        <f>INDEX(数据元说明!A:F,MATCH(I685,数据元说明!C:C,0),6)</f>
        <v>D20.2</v>
      </c>
      <c r="M685" s="68" t="s">
        <v>2389</v>
      </c>
      <c r="N685" s="68"/>
      <c r="O685" s="68"/>
      <c r="P685" s="68"/>
    </row>
    <row r="686" ht="39.95" hidden="1" customHeight="1" collapsed="1" spans="1:16">
      <c r="A686" s="63"/>
      <c r="B686" s="64"/>
      <c r="C686" s="59" t="s">
        <v>153</v>
      </c>
      <c r="D686" s="59" t="s">
        <v>2348</v>
      </c>
      <c r="E686" s="81">
        <v>503</v>
      </c>
      <c r="F686" s="67" t="s">
        <v>2390</v>
      </c>
      <c r="G686" s="65">
        <v>50330</v>
      </c>
      <c r="H686" s="67" t="s">
        <v>2064</v>
      </c>
      <c r="I686" s="67" t="s">
        <v>345</v>
      </c>
      <c r="J686" s="67" t="str">
        <f>INDEX(数据元说明!A:F,MATCH(I686,数据元说明!C:C,0),2)</f>
        <v>001005</v>
      </c>
      <c r="K686" s="67" t="str">
        <f>INDEX(数据元说明!A:F,MATCH(I686,数据元说明!C:C,0),5)</f>
        <v>YYYYMMDD，默认值99991231。</v>
      </c>
      <c r="L686" s="67" t="str">
        <f>INDEX(数据元说明!A:F,MATCH(I686,数据元说明!C:C,0),6)</f>
        <v>C8</v>
      </c>
      <c r="M686" s="68" t="s">
        <v>2391</v>
      </c>
      <c r="N686" s="68" t="s">
        <v>1601</v>
      </c>
      <c r="O686" s="68"/>
      <c r="P686" s="69"/>
    </row>
    <row r="687" ht="39.95" hidden="1" customHeight="1" spans="1:16">
      <c r="A687" s="63"/>
      <c r="B687" s="64"/>
      <c r="C687" s="59" t="s">
        <v>153</v>
      </c>
      <c r="D687" s="59" t="s">
        <v>2348</v>
      </c>
      <c r="E687" s="81">
        <v>503</v>
      </c>
      <c r="F687" s="67" t="s">
        <v>2392</v>
      </c>
      <c r="G687" s="65">
        <v>50331</v>
      </c>
      <c r="H687" s="67" t="s">
        <v>2393</v>
      </c>
      <c r="I687" s="67" t="s">
        <v>828</v>
      </c>
      <c r="J687" s="67" t="str">
        <f>INDEX(数据元说明!A:F,MATCH(I687,数据元说明!C:C,0),2)</f>
        <v>005022</v>
      </c>
      <c r="K687" s="68" t="str">
        <f>INDEX(数据元说明!A:F,MATCH(I687,数据元说明!C:C,0),5)</f>
        <v>期数，默认值0。</v>
      </c>
      <c r="L687" s="67" t="str">
        <f>INDEX(数据元说明!A:F,MATCH(I687,数据元说明!C:C,0),6)</f>
        <v>I</v>
      </c>
      <c r="M687" s="68" t="s">
        <v>2394</v>
      </c>
      <c r="N687" s="68" t="s">
        <v>1583</v>
      </c>
      <c r="O687" s="68"/>
      <c r="P687" s="68"/>
    </row>
    <row r="688" ht="39.95" hidden="1" customHeight="1" spans="1:16">
      <c r="A688" s="63"/>
      <c r="B688" s="64"/>
      <c r="C688" s="59" t="s">
        <v>153</v>
      </c>
      <c r="D688" s="59" t="s">
        <v>2348</v>
      </c>
      <c r="E688" s="81">
        <v>503</v>
      </c>
      <c r="F688" s="67" t="s">
        <v>2395</v>
      </c>
      <c r="G688" s="65">
        <v>50332</v>
      </c>
      <c r="H688" s="67" t="s">
        <v>2396</v>
      </c>
      <c r="I688" s="67" t="s">
        <v>828</v>
      </c>
      <c r="J688" s="67" t="str">
        <f>INDEX(数据元说明!A:F,MATCH(I688,数据元说明!C:C,0),2)</f>
        <v>005022</v>
      </c>
      <c r="K688" s="68" t="str">
        <f>INDEX(数据元说明!A:F,MATCH(I688,数据元说明!C:C,0),5)</f>
        <v>期数，默认值0。</v>
      </c>
      <c r="L688" s="67" t="str">
        <f>INDEX(数据元说明!A:F,MATCH(I688,数据元说明!C:C,0),6)</f>
        <v>I</v>
      </c>
      <c r="M688" s="69" t="s">
        <v>2397</v>
      </c>
      <c r="N688" s="68" t="s">
        <v>1583</v>
      </c>
      <c r="O688" s="68" t="s">
        <v>484</v>
      </c>
      <c r="P688" s="68"/>
    </row>
    <row r="689" ht="39.95" hidden="1" customHeight="1" outlineLevel="1" spans="1:16">
      <c r="A689" s="63"/>
      <c r="B689" s="64"/>
      <c r="C689" s="59" t="s">
        <v>153</v>
      </c>
      <c r="D689" s="59" t="s">
        <v>2348</v>
      </c>
      <c r="E689" s="81">
        <v>503</v>
      </c>
      <c r="F689" s="67" t="s">
        <v>2398</v>
      </c>
      <c r="G689" s="65">
        <v>50333</v>
      </c>
      <c r="H689" s="67" t="s">
        <v>2399</v>
      </c>
      <c r="I689" s="67" t="s">
        <v>678</v>
      </c>
      <c r="J689" s="67" t="str">
        <f>INDEX(数据元说明!A:F,MATCH(I689,数据元说明!C:C,0),2)</f>
        <v>003019</v>
      </c>
      <c r="K689" s="68" t="str">
        <f>INDEX(数据元说明!A:F,MATCH(I689,数据元说明!C:C,0),5)</f>
        <v>借据统一编号。</v>
      </c>
      <c r="L689" s="67" t="str">
        <f>INDEX(数据元说明!A:F,MATCH(I689,数据元说明!C:C,0),6)</f>
        <v>C..100</v>
      </c>
      <c r="M689" s="68" t="s">
        <v>2400</v>
      </c>
      <c r="N689" s="68" t="s">
        <v>1601</v>
      </c>
      <c r="O689" s="68"/>
      <c r="P689" s="68"/>
    </row>
    <row r="690" ht="39.95" hidden="1" customHeight="1" outlineLevel="1" spans="1:16">
      <c r="A690" s="63"/>
      <c r="B690" s="64"/>
      <c r="C690" s="59" t="s">
        <v>153</v>
      </c>
      <c r="D690" s="59" t="s">
        <v>2348</v>
      </c>
      <c r="E690" s="81">
        <v>503</v>
      </c>
      <c r="F690" s="67" t="s">
        <v>2401</v>
      </c>
      <c r="G690" s="65">
        <v>50334</v>
      </c>
      <c r="H690" s="67" t="s">
        <v>2402</v>
      </c>
      <c r="I690" s="67" t="s">
        <v>704</v>
      </c>
      <c r="J690" s="67" t="str">
        <f>INDEX(数据元说明!A:F,MATCH(I690,数据元说明!C:C,0),2)</f>
        <v>003025</v>
      </c>
      <c r="K690" s="68" t="str">
        <f>INDEX(数据元说明!A:F,MATCH(I690,数据元说明!C:C,0),5)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690" s="67" t="str">
        <f>INDEX(数据元说明!A:F,MATCH(I690,数据元说明!C:C,0),6)</f>
        <v>C..60</v>
      </c>
      <c r="M690" s="68" t="s">
        <v>2403</v>
      </c>
      <c r="N690" s="68" t="s">
        <v>1583</v>
      </c>
      <c r="O690" s="68" t="s">
        <v>484</v>
      </c>
      <c r="P690" s="68"/>
    </row>
    <row r="691" ht="39.95" hidden="1" customHeight="1" outlineLevel="1" spans="1:16">
      <c r="A691" s="63"/>
      <c r="B691" s="64"/>
      <c r="C691" s="59" t="s">
        <v>153</v>
      </c>
      <c r="D691" s="59" t="s">
        <v>2348</v>
      </c>
      <c r="E691" s="81">
        <v>503</v>
      </c>
      <c r="F691" s="67" t="s">
        <v>2404</v>
      </c>
      <c r="G691" s="65">
        <v>50335</v>
      </c>
      <c r="H691" s="67" t="s">
        <v>2405</v>
      </c>
      <c r="I691" s="67" t="s">
        <v>325</v>
      </c>
      <c r="J691" s="67" t="str">
        <f>INDEX(数据元说明!A:F,MATCH(I691,数据元说明!C:C,0),2)</f>
        <v>001001</v>
      </c>
      <c r="K691" s="68" t="str">
        <f>INDEX(数据元说明!A:F,MATCH(I691,数据元说明!C:C,0),5)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691" s="67" t="str">
        <f>INDEX(数据元说明!A:F,MATCH(I691,数据元说明!C:C,0),6)</f>
        <v>C..450</v>
      </c>
      <c r="M691" s="68" t="s">
        <v>2406</v>
      </c>
      <c r="N691" s="68" t="s">
        <v>1583</v>
      </c>
      <c r="O691" s="68"/>
      <c r="P691" s="68"/>
    </row>
    <row r="692" ht="39.95" hidden="1" customHeight="1" outlineLevel="1" spans="1:16">
      <c r="A692" s="63"/>
      <c r="B692" s="64"/>
      <c r="C692" s="59" t="s">
        <v>153</v>
      </c>
      <c r="D692" s="59" t="s">
        <v>2348</v>
      </c>
      <c r="E692" s="81">
        <v>503</v>
      </c>
      <c r="F692" s="67" t="s">
        <v>2407</v>
      </c>
      <c r="G692" s="65">
        <v>50336</v>
      </c>
      <c r="H692" s="67" t="s">
        <v>2408</v>
      </c>
      <c r="I692" s="67" t="s">
        <v>325</v>
      </c>
      <c r="J692" s="67" t="str">
        <f>INDEX(数据元说明!A:F,MATCH(I692,数据元说明!C:C,0),2)</f>
        <v>001001</v>
      </c>
      <c r="K692" s="68" t="str">
        <f>INDEX(数据元说明!A:F,MATCH(I692,数据元说明!C:C,0),5)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692" s="67" t="str">
        <f>INDEX(数据元说明!A:F,MATCH(I692,数据元说明!C:C,0),6)</f>
        <v>C..450</v>
      </c>
      <c r="M692" s="68" t="s">
        <v>2409</v>
      </c>
      <c r="N692" s="68" t="s">
        <v>1601</v>
      </c>
      <c r="O692" s="68"/>
      <c r="P692" s="68"/>
    </row>
    <row r="693" ht="39.95" hidden="1" customHeight="1" outlineLevel="1" spans="1:16">
      <c r="A693" s="70"/>
      <c r="B693" s="71"/>
      <c r="C693" s="59" t="s">
        <v>153</v>
      </c>
      <c r="D693" s="59" t="s">
        <v>2348</v>
      </c>
      <c r="E693" s="81">
        <v>503</v>
      </c>
      <c r="F693" s="67" t="s">
        <v>1156</v>
      </c>
      <c r="G693" s="65">
        <v>50337</v>
      </c>
      <c r="H693" s="67" t="s">
        <v>2410</v>
      </c>
      <c r="I693" s="67" t="s">
        <v>1156</v>
      </c>
      <c r="J693" s="144" t="str">
        <f>INDEX(数据元说明!A:F,MATCH(I693,数据元说明!C:C,0),2)</f>
        <v>010007</v>
      </c>
      <c r="K693" s="68" t="str">
        <f>INDEX(数据元说明!A:F,MATCH(I693,数据元说明!C:C,0),5)</f>
        <v>LPR，非LPR。</v>
      </c>
      <c r="L693" s="67" t="str">
        <f>INDEX(数据元说明!A:F,MATCH(I693,数据元说明!C:C,0),6)</f>
        <v>C..6</v>
      </c>
      <c r="M693" s="68"/>
      <c r="N693" s="68" t="s">
        <v>1583</v>
      </c>
      <c r="O693" s="68" t="s">
        <v>321</v>
      </c>
      <c r="P693" s="68"/>
    </row>
    <row r="694" ht="39.95" hidden="1" customHeight="1" outlineLevel="1" spans="1:16">
      <c r="A694" s="70"/>
      <c r="B694" s="71"/>
      <c r="C694" s="59" t="s">
        <v>153</v>
      </c>
      <c r="D694" s="59" t="s">
        <v>2348</v>
      </c>
      <c r="E694" s="81">
        <v>503</v>
      </c>
      <c r="F694" s="67" t="s">
        <v>2263</v>
      </c>
      <c r="G694" s="65">
        <v>50338</v>
      </c>
      <c r="H694" s="67" t="s">
        <v>2293</v>
      </c>
      <c r="I694" s="67" t="s">
        <v>670</v>
      </c>
      <c r="J694" s="67" t="str">
        <f>INDEX(数据元说明!A:F,MATCH(I694,数据元说明!C:C,0),2)</f>
        <v>003017</v>
      </c>
      <c r="K694" s="68" t="str">
        <f>INDEX(数据元说明!A:F,MATCH(I694,数据元说明!C:C,0),5)</f>
        <v>百分比为单位，即%，如4.5%填报为4.5。</v>
      </c>
      <c r="L694" s="67" t="str">
        <f>INDEX(数据元说明!A:F,MATCH(I694,数据元说明!C:C,0),6)</f>
        <v>D20.4</v>
      </c>
      <c r="M694" s="68" t="s">
        <v>2265</v>
      </c>
      <c r="N694" s="68" t="s">
        <v>1601</v>
      </c>
      <c r="O694" s="68"/>
      <c r="P694" s="68"/>
    </row>
    <row r="695" ht="39.95" hidden="1" customHeight="1" outlineLevel="1" spans="1:16">
      <c r="A695" s="63"/>
      <c r="B695" s="64"/>
      <c r="C695" s="59" t="s">
        <v>153</v>
      </c>
      <c r="D695" s="59" t="s">
        <v>2348</v>
      </c>
      <c r="E695" s="81">
        <v>503</v>
      </c>
      <c r="F695" s="67" t="s">
        <v>836</v>
      </c>
      <c r="G695" s="65">
        <v>50339</v>
      </c>
      <c r="H695" s="67" t="s">
        <v>2411</v>
      </c>
      <c r="I695" s="67" t="s">
        <v>836</v>
      </c>
      <c r="J695" s="67" t="str">
        <f>INDEX(数据元说明!A:F,MATCH(I695,数据元说明!C:C,0),2)</f>
        <v>005024</v>
      </c>
      <c r="K695" s="68" t="str">
        <f>INDEX(数据元说明!A:F,MATCH(I695,数据元说明!C:C,0),5)</f>
        <v>按月，按季，按半年，按年，利随本清，分期付息一次还本，其他-银行自定义。若无法以枚举类型填写，则以“其他-XX”填报，其中“XX”为银行自定义类型。</v>
      </c>
      <c r="L695" s="67" t="str">
        <f>INDEX(数据元说明!A:F,MATCH(I695,数据元说明!C:C,0),6)</f>
        <v>C..60</v>
      </c>
      <c r="M695" s="69" t="s">
        <v>2412</v>
      </c>
      <c r="N695" s="68" t="s">
        <v>1583</v>
      </c>
      <c r="O695" s="68" t="s">
        <v>1597</v>
      </c>
      <c r="P695" s="68"/>
    </row>
    <row r="696" ht="39.95" hidden="1" customHeight="1" outlineLevel="1" spans="1:16">
      <c r="A696" s="63"/>
      <c r="B696" s="64"/>
      <c r="C696" s="59" t="s">
        <v>153</v>
      </c>
      <c r="D696" s="59" t="s">
        <v>2348</v>
      </c>
      <c r="E696" s="81">
        <v>503</v>
      </c>
      <c r="F696" s="67" t="s">
        <v>2413</v>
      </c>
      <c r="G696" s="65">
        <v>50340</v>
      </c>
      <c r="H696" s="67" t="s">
        <v>2414</v>
      </c>
      <c r="I696" s="67" t="s">
        <v>704</v>
      </c>
      <c r="J696" s="67" t="str">
        <f>INDEX(数据元说明!A:F,MATCH(I696,数据元说明!C:C,0),2)</f>
        <v>003025</v>
      </c>
      <c r="K696" s="68" t="str">
        <f>INDEX(数据元说明!A:F,MATCH(I696,数据元说明!C:C,0),5)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696" s="67" t="str">
        <f>INDEX(数据元说明!A:F,MATCH(I696,数据元说明!C:C,0),6)</f>
        <v>C..60</v>
      </c>
      <c r="M696" s="68" t="s">
        <v>2415</v>
      </c>
      <c r="N696" s="68" t="s">
        <v>1583</v>
      </c>
      <c r="O696" s="68"/>
      <c r="P696" s="68"/>
    </row>
    <row r="697" ht="39.95" hidden="1" customHeight="1" outlineLevel="1" spans="1:16">
      <c r="A697" s="63"/>
      <c r="B697" s="64"/>
      <c r="C697" s="59" t="s">
        <v>153</v>
      </c>
      <c r="D697" s="59" t="s">
        <v>2348</v>
      </c>
      <c r="E697" s="81">
        <v>503</v>
      </c>
      <c r="F697" s="67" t="s">
        <v>2416</v>
      </c>
      <c r="G697" s="65">
        <v>50341</v>
      </c>
      <c r="H697" s="67" t="s">
        <v>2417</v>
      </c>
      <c r="I697" s="67" t="s">
        <v>325</v>
      </c>
      <c r="J697" s="67" t="str">
        <f>INDEX(数据元说明!A:F,MATCH(I697,数据元说明!C:C,0),2)</f>
        <v>001001</v>
      </c>
      <c r="K697" s="68" t="str">
        <f>INDEX(数据元说明!A:F,MATCH(I697,数据元说明!C:C,0),5)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697" s="67" t="str">
        <f>INDEX(数据元说明!A:F,MATCH(I697,数据元说明!C:C,0),6)</f>
        <v>C..450</v>
      </c>
      <c r="M697" s="68" t="s">
        <v>2418</v>
      </c>
      <c r="N697" s="68" t="s">
        <v>1601</v>
      </c>
      <c r="O697" s="68"/>
      <c r="P697" s="68"/>
    </row>
    <row r="698" ht="39.95" hidden="1" customHeight="1" outlineLevel="1" spans="1:16">
      <c r="A698" s="70"/>
      <c r="B698" s="71"/>
      <c r="C698" s="59" t="s">
        <v>153</v>
      </c>
      <c r="D698" s="59" t="s">
        <v>2348</v>
      </c>
      <c r="E698" s="81">
        <v>503</v>
      </c>
      <c r="F698" s="67" t="s">
        <v>674</v>
      </c>
      <c r="G698" s="65">
        <v>50342</v>
      </c>
      <c r="H698" s="67" t="s">
        <v>2233</v>
      </c>
      <c r="I698" s="67" t="s">
        <v>674</v>
      </c>
      <c r="J698" s="67" t="str">
        <f>INDEX(数据元说明!A:F,MATCH(I698,数据元说明!C:C,0),2)</f>
        <v>003018</v>
      </c>
      <c r="K698" s="68" t="str">
        <f>INDEX(数据元说明!A:F,MATCH(I698,数据元说明!C:C,0),5)</f>
        <v>利息的计算方法，按月结息，按季结息，按半年结息，按年结息，不定期结息，不记利息，利随本清，其他-银行自定义。无法以枚举类型填报的，以“其他-XX”填报，其中“XX”为银行自定义类型。</v>
      </c>
      <c r="L698" s="67" t="str">
        <f>INDEX(数据元说明!A:F,MATCH(I698,数据元说明!C:C,0),6)</f>
        <v>C..60</v>
      </c>
      <c r="M698" s="69"/>
      <c r="N698" s="68" t="s">
        <v>1583</v>
      </c>
      <c r="O698" s="68" t="s">
        <v>1597</v>
      </c>
      <c r="P698" s="68"/>
    </row>
    <row r="699" ht="39.95" hidden="1" customHeight="1" outlineLevel="1" spans="1:16">
      <c r="A699" s="70"/>
      <c r="B699" s="71"/>
      <c r="C699" s="59" t="s">
        <v>153</v>
      </c>
      <c r="D699" s="59" t="s">
        <v>2348</v>
      </c>
      <c r="E699" s="81">
        <v>503</v>
      </c>
      <c r="F699" s="67" t="s">
        <v>2419</v>
      </c>
      <c r="G699" s="65">
        <v>50343</v>
      </c>
      <c r="H699" s="67" t="s">
        <v>2420</v>
      </c>
      <c r="I699" s="67" t="s">
        <v>345</v>
      </c>
      <c r="J699" s="67" t="str">
        <f>INDEX(数据元说明!A:F,MATCH(I699,数据元说明!C:C,0),2)</f>
        <v>001005</v>
      </c>
      <c r="K699" s="68" t="str">
        <f>INDEX(数据元说明!A:F,MATCH(I699,数据元说明!C:C,0),5)</f>
        <v>YYYYMMDD，默认值99991231。</v>
      </c>
      <c r="L699" s="67" t="str">
        <f>INDEX(数据元说明!A:F,MATCH(I699,数据元说明!C:C,0),6)</f>
        <v>C8</v>
      </c>
      <c r="M699" s="69" t="s">
        <v>2421</v>
      </c>
      <c r="N699" s="68" t="s">
        <v>1601</v>
      </c>
      <c r="O699" s="68"/>
      <c r="P699" s="68"/>
    </row>
    <row r="700" ht="39.95" hidden="1" customHeight="1" outlineLevel="1" spans="1:16">
      <c r="A700" s="70"/>
      <c r="B700" s="71"/>
      <c r="C700" s="59" t="s">
        <v>153</v>
      </c>
      <c r="D700" s="59" t="s">
        <v>2348</v>
      </c>
      <c r="E700" s="81">
        <v>503</v>
      </c>
      <c r="F700" s="67" t="s">
        <v>2422</v>
      </c>
      <c r="G700" s="65">
        <v>50344</v>
      </c>
      <c r="H700" s="67" t="s">
        <v>2423</v>
      </c>
      <c r="I700" s="67" t="s">
        <v>634</v>
      </c>
      <c r="J700" s="67" t="str">
        <f>INDEX(数据元说明!A:F,MATCH(I700,数据元说明!C:C,0),2)</f>
        <v>003008</v>
      </c>
      <c r="K700" s="68" t="str">
        <f>INDEX(数据元说明!A:F,MATCH(I700,数据元说明!C:C,0),5)</f>
        <v>与币种相对应金额。</v>
      </c>
      <c r="L700" s="67" t="str">
        <f>INDEX(数据元说明!A:F,MATCH(I700,数据元说明!C:C,0),6)</f>
        <v>D20.2</v>
      </c>
      <c r="M700" s="69" t="s">
        <v>2424</v>
      </c>
      <c r="N700" s="68" t="s">
        <v>1601</v>
      </c>
      <c r="O700" s="68"/>
      <c r="P700" s="68"/>
    </row>
    <row r="701" ht="39.95" hidden="1" customHeight="1" outlineLevel="1" spans="1:16">
      <c r="A701" s="70"/>
      <c r="B701" s="71"/>
      <c r="C701" s="59" t="s">
        <v>153</v>
      </c>
      <c r="D701" s="59" t="s">
        <v>2348</v>
      </c>
      <c r="E701" s="81">
        <v>503</v>
      </c>
      <c r="F701" s="67" t="s">
        <v>2425</v>
      </c>
      <c r="G701" s="65">
        <v>50345</v>
      </c>
      <c r="H701" s="67" t="s">
        <v>2426</v>
      </c>
      <c r="I701" s="67" t="s">
        <v>634</v>
      </c>
      <c r="J701" s="67" t="str">
        <f>INDEX(数据元说明!A:F,MATCH(I701,数据元说明!C:C,0),2)</f>
        <v>003008</v>
      </c>
      <c r="K701" s="68" t="str">
        <f>INDEX(数据元说明!A:F,MATCH(I701,数据元说明!C:C,0),5)</f>
        <v>与币种相对应金额。</v>
      </c>
      <c r="L701" s="67" t="str">
        <f>INDEX(数据元说明!A:F,MATCH(I701,数据元说明!C:C,0),6)</f>
        <v>D20.2</v>
      </c>
      <c r="M701" s="69" t="s">
        <v>2427</v>
      </c>
      <c r="N701" s="68" t="s">
        <v>1601</v>
      </c>
      <c r="O701" s="68"/>
      <c r="P701" s="68"/>
    </row>
    <row r="702" ht="39.95" hidden="1" customHeight="1" outlineLevel="1" spans="1:16">
      <c r="A702" s="63"/>
      <c r="B702" s="64"/>
      <c r="C702" s="59" t="s">
        <v>153</v>
      </c>
      <c r="D702" s="59" t="s">
        <v>2348</v>
      </c>
      <c r="E702" s="81">
        <v>503</v>
      </c>
      <c r="F702" s="67" t="s">
        <v>2428</v>
      </c>
      <c r="G702" s="65">
        <v>50346</v>
      </c>
      <c r="H702" s="67" t="s">
        <v>2429</v>
      </c>
      <c r="I702" s="67" t="s">
        <v>766</v>
      </c>
      <c r="J702" s="67" t="str">
        <f>INDEX(数据元说明!A:F,MATCH(I702,数据元说明!C:C,0),2)</f>
        <v>005006</v>
      </c>
      <c r="K702" s="68" t="str">
        <f>INDEX(数据元说明!A:F,MATCH(I702,数据元说明!C:C,0),5)</f>
        <v>贷款使用的具体内容。</v>
      </c>
      <c r="L702" s="67" t="str">
        <f>INDEX(数据元说明!A:F,MATCH(I702,数据元说明!C:C,0),6)</f>
        <v>C..1500</v>
      </c>
      <c r="M702" s="68" t="s">
        <v>2430</v>
      </c>
      <c r="N702" s="68" t="s">
        <v>1601</v>
      </c>
      <c r="O702" s="68"/>
      <c r="P702" s="68"/>
    </row>
    <row r="703" ht="39.95" hidden="1" customHeight="1" outlineLevel="1" spans="1:16">
      <c r="A703" s="63"/>
      <c r="B703" s="64"/>
      <c r="C703" s="59" t="s">
        <v>153</v>
      </c>
      <c r="D703" s="59" t="s">
        <v>2348</v>
      </c>
      <c r="E703" s="81">
        <v>503</v>
      </c>
      <c r="F703" s="67" t="s">
        <v>2431</v>
      </c>
      <c r="G703" s="65">
        <v>50347</v>
      </c>
      <c r="H703" s="67" t="s">
        <v>2432</v>
      </c>
      <c r="I703" s="67" t="s">
        <v>440</v>
      </c>
      <c r="J703" s="67" t="str">
        <f>INDEX(数据元说明!A:F,MATCH(I703,数据元说明!C:C,0),2)</f>
        <v>001028</v>
      </c>
      <c r="K703" s="68" t="str">
        <f>INDEX(数据元说明!A:F,MATCH(I703,数据元说明!C:C,0),5)</f>
        <v>境内地区参照《GB/T 2260 中华人民共和国行政区划代码》填写国内行政区划代码，填写至二级分类，如110100。境外地区参照《GB/T 2659 世界各国和地区名称代码》定义的三字符代码，如USA。</v>
      </c>
      <c r="L703" s="67" t="str">
        <f>INDEX(数据元说明!A:F,MATCH(I703,数据元说明!C:C,0),6)</f>
        <v>C..6</v>
      </c>
      <c r="M703" s="68" t="s">
        <v>2433</v>
      </c>
      <c r="N703" s="68" t="s">
        <v>1583</v>
      </c>
      <c r="O703" s="68" t="s">
        <v>484</v>
      </c>
      <c r="P703" s="68"/>
    </row>
    <row r="704" ht="39.95" hidden="1" customHeight="1" outlineLevel="1" spans="1:16">
      <c r="A704" s="63"/>
      <c r="B704" s="64"/>
      <c r="C704" s="59" t="s">
        <v>153</v>
      </c>
      <c r="D704" s="59" t="s">
        <v>2348</v>
      </c>
      <c r="E704" s="81">
        <v>503</v>
      </c>
      <c r="F704" s="67" t="s">
        <v>770</v>
      </c>
      <c r="G704" s="65">
        <v>50348</v>
      </c>
      <c r="H704" s="67" t="s">
        <v>2434</v>
      </c>
      <c r="I704" s="67" t="s">
        <v>770</v>
      </c>
      <c r="J704" s="67" t="str">
        <f>INDEX(数据元说明!A:F,MATCH(I704,数据元说明!C:C,0),2)</f>
        <v>005007</v>
      </c>
      <c r="K704" s="68" t="str">
        <f>INDEX(数据元说明!A:F,MATCH(I704,数据元说明!C:C,0),5)</f>
        <v>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v>
      </c>
      <c r="L704" s="67" t="str">
        <f>INDEX(数据元说明!A:F,MATCH(I704,数据元说明!C:C,0),6)</f>
        <v>C..100</v>
      </c>
      <c r="M704" s="68" t="s">
        <v>2435</v>
      </c>
      <c r="N704" s="68" t="s">
        <v>1583</v>
      </c>
      <c r="O704" s="68" t="s">
        <v>321</v>
      </c>
      <c r="P704" s="68" t="s">
        <v>1648</v>
      </c>
    </row>
    <row r="705" ht="39.95" hidden="1" customHeight="1" outlineLevel="1" spans="1:16">
      <c r="A705" s="63"/>
      <c r="B705" s="64"/>
      <c r="C705" s="59" t="s">
        <v>153</v>
      </c>
      <c r="D705" s="59" t="s">
        <v>2348</v>
      </c>
      <c r="E705" s="81">
        <v>503</v>
      </c>
      <c r="F705" s="67" t="s">
        <v>2436</v>
      </c>
      <c r="G705" s="65">
        <v>50349</v>
      </c>
      <c r="H705" s="67" t="s">
        <v>2437</v>
      </c>
      <c r="I705" s="67" t="s">
        <v>330</v>
      </c>
      <c r="J705" s="67" t="str">
        <f>INDEX(数据元说明!A:F,MATCH(I705,数据元说明!C:C,0),2)</f>
        <v>001002</v>
      </c>
      <c r="K705" s="68" t="str">
        <f>INDEX(数据元说明!A:F,MATCH(I705,数据元说明!C:C,0),5)</f>
        <v>是，否。</v>
      </c>
      <c r="L705" s="67" t="str">
        <f>INDEX(数据元说明!A:F,MATCH(I705,数据元说明!C:C,0),6)</f>
        <v>C3</v>
      </c>
      <c r="M705" s="68" t="s">
        <v>2438</v>
      </c>
      <c r="N705" s="68" t="s">
        <v>1601</v>
      </c>
      <c r="O705" s="68"/>
      <c r="P705" s="68"/>
    </row>
    <row r="706" ht="39.95" hidden="1" customHeight="1" outlineLevel="1" spans="1:16">
      <c r="A706" s="63"/>
      <c r="B706" s="64"/>
      <c r="C706" s="59" t="s">
        <v>153</v>
      </c>
      <c r="D706" s="59" t="s">
        <v>2348</v>
      </c>
      <c r="E706" s="81">
        <v>503</v>
      </c>
      <c r="F706" s="67" t="s">
        <v>2439</v>
      </c>
      <c r="G706" s="65">
        <v>50350</v>
      </c>
      <c r="H706" s="67" t="s">
        <v>2440</v>
      </c>
      <c r="I706" s="67" t="s">
        <v>330</v>
      </c>
      <c r="J706" s="67" t="str">
        <f>INDEX(数据元说明!A:F,MATCH(I706,数据元说明!C:C,0),2)</f>
        <v>001002</v>
      </c>
      <c r="K706" s="68" t="str">
        <f>INDEX(数据元说明!A:F,MATCH(I706,数据元说明!C:C,0),5)</f>
        <v>是，否。</v>
      </c>
      <c r="L706" s="67" t="str">
        <f>INDEX(数据元说明!A:F,MATCH(I706,数据元说明!C:C,0),6)</f>
        <v>C3</v>
      </c>
      <c r="M706" s="68" t="s">
        <v>2441</v>
      </c>
      <c r="N706" s="68" t="s">
        <v>1601</v>
      </c>
      <c r="O706" s="68"/>
      <c r="P706" s="68"/>
    </row>
    <row r="707" ht="39.95" hidden="1" customHeight="1" outlineLevel="1" spans="1:16">
      <c r="A707" s="63"/>
      <c r="B707" s="64"/>
      <c r="C707" s="59" t="s">
        <v>153</v>
      </c>
      <c r="D707" s="59" t="s">
        <v>2348</v>
      </c>
      <c r="E707" s="81">
        <v>503</v>
      </c>
      <c r="F707" s="67" t="s">
        <v>2442</v>
      </c>
      <c r="G707" s="65">
        <v>50351</v>
      </c>
      <c r="H707" s="67" t="s">
        <v>2443</v>
      </c>
      <c r="I707" s="67" t="s">
        <v>330</v>
      </c>
      <c r="J707" s="67" t="str">
        <f>INDEX(数据元说明!A:F,MATCH(I707,数据元说明!C:C,0),2)</f>
        <v>001002</v>
      </c>
      <c r="K707" s="68" t="str">
        <f>INDEX(数据元说明!A:F,MATCH(I707,数据元说明!C:C,0),5)</f>
        <v>是，否。</v>
      </c>
      <c r="L707" s="67" t="str">
        <f>INDEX(数据元说明!A:F,MATCH(I707,数据元说明!C:C,0),6)</f>
        <v>C3</v>
      </c>
      <c r="M707" s="68" t="s">
        <v>2444</v>
      </c>
      <c r="N707" s="68" t="s">
        <v>1601</v>
      </c>
      <c r="O707" s="68"/>
      <c r="P707" s="68"/>
    </row>
    <row r="708" ht="39.95" hidden="1" customHeight="1" outlineLevel="1" spans="1:16">
      <c r="A708" s="63"/>
      <c r="B708" s="64"/>
      <c r="C708" s="59" t="s">
        <v>153</v>
      </c>
      <c r="D708" s="59" t="s">
        <v>2348</v>
      </c>
      <c r="E708" s="81">
        <v>503</v>
      </c>
      <c r="F708" s="67" t="s">
        <v>2445</v>
      </c>
      <c r="G708" s="65">
        <v>50352</v>
      </c>
      <c r="H708" s="67" t="s">
        <v>2446</v>
      </c>
      <c r="I708" s="67" t="s">
        <v>330</v>
      </c>
      <c r="J708" s="67" t="str">
        <f>INDEX(数据元说明!A:F,MATCH(I708,数据元说明!C:C,0),2)</f>
        <v>001002</v>
      </c>
      <c r="K708" s="68" t="str">
        <f>INDEX(数据元说明!A:F,MATCH(I708,数据元说明!C:C,0),5)</f>
        <v>是，否。</v>
      </c>
      <c r="L708" s="67" t="str">
        <f>INDEX(数据元说明!A:F,MATCH(I708,数据元说明!C:C,0),6)</f>
        <v>C3</v>
      </c>
      <c r="M708" s="68" t="s">
        <v>2447</v>
      </c>
      <c r="N708" s="68" t="s">
        <v>1601</v>
      </c>
      <c r="O708" s="68"/>
      <c r="P708" s="68"/>
    </row>
    <row r="709" ht="39.95" hidden="1" customHeight="1" outlineLevel="1" spans="1:16">
      <c r="A709" s="63"/>
      <c r="B709" s="64"/>
      <c r="C709" s="59" t="s">
        <v>153</v>
      </c>
      <c r="D709" s="59" t="s">
        <v>2348</v>
      </c>
      <c r="E709" s="81">
        <v>503</v>
      </c>
      <c r="F709" s="67" t="s">
        <v>2448</v>
      </c>
      <c r="G709" s="65">
        <v>50353</v>
      </c>
      <c r="H709" s="67" t="s">
        <v>2449</v>
      </c>
      <c r="I709" s="67" t="s">
        <v>330</v>
      </c>
      <c r="J709" s="67" t="str">
        <f>INDEX(数据元说明!A:F,MATCH(I709,数据元说明!C:C,0),2)</f>
        <v>001002</v>
      </c>
      <c r="K709" s="68" t="str">
        <f>INDEX(数据元说明!A:F,MATCH(I709,数据元说明!C:C,0),5)</f>
        <v>是，否。</v>
      </c>
      <c r="L709" s="67" t="str">
        <f>INDEX(数据元说明!A:F,MATCH(I709,数据元说明!C:C,0),6)</f>
        <v>C3</v>
      </c>
      <c r="M709" s="68" t="s">
        <v>2450</v>
      </c>
      <c r="N709" s="68" t="s">
        <v>1601</v>
      </c>
      <c r="O709" s="68"/>
      <c r="P709" s="68"/>
    </row>
    <row r="710" ht="39.95" hidden="1" customHeight="1" outlineLevel="1" spans="1:16">
      <c r="A710" s="63"/>
      <c r="B710" s="64"/>
      <c r="C710" s="59" t="s">
        <v>153</v>
      </c>
      <c r="D710" s="59" t="s">
        <v>2348</v>
      </c>
      <c r="E710" s="81">
        <v>503</v>
      </c>
      <c r="F710" s="67" t="s">
        <v>2451</v>
      </c>
      <c r="G710" s="65">
        <v>50354</v>
      </c>
      <c r="H710" s="67" t="s">
        <v>2452</v>
      </c>
      <c r="I710" s="67" t="s">
        <v>330</v>
      </c>
      <c r="J710" s="67" t="str">
        <f>INDEX(数据元说明!A:F,MATCH(I710,数据元说明!C:C,0),2)</f>
        <v>001002</v>
      </c>
      <c r="K710" s="68" t="str">
        <f>INDEX(数据元说明!A:F,MATCH(I710,数据元说明!C:C,0),5)</f>
        <v>是，否。</v>
      </c>
      <c r="L710" s="67" t="str">
        <f>INDEX(数据元说明!A:F,MATCH(I710,数据元说明!C:C,0),6)</f>
        <v>C3</v>
      </c>
      <c r="M710" s="68" t="s">
        <v>2453</v>
      </c>
      <c r="N710" s="68" t="s">
        <v>1601</v>
      </c>
      <c r="O710" s="68"/>
      <c r="P710" s="68"/>
    </row>
    <row r="711" ht="39.95" hidden="1" customHeight="1" outlineLevel="1" spans="1:16">
      <c r="A711" s="70"/>
      <c r="B711" s="71"/>
      <c r="C711" s="59" t="s">
        <v>153</v>
      </c>
      <c r="D711" s="59" t="s">
        <v>2348</v>
      </c>
      <c r="E711" s="81">
        <v>503</v>
      </c>
      <c r="F711" s="67" t="s">
        <v>2454</v>
      </c>
      <c r="G711" s="65">
        <v>50355</v>
      </c>
      <c r="H711" s="67" t="s">
        <v>2455</v>
      </c>
      <c r="I711" s="67" t="s">
        <v>389</v>
      </c>
      <c r="J711" s="67" t="str">
        <f>INDEX(数据元说明!A:F,MATCH(I711,数据元说明!C:C,0),2)</f>
        <v>001015</v>
      </c>
      <c r="K711" s="68" t="str">
        <f>INDEX(数据元说明!A:F,MATCH(I711,数据元说明!C:C,0),5)</f>
        <v>工号，银行自定义。</v>
      </c>
      <c r="L711" s="67" t="str">
        <f>INDEX(数据元说明!A:F,MATCH(I711,数据元说明!C:C,0),6)</f>
        <v>C..30</v>
      </c>
      <c r="M711" s="68" t="s">
        <v>2456</v>
      </c>
      <c r="N711" s="68" t="s">
        <v>1583</v>
      </c>
      <c r="O711" s="68" t="s">
        <v>1745</v>
      </c>
      <c r="P711" s="68" t="s">
        <v>1634</v>
      </c>
    </row>
    <row r="712" ht="39.95" hidden="1" customHeight="1" outlineLevel="1" spans="1:16">
      <c r="A712" s="63"/>
      <c r="B712" s="64"/>
      <c r="C712" s="59" t="s">
        <v>153</v>
      </c>
      <c r="D712" s="59" t="s">
        <v>2348</v>
      </c>
      <c r="E712" s="81">
        <v>503</v>
      </c>
      <c r="F712" s="67" t="s">
        <v>832</v>
      </c>
      <c r="G712" s="65">
        <v>50356</v>
      </c>
      <c r="H712" s="67" t="s">
        <v>2278</v>
      </c>
      <c r="I712" s="67" t="s">
        <v>832</v>
      </c>
      <c r="J712" s="67" t="str">
        <f>INDEX(数据元说明!A:F,MATCH(I712,数据元说明!C:C,0),2)</f>
        <v>005023</v>
      </c>
      <c r="K712" s="68" t="str">
        <f>INDEX(数据元说明!A:F,MATCH(I712,数据元说明!C:C,0),5)</f>
        <v>正常、结清、逾期、核销、转让，其他-银行自定义。以枚举类型填报，如无法以枚举类型填报，则以“其他-XX”填报，其中“XX”为银行自定义状态。</v>
      </c>
      <c r="L712" s="67" t="str">
        <f>INDEX(数据元说明!A:F,MATCH(I712,数据元说明!C:C,0),6)</f>
        <v>C..30</v>
      </c>
      <c r="M712" s="68"/>
      <c r="N712" s="68" t="s">
        <v>1583</v>
      </c>
      <c r="O712" s="68" t="s">
        <v>321</v>
      </c>
      <c r="P712" s="68" t="s">
        <v>1634</v>
      </c>
    </row>
    <row r="713" ht="39.95" hidden="1" customHeight="1" outlineLevel="1" spans="1:16">
      <c r="A713" s="63"/>
      <c r="B713" s="64"/>
      <c r="C713" s="59" t="s">
        <v>153</v>
      </c>
      <c r="D713" s="59" t="s">
        <v>2348</v>
      </c>
      <c r="E713" s="81">
        <v>503</v>
      </c>
      <c r="F713" s="67" t="s">
        <v>484</v>
      </c>
      <c r="G713" s="65">
        <v>50357</v>
      </c>
      <c r="H713" s="67" t="s">
        <v>1623</v>
      </c>
      <c r="I713" s="67" t="s">
        <v>484</v>
      </c>
      <c r="J713" s="67" t="str">
        <f>INDEX(数据元说明!A:F,MATCH(I713,数据元说明!C:C,0),2)</f>
        <v>001038</v>
      </c>
      <c r="K713" s="68" t="str">
        <f>INDEX(数据元说明!A:F,MATCH(I713,数据元说明!C:C,0),5)</f>
        <v>银行自定义。</v>
      </c>
      <c r="L713" s="67" t="str">
        <f>INDEX(数据元说明!A:F,MATCH(I713,数据元说明!C:C,0),6)</f>
        <v>C..600</v>
      </c>
      <c r="M713" s="68" t="s">
        <v>1624</v>
      </c>
      <c r="N713" s="68" t="s">
        <v>1601</v>
      </c>
      <c r="O713" s="68"/>
      <c r="P713" s="68"/>
    </row>
    <row r="714" ht="39.95" hidden="1" customHeight="1" outlineLevel="1" spans="1:16">
      <c r="A714" s="63"/>
      <c r="B714" s="64"/>
      <c r="C714" s="59" t="s">
        <v>153</v>
      </c>
      <c r="D714" s="59" t="s">
        <v>2348</v>
      </c>
      <c r="E714" s="81">
        <v>503</v>
      </c>
      <c r="F714" s="67" t="s">
        <v>1625</v>
      </c>
      <c r="G714" s="65">
        <v>50358</v>
      </c>
      <c r="H714" s="67" t="s">
        <v>1626</v>
      </c>
      <c r="I714" s="67" t="s">
        <v>345</v>
      </c>
      <c r="J714" s="67" t="str">
        <f>INDEX(数据元说明!A:F,MATCH(I714,数据元说明!C:C,0),2)</f>
        <v>001005</v>
      </c>
      <c r="K714" s="68" t="str">
        <f>INDEX(数据元说明!A:F,MATCH(I714,数据元说明!C:C,0),5)</f>
        <v>YYYYMMDD，默认值99991231。</v>
      </c>
      <c r="L714" s="67" t="str">
        <f>INDEX(数据元说明!A:F,MATCH(I714,数据元说明!C:C,0),6)</f>
        <v>C8</v>
      </c>
      <c r="M714" s="68" t="s">
        <v>1627</v>
      </c>
      <c r="N714" s="68"/>
      <c r="O714" s="68"/>
      <c r="P714" s="68"/>
    </row>
    <row r="715" ht="39.95" hidden="1" customHeight="1" collapsed="1" spans="1:16">
      <c r="A715" s="70"/>
      <c r="B715" s="71"/>
      <c r="C715" s="59" t="s">
        <v>157</v>
      </c>
      <c r="D715" s="59" t="s">
        <v>2457</v>
      </c>
      <c r="E715" s="65">
        <v>504</v>
      </c>
      <c r="F715" s="67"/>
      <c r="G715" s="65"/>
      <c r="H715" s="67"/>
      <c r="I715" s="67"/>
      <c r="J715" s="67"/>
      <c r="K715" s="68"/>
      <c r="L715" s="67"/>
      <c r="M715" s="68" t="str">
        <f>INDEX(表结构总览!D:G,MATCH(D715,表结构总览!D:D,0),4)</f>
        <v>所有以机构名义在信贷业务中签订的借据信息。个体工商户、私营业主以机构名义办理的贷款计入本表，以个人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转贴、二级市场福费廷业务的借款人按照交易对手（同业）填报，贴现和信用证下融资的借款人按照贴现申请人、信用证融资人填报。借据状态为结清、核销、转让的可在报送最后状态的次月不再报送。</v>
      </c>
      <c r="N715" s="68" t="s">
        <v>1583</v>
      </c>
      <c r="O715" s="68" t="s">
        <v>484</v>
      </c>
      <c r="P715" s="68"/>
    </row>
    <row r="716" ht="39.95" hidden="1" customHeight="1" outlineLevel="1" spans="1:16">
      <c r="A716" s="63"/>
      <c r="B716" s="64"/>
      <c r="C716" s="59" t="s">
        <v>157</v>
      </c>
      <c r="D716" s="59" t="s">
        <v>2457</v>
      </c>
      <c r="E716" s="65">
        <v>504</v>
      </c>
      <c r="F716" s="67" t="s">
        <v>373</v>
      </c>
      <c r="G716" s="65">
        <v>50401</v>
      </c>
      <c r="H716" s="67" t="s">
        <v>1588</v>
      </c>
      <c r="I716" s="67" t="s">
        <v>373</v>
      </c>
      <c r="J716" s="67" t="str">
        <f>INDEX(数据元说明!A:F,MATCH(I716,数据元说明!C:C,0),2)</f>
        <v>001011</v>
      </c>
      <c r="K716" s="68" t="str">
        <f>INDEX(数据元说明!A:F,MATCH(I716,数据元说明!C:C,0),5)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16" s="67" t="str">
        <f>INDEX(数据元说明!A:F,MATCH(I716,数据元说明!C:C,0),6)</f>
        <v>C..30</v>
      </c>
      <c r="M716" s="68" t="s">
        <v>1629</v>
      </c>
      <c r="N716" s="68" t="s">
        <v>1583</v>
      </c>
      <c r="O716" s="68" t="s">
        <v>484</v>
      </c>
      <c r="P716" s="68"/>
    </row>
    <row r="717" ht="39.95" hidden="1" customHeight="1" outlineLevel="1" spans="1:16">
      <c r="A717" s="63"/>
      <c r="B717" s="64"/>
      <c r="C717" s="59" t="s">
        <v>157</v>
      </c>
      <c r="D717" s="59" t="s">
        <v>2457</v>
      </c>
      <c r="E717" s="65">
        <v>504</v>
      </c>
      <c r="F717" s="67" t="s">
        <v>377</v>
      </c>
      <c r="G717" s="65">
        <v>50402</v>
      </c>
      <c r="H717" s="67" t="s">
        <v>1586</v>
      </c>
      <c r="I717" s="67" t="s">
        <v>377</v>
      </c>
      <c r="J717" s="67" t="str">
        <f>INDEX(数据元说明!A:F,MATCH(I717,数据元说明!C:C,0),2)</f>
        <v>001012</v>
      </c>
      <c r="K717" s="68" t="str">
        <f>INDEX(数据元说明!A:F,MATCH(I717,数据元说明!C:C,0),5)</f>
        <v>银行内部机构号。应具有标识机构的唯一性。</v>
      </c>
      <c r="L717" s="67" t="str">
        <f>INDEX(数据元说明!A:F,MATCH(I717,数据元说明!C:C,0),6)</f>
        <v>C..30</v>
      </c>
      <c r="M717" s="68" t="s">
        <v>1820</v>
      </c>
      <c r="N717" s="68" t="s">
        <v>1583</v>
      </c>
      <c r="O717" s="68"/>
      <c r="P717" s="68" t="s">
        <v>1634</v>
      </c>
    </row>
    <row r="718" ht="39.95" hidden="1" customHeight="1" outlineLevel="1" spans="1:16">
      <c r="A718" s="63"/>
      <c r="B718" s="64"/>
      <c r="C718" s="59" t="s">
        <v>157</v>
      </c>
      <c r="D718" s="59" t="s">
        <v>2457</v>
      </c>
      <c r="E718" s="65">
        <v>504</v>
      </c>
      <c r="F718" s="67" t="s">
        <v>1592</v>
      </c>
      <c r="G718" s="65">
        <v>50403</v>
      </c>
      <c r="H718" s="67" t="s">
        <v>1593</v>
      </c>
      <c r="I718" s="67" t="s">
        <v>325</v>
      </c>
      <c r="J718" s="67" t="str">
        <f>INDEX(数据元说明!A:F,MATCH(I718,数据元说明!C:C,0),2)</f>
        <v>001001</v>
      </c>
      <c r="K718" s="68" t="str">
        <f>INDEX(数据元说明!A:F,MATCH(I718,数据元说明!C:C,0),5)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18" s="67" t="str">
        <f>INDEX(数据元说明!A:F,MATCH(I718,数据元说明!C:C,0),6)</f>
        <v>C..450</v>
      </c>
      <c r="M718" s="68" t="s">
        <v>1631</v>
      </c>
      <c r="N718" s="68" t="s">
        <v>1583</v>
      </c>
      <c r="O718" s="68" t="s">
        <v>322</v>
      </c>
      <c r="P718" s="68" t="s">
        <v>1634</v>
      </c>
    </row>
    <row r="719" ht="39.95" hidden="1" customHeight="1" outlineLevel="1" spans="1:16">
      <c r="A719" s="63"/>
      <c r="B719" s="64"/>
      <c r="C719" s="59" t="s">
        <v>157</v>
      </c>
      <c r="D719" s="59" t="s">
        <v>2457</v>
      </c>
      <c r="E719" s="65">
        <v>504</v>
      </c>
      <c r="F719" s="67" t="s">
        <v>2125</v>
      </c>
      <c r="G719" s="65">
        <v>50404</v>
      </c>
      <c r="H719" s="67" t="s">
        <v>2126</v>
      </c>
      <c r="I719" s="67" t="s">
        <v>609</v>
      </c>
      <c r="J719" s="67" t="str">
        <f>INDEX(数据元说明!A:F,MATCH(I719,数据元说明!C:C,0),2)</f>
        <v>003002</v>
      </c>
      <c r="K719" s="68" t="str">
        <f>INDEX(数据元说明!A:F,MATCH(I719,数据元说明!C:C,0),5)</f>
        <v>机构实际使用的总账会计科目编码。</v>
      </c>
      <c r="L719" s="67" t="str">
        <f>INDEX(数据元说明!A:F,MATCH(I719,数据元说明!C:C,0),6)</f>
        <v>C..60</v>
      </c>
      <c r="M719" s="68" t="s">
        <v>2219</v>
      </c>
      <c r="N719" s="68" t="s">
        <v>1583</v>
      </c>
      <c r="O719" s="68" t="s">
        <v>1660</v>
      </c>
      <c r="P719" s="68" t="s">
        <v>1634</v>
      </c>
    </row>
    <row r="720" ht="39.95" hidden="1" customHeight="1" outlineLevel="1" spans="1:16">
      <c r="A720" s="70"/>
      <c r="B720" s="71"/>
      <c r="C720" s="59" t="s">
        <v>157</v>
      </c>
      <c r="D720" s="59" t="s">
        <v>2457</v>
      </c>
      <c r="E720" s="65">
        <v>504</v>
      </c>
      <c r="F720" s="67" t="s">
        <v>2128</v>
      </c>
      <c r="G720" s="65">
        <v>50405</v>
      </c>
      <c r="H720" s="67" t="s">
        <v>2129</v>
      </c>
      <c r="I720" s="67" t="s">
        <v>613</v>
      </c>
      <c r="J720" s="67" t="str">
        <f>INDEX(数据元说明!A:F,MATCH(I720,数据元说明!C:C,0),2)</f>
        <v>003003</v>
      </c>
      <c r="K720" s="68" t="str">
        <f>INDEX(数据元说明!A:F,MATCH(I720,数据元说明!C:C,0),5)</f>
        <v>机构实际使用的总账会计科目编码对应的名称。</v>
      </c>
      <c r="L720" s="67" t="str">
        <f>INDEX(数据元说明!A:F,MATCH(I720,数据元说明!C:C,0),6)</f>
        <v>C..300</v>
      </c>
      <c r="M720" s="68" t="s">
        <v>2219</v>
      </c>
      <c r="N720" s="68" t="s">
        <v>1583</v>
      </c>
      <c r="O720" s="68" t="s">
        <v>484</v>
      </c>
      <c r="P720" s="68" t="s">
        <v>1634</v>
      </c>
    </row>
    <row r="721" ht="39.95" hidden="1" customHeight="1" outlineLevel="1" spans="1:16">
      <c r="A721" s="70"/>
      <c r="B721" s="71"/>
      <c r="C721" s="59" t="s">
        <v>157</v>
      </c>
      <c r="D721" s="59" t="s">
        <v>2457</v>
      </c>
      <c r="E721" s="65">
        <v>504</v>
      </c>
      <c r="F721" s="67" t="s">
        <v>488</v>
      </c>
      <c r="G721" s="65">
        <v>50406</v>
      </c>
      <c r="H721" s="67" t="s">
        <v>1699</v>
      </c>
      <c r="I721" s="67" t="s">
        <v>488</v>
      </c>
      <c r="J721" s="67" t="str">
        <f>INDEX(数据元说明!A:F,MATCH(I721,数据元说明!C:C,0),2)</f>
        <v>002001</v>
      </c>
      <c r="K721" s="68" t="str">
        <f>INDEX(数据元说明!A:F,MATCH(I721,数据元说明!C:C,0),5)</f>
        <v>银行自定义的唯一识别客户的标识。供应链融资的填写供应链融资编码。</v>
      </c>
      <c r="L721" s="67" t="str">
        <f>INDEX(数据元说明!A:F,MATCH(I721,数据元说明!C:C,0),6)</f>
        <v>C..60</v>
      </c>
      <c r="M721" s="68" t="s">
        <v>2458</v>
      </c>
      <c r="N721" s="68"/>
      <c r="O721" s="68"/>
      <c r="P721" s="68"/>
    </row>
    <row r="722" ht="39.95" hidden="1" customHeight="1" outlineLevel="1" spans="1:16">
      <c r="A722" s="63"/>
      <c r="B722" s="64"/>
      <c r="C722" s="59" t="s">
        <v>157</v>
      </c>
      <c r="D722" s="59" t="s">
        <v>2457</v>
      </c>
      <c r="E722" s="65">
        <v>504</v>
      </c>
      <c r="F722" s="67" t="s">
        <v>1837</v>
      </c>
      <c r="G722" s="65">
        <v>50407</v>
      </c>
      <c r="H722" s="67" t="s">
        <v>1838</v>
      </c>
      <c r="I722" s="67" t="s">
        <v>325</v>
      </c>
      <c r="J722" s="67" t="str">
        <f>INDEX(数据元说明!A:F,MATCH(I722,数据元说明!C:C,0),2)</f>
        <v>001001</v>
      </c>
      <c r="K722" s="68" t="str">
        <f>INDEX(数据元说明!A:F,MATCH(I722,数据元说明!C:C,0),5)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22" s="67" t="str">
        <f>INDEX(数据元说明!A:F,MATCH(I722,数据元说明!C:C,0),6)</f>
        <v>C..450</v>
      </c>
      <c r="M722" s="68" t="s">
        <v>2459</v>
      </c>
      <c r="N722" s="68" t="s">
        <v>1583</v>
      </c>
      <c r="O722" s="68" t="s">
        <v>1660</v>
      </c>
      <c r="P722" s="68"/>
    </row>
    <row r="723" ht="39.95" hidden="1" customHeight="1" outlineLevel="1" spans="1:16">
      <c r="A723" s="70"/>
      <c r="B723" s="71"/>
      <c r="C723" s="59" t="s">
        <v>157</v>
      </c>
      <c r="D723" s="59" t="s">
        <v>2457</v>
      </c>
      <c r="E723" s="65">
        <v>504</v>
      </c>
      <c r="F723" s="67" t="s">
        <v>2257</v>
      </c>
      <c r="G723" s="65">
        <v>50408</v>
      </c>
      <c r="H723" s="67" t="s">
        <v>2258</v>
      </c>
      <c r="I723" s="67" t="s">
        <v>683</v>
      </c>
      <c r="J723" s="67" t="str">
        <f>INDEX(数据元说明!A:F,MATCH(I723,数据元说明!C:C,0),2)</f>
        <v>003020</v>
      </c>
      <c r="K723" s="68" t="str">
        <f>INDEX(数据元说明!A:F,MATCH(I723,数据元说明!C:C,0),5)</f>
        <v>合同号。</v>
      </c>
      <c r="L723" s="67" t="str">
        <f>INDEX(数据元说明!A:F,MATCH(I723,数据元说明!C:C,0),6)</f>
        <v>C..100</v>
      </c>
      <c r="M723" s="68" t="s">
        <v>2259</v>
      </c>
      <c r="N723" s="68"/>
      <c r="O723" s="68"/>
      <c r="P723" s="68"/>
    </row>
    <row r="724" ht="39.95" hidden="1" customHeight="1" outlineLevel="1" spans="1:16">
      <c r="A724" s="70"/>
      <c r="B724" s="71"/>
      <c r="C724" s="59" t="s">
        <v>157</v>
      </c>
      <c r="D724" s="59" t="s">
        <v>2457</v>
      </c>
      <c r="E724" s="65">
        <v>504</v>
      </c>
      <c r="F724" s="67" t="s">
        <v>2260</v>
      </c>
      <c r="G724" s="65">
        <v>50409</v>
      </c>
      <c r="H724" s="67" t="s">
        <v>2261</v>
      </c>
      <c r="I724" s="67" t="s">
        <v>678</v>
      </c>
      <c r="J724" s="67" t="str">
        <f>INDEX(数据元说明!A:F,MATCH(I724,数据元说明!C:C,0),2)</f>
        <v>003019</v>
      </c>
      <c r="K724" s="68" t="str">
        <f>INDEX(数据元说明!A:F,MATCH(I724,数据元说明!C:C,0),5)</f>
        <v>借据统一编号。</v>
      </c>
      <c r="L724" s="67" t="str">
        <f>INDEX(数据元说明!A:F,MATCH(I724,数据元说明!C:C,0),6)</f>
        <v>C..100</v>
      </c>
      <c r="M724" s="68" t="s">
        <v>1587</v>
      </c>
      <c r="N724" s="68" t="s">
        <v>1583</v>
      </c>
      <c r="O724" s="68"/>
      <c r="P724" s="68" t="s">
        <v>1634</v>
      </c>
    </row>
    <row r="725" ht="39.95" hidden="1" customHeight="1" outlineLevel="1" spans="1:16">
      <c r="A725" s="63"/>
      <c r="B725" s="64"/>
      <c r="C725" s="59" t="s">
        <v>157</v>
      </c>
      <c r="D725" s="59" t="s">
        <v>2457</v>
      </c>
      <c r="E725" s="65">
        <v>504</v>
      </c>
      <c r="F725" s="67" t="s">
        <v>2255</v>
      </c>
      <c r="G725" s="65">
        <v>50410</v>
      </c>
      <c r="H725" s="67" t="s">
        <v>2256</v>
      </c>
      <c r="I725" s="67" t="s">
        <v>605</v>
      </c>
      <c r="J725" s="67" t="str">
        <f>INDEX(数据元说明!A:F,MATCH(I725,数据元说明!C:C,0),2)</f>
        <v>003001</v>
      </c>
      <c r="K725" s="68" t="str">
        <f>INDEX(数据元说明!A:F,MATCH(I725,数据元说明!C:C,0),5)</f>
        <v>系统内最细一级的账号，无唯一性约束，不需要和序号、子序号等做拼接。</v>
      </c>
      <c r="L725" s="67" t="str">
        <f>INDEX(数据元说明!A:F,MATCH(I725,数据元说明!C:C,0),6)</f>
        <v>C..60</v>
      </c>
      <c r="M725" s="68" t="s">
        <v>2460</v>
      </c>
      <c r="N725" s="68" t="s">
        <v>1583</v>
      </c>
      <c r="O725" s="68" t="s">
        <v>484</v>
      </c>
      <c r="P725" s="68" t="s">
        <v>1634</v>
      </c>
    </row>
    <row r="726" ht="39.95" hidden="1" customHeight="1" outlineLevel="1" spans="1:16">
      <c r="A726" s="70"/>
      <c r="B726" s="71"/>
      <c r="C726" s="59" t="s">
        <v>157</v>
      </c>
      <c r="D726" s="59" t="s">
        <v>2457</v>
      </c>
      <c r="E726" s="65">
        <v>504</v>
      </c>
      <c r="F726" s="67" t="s">
        <v>754</v>
      </c>
      <c r="G726" s="65">
        <v>50411</v>
      </c>
      <c r="H726" s="67" t="s">
        <v>2307</v>
      </c>
      <c r="I726" s="67" t="s">
        <v>754</v>
      </c>
      <c r="J726" s="67" t="str">
        <f>INDEX(数据元说明!A:F,MATCH(I726,数据元说明!C:C,0),2)</f>
        <v>005003</v>
      </c>
      <c r="K726" s="68" t="str">
        <f>INDEX(数据元说明!A:F,MATCH(I726,数据元说明!C:C,0),5)</f>
        <v>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v>
      </c>
      <c r="L726" s="67" t="str">
        <f>INDEX(数据元说明!A:F,MATCH(I726,数据元说明!C:C,0),6)</f>
        <v>C..150</v>
      </c>
      <c r="M726" s="69" t="s">
        <v>2308</v>
      </c>
      <c r="N726" s="68" t="s">
        <v>1583</v>
      </c>
      <c r="O726" s="68" t="s">
        <v>321</v>
      </c>
      <c r="P726" s="68" t="s">
        <v>1634</v>
      </c>
    </row>
    <row r="727" ht="39.95" hidden="1" customHeight="1" outlineLevel="1" spans="1:16">
      <c r="A727" s="70"/>
      <c r="B727" s="71"/>
      <c r="C727" s="59" t="s">
        <v>157</v>
      </c>
      <c r="D727" s="59" t="s">
        <v>2457</v>
      </c>
      <c r="E727" s="65">
        <v>504</v>
      </c>
      <c r="F727" s="67" t="s">
        <v>900</v>
      </c>
      <c r="G727" s="65">
        <v>50412</v>
      </c>
      <c r="H727" s="67" t="s">
        <v>2353</v>
      </c>
      <c r="I727" s="67" t="s">
        <v>900</v>
      </c>
      <c r="J727" s="67" t="str">
        <f>INDEX(数据元说明!A:F,MATCH(I727,数据元说明!C:C,0),2)</f>
        <v>005040</v>
      </c>
      <c r="K727" s="68" t="str">
        <f>INDEX(数据元说明!A:F,MATCH(I727,数据元说明!C:C,0),5)</f>
        <v>新增，无还本续贷，借新还旧，重组贷款，其他-银行自定义。无法以枚举类型填报的，以“其他-XX”填报，其中“XX”为银行自定义类型。</v>
      </c>
      <c r="L727" s="67" t="str">
        <f>INDEX(数据元说明!A:F,MATCH(I727,数据元说明!C:C,0),6)</f>
        <v>C..30</v>
      </c>
      <c r="M727" s="68" t="s">
        <v>2354</v>
      </c>
      <c r="N727" s="68" t="s">
        <v>1583</v>
      </c>
      <c r="O727" s="68" t="s">
        <v>2355</v>
      </c>
      <c r="P727" s="68" t="s">
        <v>1634</v>
      </c>
    </row>
    <row r="728" ht="39.95" hidden="1" customHeight="1" outlineLevel="1" spans="1:16">
      <c r="A728" s="70"/>
      <c r="B728" s="71"/>
      <c r="C728" s="59" t="s">
        <v>157</v>
      </c>
      <c r="D728" s="59" t="s">
        <v>2457</v>
      </c>
      <c r="E728" s="65">
        <v>504</v>
      </c>
      <c r="F728" s="67" t="s">
        <v>762</v>
      </c>
      <c r="G728" s="65">
        <v>50413</v>
      </c>
      <c r="H728" s="67" t="s">
        <v>2356</v>
      </c>
      <c r="I728" s="67" t="s">
        <v>762</v>
      </c>
      <c r="J728" s="67" t="str">
        <f>INDEX(数据元说明!A:F,MATCH(I728,数据元说明!C:C,0),2)</f>
        <v>005005</v>
      </c>
      <c r="K728" s="68" t="str">
        <f>INDEX(数据元说明!A:F,MATCH(I728,数据元说明!C:C,0),5)</f>
        <v>自主支付，受托支付，混合支付，其他-银行自定义。以枚举类型填报，如无法以枚举类型填报，则以“其他-XX”填报，其中“XX”为银行自定义方式。</v>
      </c>
      <c r="L728" s="67" t="str">
        <f>INDEX(数据元说明!A:F,MATCH(I728,数据元说明!C:C,0),6)</f>
        <v>C..30</v>
      </c>
      <c r="M728" s="69" t="s">
        <v>2357</v>
      </c>
      <c r="N728" s="68" t="s">
        <v>1583</v>
      </c>
      <c r="O728" s="68"/>
      <c r="P728" s="68" t="s">
        <v>1634</v>
      </c>
    </row>
    <row r="729" ht="39.95" hidden="1" customHeight="1" outlineLevel="1" spans="1:16">
      <c r="A729" s="63"/>
      <c r="B729" s="64"/>
      <c r="C729" s="59" t="s">
        <v>157</v>
      </c>
      <c r="D729" s="59" t="s">
        <v>2457</v>
      </c>
      <c r="E729" s="65">
        <v>504</v>
      </c>
      <c r="F729" s="67" t="s">
        <v>642</v>
      </c>
      <c r="G729" s="65">
        <v>50414</v>
      </c>
      <c r="H729" s="67" t="s">
        <v>1914</v>
      </c>
      <c r="I729" s="67" t="s">
        <v>642</v>
      </c>
      <c r="J729" s="67" t="str">
        <f>INDEX(数据元说明!A:F,MATCH(I729,数据元说明!C:C,0),2)</f>
        <v>003010</v>
      </c>
      <c r="K729" s="68" t="str">
        <f>INDEX(数据元说明!A:F,MATCH(I729,数据元说明!C:C,0),5)</f>
        <v>遵循《GB/T 12406 表示货币和资金的代码》的字母代码，如CNY。上述文件所列币种无法涵盖的，允许银行自定义填报。多个币种合计折算为人民币（本外币合计）的，填报为BWB。</v>
      </c>
      <c r="L729" s="67" t="str">
        <f>INDEX(数据元说明!A:F,MATCH(I729,数据元说明!C:C,0),6)</f>
        <v>C3</v>
      </c>
      <c r="M729" s="68"/>
      <c r="N729" s="68"/>
      <c r="O729" s="68"/>
      <c r="P729" s="68"/>
    </row>
    <row r="730" ht="39.95" hidden="1" customHeight="1" outlineLevel="1" spans="1:16">
      <c r="A730" s="70"/>
      <c r="B730" s="71"/>
      <c r="C730" s="59" t="s">
        <v>157</v>
      </c>
      <c r="D730" s="59" t="s">
        <v>2457</v>
      </c>
      <c r="E730" s="65">
        <v>504</v>
      </c>
      <c r="F730" s="67" t="s">
        <v>2266</v>
      </c>
      <c r="G730" s="65">
        <v>50415</v>
      </c>
      <c r="H730" s="67" t="s">
        <v>2267</v>
      </c>
      <c r="I730" s="67" t="s">
        <v>634</v>
      </c>
      <c r="J730" s="67" t="str">
        <f>INDEX(数据元说明!A:F,MATCH(I730,数据元说明!C:C,0),2)</f>
        <v>003008</v>
      </c>
      <c r="K730" s="68" t="str">
        <f>INDEX(数据元说明!A:F,MATCH(I730,数据元说明!C:C,0),5)</f>
        <v>与币种相对应金额。</v>
      </c>
      <c r="L730" s="67" t="str">
        <f>INDEX(数据元说明!A:F,MATCH(I730,数据元说明!C:C,0),6)</f>
        <v>D20.2</v>
      </c>
      <c r="M730" s="68" t="s">
        <v>2358</v>
      </c>
      <c r="N730" s="68" t="s">
        <v>1583</v>
      </c>
      <c r="O730" s="68"/>
      <c r="P730" s="68"/>
    </row>
    <row r="731" ht="39.95" hidden="1" customHeight="1" outlineLevel="1" spans="1:16">
      <c r="A731" s="70"/>
      <c r="B731" s="71"/>
      <c r="C731" s="59" t="s">
        <v>157</v>
      </c>
      <c r="D731" s="59" t="s">
        <v>2457</v>
      </c>
      <c r="E731" s="65">
        <v>504</v>
      </c>
      <c r="F731" s="67" t="s">
        <v>2269</v>
      </c>
      <c r="G731" s="65">
        <v>50416</v>
      </c>
      <c r="H731" s="67" t="s">
        <v>2270</v>
      </c>
      <c r="I731" s="67" t="s">
        <v>638</v>
      </c>
      <c r="J731" s="67" t="str">
        <f>INDEX(数据元说明!A:F,MATCH(I731,数据元说明!C:C,0),2)</f>
        <v>003009</v>
      </c>
      <c r="K731" s="68" t="str">
        <f>INDEX(数据元说明!A:F,MATCH(I731,数据元说明!C:C,0),5)</f>
        <v>与币种相对应金额。(以正数填列。如信贷分户账，某客户初次获得贷款1万元，此时余额为10000；如活期存款明细，某客户初次开户存入10000元，此时余额为10000）</v>
      </c>
      <c r="L731" s="67" t="str">
        <f>INDEX(数据元说明!A:F,MATCH(I731,数据元说明!C:C,0),6)</f>
        <v>D20.2</v>
      </c>
      <c r="M731" s="68" t="s">
        <v>2271</v>
      </c>
      <c r="N731" s="68" t="s">
        <v>1583</v>
      </c>
      <c r="O731" s="68" t="s">
        <v>2359</v>
      </c>
      <c r="P731" s="68" t="s">
        <v>1634</v>
      </c>
    </row>
    <row r="732" ht="39.95" hidden="1" customHeight="1" outlineLevel="1" spans="1:16">
      <c r="A732" s="63"/>
      <c r="B732" s="64"/>
      <c r="C732" s="59" t="s">
        <v>157</v>
      </c>
      <c r="D732" s="59" t="s">
        <v>2457</v>
      </c>
      <c r="E732" s="65">
        <v>504</v>
      </c>
      <c r="F732" s="67" t="s">
        <v>691</v>
      </c>
      <c r="G732" s="65">
        <v>50417</v>
      </c>
      <c r="H732" s="67" t="s">
        <v>2360</v>
      </c>
      <c r="I732" s="67" t="s">
        <v>691</v>
      </c>
      <c r="J732" s="67" t="str">
        <f>INDEX(数据元说明!A:F,MATCH(I732,数据元说明!C:C,0),2)</f>
        <v>003022</v>
      </c>
      <c r="K732" s="68" t="str">
        <f>INDEX(数据元说明!A:F,MATCH(I732,数据元说明!C:C,0),5)</f>
        <v>正常，关注，次级，可疑，损失。</v>
      </c>
      <c r="L732" s="67" t="str">
        <f>INDEX(数据元说明!A:F,MATCH(I732,数据元说明!C:C,0),6)</f>
        <v>C6</v>
      </c>
      <c r="M732" s="69" t="s">
        <v>2361</v>
      </c>
      <c r="N732" s="68" t="s">
        <v>1583</v>
      </c>
      <c r="O732" s="68" t="s">
        <v>1648</v>
      </c>
      <c r="P732" s="68" t="s">
        <v>1634</v>
      </c>
    </row>
    <row r="733" ht="39.95" hidden="1" customHeight="1" outlineLevel="1" spans="1:16">
      <c r="A733" s="70"/>
      <c r="B733" s="71"/>
      <c r="C733" s="59" t="s">
        <v>157</v>
      </c>
      <c r="D733" s="59" t="s">
        <v>2457</v>
      </c>
      <c r="E733" s="65">
        <v>504</v>
      </c>
      <c r="F733" s="67" t="s">
        <v>2362</v>
      </c>
      <c r="G733" s="65">
        <v>50418</v>
      </c>
      <c r="H733" s="67" t="s">
        <v>2363</v>
      </c>
      <c r="I733" s="67" t="s">
        <v>828</v>
      </c>
      <c r="J733" s="67" t="str">
        <f>INDEX(数据元说明!A:F,MATCH(I733,数据元说明!C:C,0),2)</f>
        <v>005022</v>
      </c>
      <c r="K733" s="68" t="str">
        <f>INDEX(数据元说明!A:F,MATCH(I733,数据元说明!C:C,0),5)</f>
        <v>期数，默认值0。</v>
      </c>
      <c r="L733" s="67" t="str">
        <f>INDEX(数据元说明!A:F,MATCH(I733,数据元说明!C:C,0),6)</f>
        <v>I</v>
      </c>
      <c r="M733" s="68" t="s">
        <v>2461</v>
      </c>
      <c r="N733" s="68"/>
      <c r="O733" s="68"/>
      <c r="P733" s="68"/>
    </row>
    <row r="734" ht="39.95" hidden="1" customHeight="1" outlineLevel="1" spans="1:16">
      <c r="A734" s="63"/>
      <c r="B734" s="64"/>
      <c r="C734" s="59" t="s">
        <v>157</v>
      </c>
      <c r="D734" s="59" t="s">
        <v>2457</v>
      </c>
      <c r="E734" s="65">
        <v>504</v>
      </c>
      <c r="F734" s="67" t="s">
        <v>2365</v>
      </c>
      <c r="G734" s="65">
        <v>50419</v>
      </c>
      <c r="H734" s="67" t="s">
        <v>2366</v>
      </c>
      <c r="I734" s="67" t="s">
        <v>828</v>
      </c>
      <c r="J734" s="67" t="str">
        <f>INDEX(数据元说明!A:F,MATCH(I734,数据元说明!C:C,0),2)</f>
        <v>005022</v>
      </c>
      <c r="K734" s="68" t="str">
        <f>INDEX(数据元说明!A:F,MATCH(I734,数据元说明!C:C,0),5)</f>
        <v>期数，默认值0。</v>
      </c>
      <c r="L734" s="67" t="str">
        <f>INDEX(数据元说明!A:F,MATCH(I734,数据元说明!C:C,0),6)</f>
        <v>I</v>
      </c>
      <c r="M734" s="68" t="s">
        <v>2367</v>
      </c>
      <c r="N734" s="68"/>
      <c r="O734" s="68"/>
      <c r="P734" s="68"/>
    </row>
    <row r="735" ht="39.95" hidden="1" customHeight="1" outlineLevel="1" spans="1:16">
      <c r="A735" s="70"/>
      <c r="B735" s="71"/>
      <c r="C735" s="59" t="s">
        <v>157</v>
      </c>
      <c r="D735" s="59" t="s">
        <v>2457</v>
      </c>
      <c r="E735" s="65">
        <v>504</v>
      </c>
      <c r="F735" s="67" t="s">
        <v>824</v>
      </c>
      <c r="G735" s="65">
        <v>50420</v>
      </c>
      <c r="H735" s="67" t="s">
        <v>2368</v>
      </c>
      <c r="I735" s="67" t="s">
        <v>824</v>
      </c>
      <c r="J735" s="67" t="str">
        <f>INDEX(数据元说明!A:F,MATCH(I735,数据元说明!C:C,0),2)</f>
        <v>005021</v>
      </c>
      <c r="K735" s="68" t="str">
        <f>INDEX(数据元说明!A:F,MATCH(I735,数据元说明!C:C,0),5)</f>
        <v>贷款展期次数，未展期为0。</v>
      </c>
      <c r="L735" s="67" t="str">
        <f>INDEX(数据元说明!A:F,MATCH(I735,数据元说明!C:C,0),6)</f>
        <v>I</v>
      </c>
      <c r="M735" s="69"/>
      <c r="N735" s="68"/>
      <c r="O735" s="68"/>
      <c r="P735" s="68"/>
    </row>
    <row r="736" ht="39.95" hidden="1" customHeight="1" outlineLevel="1" spans="1:16">
      <c r="A736" s="63"/>
      <c r="B736" s="64"/>
      <c r="C736" s="59" t="s">
        <v>157</v>
      </c>
      <c r="D736" s="59" t="s">
        <v>2457</v>
      </c>
      <c r="E736" s="65">
        <v>504</v>
      </c>
      <c r="F736" s="67" t="s">
        <v>2369</v>
      </c>
      <c r="G736" s="65">
        <v>50421</v>
      </c>
      <c r="H736" s="67" t="s">
        <v>2370</v>
      </c>
      <c r="I736" s="67" t="s">
        <v>345</v>
      </c>
      <c r="J736" s="67" t="str">
        <f>INDEX(数据元说明!A:F,MATCH(I736,数据元说明!C:C,0),2)</f>
        <v>001005</v>
      </c>
      <c r="K736" s="68" t="str">
        <f>INDEX(数据元说明!A:F,MATCH(I736,数据元说明!C:C,0),5)</f>
        <v>YYYYMMDD，默认值99991231。</v>
      </c>
      <c r="L736" s="67" t="str">
        <f>INDEX(数据元说明!A:F,MATCH(I736,数据元说明!C:C,0),6)</f>
        <v>C8</v>
      </c>
      <c r="M736" s="68" t="s">
        <v>2371</v>
      </c>
      <c r="N736" s="68" t="s">
        <v>1583</v>
      </c>
      <c r="O736" s="68" t="s">
        <v>484</v>
      </c>
      <c r="P736" s="68"/>
    </row>
    <row r="737" ht="39.95" hidden="1" customHeight="1" outlineLevel="1" spans="1:16">
      <c r="A737" s="63"/>
      <c r="B737" s="64"/>
      <c r="C737" s="59" t="s">
        <v>157</v>
      </c>
      <c r="D737" s="59" t="s">
        <v>2457</v>
      </c>
      <c r="E737" s="65">
        <v>504</v>
      </c>
      <c r="F737" s="67" t="s">
        <v>2372</v>
      </c>
      <c r="G737" s="65">
        <v>50422</v>
      </c>
      <c r="H737" s="67" t="s">
        <v>2373</v>
      </c>
      <c r="I737" s="67" t="s">
        <v>345</v>
      </c>
      <c r="J737" s="67" t="str">
        <f>INDEX(数据元说明!A:F,MATCH(I737,数据元说明!C:C,0),2)</f>
        <v>001005</v>
      </c>
      <c r="K737" s="68" t="str">
        <f>INDEX(数据元说明!A:F,MATCH(I737,数据元说明!C:C,0),5)</f>
        <v>YYYYMMDD，默认值99991231。</v>
      </c>
      <c r="L737" s="67" t="str">
        <f>INDEX(数据元说明!A:F,MATCH(I737,数据元说明!C:C,0),6)</f>
        <v>C8</v>
      </c>
      <c r="M737" s="68" t="s">
        <v>2374</v>
      </c>
      <c r="N737" s="68" t="s">
        <v>1583</v>
      </c>
      <c r="O737" s="68" t="s">
        <v>484</v>
      </c>
      <c r="P737" s="68"/>
    </row>
    <row r="738" ht="39.95" hidden="1" customHeight="1" outlineLevel="1" spans="1:16">
      <c r="A738" s="63"/>
      <c r="B738" s="64"/>
      <c r="C738" s="59" t="s">
        <v>157</v>
      </c>
      <c r="D738" s="59" t="s">
        <v>2457</v>
      </c>
      <c r="E738" s="65">
        <v>504</v>
      </c>
      <c r="F738" s="67" t="s">
        <v>2375</v>
      </c>
      <c r="G738" s="65">
        <v>50423</v>
      </c>
      <c r="H738" s="67" t="s">
        <v>2376</v>
      </c>
      <c r="I738" s="67" t="s">
        <v>345</v>
      </c>
      <c r="J738" s="67" t="str">
        <f>INDEX(数据元说明!A:F,MATCH(I738,数据元说明!C:C,0),2)</f>
        <v>001005</v>
      </c>
      <c r="K738" s="68" t="str">
        <f>INDEX(数据元说明!A:F,MATCH(I738,数据元说明!C:C,0),5)</f>
        <v>YYYYMMDD，默认值99991231。</v>
      </c>
      <c r="L738" s="67" t="str">
        <f>INDEX(数据元说明!A:F,MATCH(I738,数据元说明!C:C,0),6)</f>
        <v>C8</v>
      </c>
      <c r="M738" s="68" t="s">
        <v>2377</v>
      </c>
      <c r="N738" s="68" t="s">
        <v>1583</v>
      </c>
      <c r="O738" s="68" t="s">
        <v>484</v>
      </c>
      <c r="P738" s="68"/>
    </row>
    <row r="739" ht="39.95" hidden="1" customHeight="1" outlineLevel="1" spans="1:16">
      <c r="A739" s="63"/>
      <c r="B739" s="64"/>
      <c r="C739" s="59" t="s">
        <v>157</v>
      </c>
      <c r="D739" s="59" t="s">
        <v>2457</v>
      </c>
      <c r="E739" s="65">
        <v>504</v>
      </c>
      <c r="F739" s="67" t="s">
        <v>2378</v>
      </c>
      <c r="G739" s="65">
        <v>50424</v>
      </c>
      <c r="H739" s="67" t="s">
        <v>2379</v>
      </c>
      <c r="I739" s="67" t="s">
        <v>634</v>
      </c>
      <c r="J739" s="67" t="str">
        <f>INDEX(数据元说明!A:F,MATCH(I739,数据元说明!C:C,0),2)</f>
        <v>003008</v>
      </c>
      <c r="K739" s="68" t="str">
        <f>INDEX(数据元说明!A:F,MATCH(I739,数据元说明!C:C,0),5)</f>
        <v>与币种相对应金额。</v>
      </c>
      <c r="L739" s="67" t="str">
        <f>INDEX(数据元说明!A:F,MATCH(I739,数据元说明!C:C,0),6)</f>
        <v>D20.2</v>
      </c>
      <c r="M739" s="68" t="s">
        <v>2380</v>
      </c>
      <c r="N739" s="68" t="s">
        <v>1601</v>
      </c>
      <c r="O739" s="68"/>
      <c r="P739" s="68"/>
    </row>
    <row r="740" ht="39.95" hidden="1" customHeight="1" outlineLevel="1" spans="1:16">
      <c r="A740" s="63"/>
      <c r="B740" s="64"/>
      <c r="C740" s="59" t="s">
        <v>157</v>
      </c>
      <c r="D740" s="59" t="s">
        <v>2457</v>
      </c>
      <c r="E740" s="65">
        <v>504</v>
      </c>
      <c r="F740" s="67" t="s">
        <v>2381</v>
      </c>
      <c r="G740" s="65">
        <v>50425</v>
      </c>
      <c r="H740" s="67" t="s">
        <v>2382</v>
      </c>
      <c r="I740" s="67" t="s">
        <v>345</v>
      </c>
      <c r="J740" s="67" t="str">
        <f>INDEX(数据元说明!A:F,MATCH(I740,数据元说明!C:C,0),2)</f>
        <v>001005</v>
      </c>
      <c r="K740" s="68" t="str">
        <f>INDEX(数据元说明!A:F,MATCH(I740,数据元说明!C:C,0),5)</f>
        <v>YYYYMMDD，默认值99991231。</v>
      </c>
      <c r="L740" s="67" t="str">
        <f>INDEX(数据元说明!A:F,MATCH(I740,数据元说明!C:C,0),6)</f>
        <v>C8</v>
      </c>
      <c r="M740" s="68" t="s">
        <v>2391</v>
      </c>
      <c r="N740" s="68" t="s">
        <v>1601</v>
      </c>
      <c r="O740" s="68"/>
      <c r="P740" s="68"/>
    </row>
    <row r="741" ht="39.95" hidden="1" customHeight="1" outlineLevel="1" spans="1:16">
      <c r="A741" s="63"/>
      <c r="B741" s="64"/>
      <c r="C741" s="59" t="s">
        <v>157</v>
      </c>
      <c r="D741" s="59" t="s">
        <v>2457</v>
      </c>
      <c r="E741" s="65">
        <v>504</v>
      </c>
      <c r="F741" s="67" t="s">
        <v>2384</v>
      </c>
      <c r="G741" s="65">
        <v>50426</v>
      </c>
      <c r="H741" s="67" t="s">
        <v>2385</v>
      </c>
      <c r="I741" s="67" t="s">
        <v>638</v>
      </c>
      <c r="J741" s="67" t="str">
        <f>INDEX(数据元说明!A:F,MATCH(I741,数据元说明!C:C,0),2)</f>
        <v>003009</v>
      </c>
      <c r="K741" s="68" t="str">
        <f>INDEX(数据元说明!A:F,MATCH(I741,数据元说明!C:C,0),5)</f>
        <v>与币种相对应金额。(以正数填列。如信贷分户账，某客户初次获得贷款1万元，此时余额为10000；如活期存款明细，某客户初次开户存入10000元，此时余额为10000）</v>
      </c>
      <c r="L741" s="67" t="str">
        <f>INDEX(数据元说明!A:F,MATCH(I741,数据元说明!C:C,0),6)</f>
        <v>D20.2</v>
      </c>
      <c r="M741" s="68" t="s">
        <v>2386</v>
      </c>
      <c r="N741" s="68"/>
      <c r="O741" s="68"/>
      <c r="P741" s="68"/>
    </row>
    <row r="742" ht="39.95" hidden="1" customHeight="1" outlineLevel="1" spans="1:16">
      <c r="A742" s="63"/>
      <c r="B742" s="64"/>
      <c r="C742" s="59" t="s">
        <v>157</v>
      </c>
      <c r="D742" s="59" t="s">
        <v>2457</v>
      </c>
      <c r="E742" s="65">
        <v>504</v>
      </c>
      <c r="F742" s="67" t="s">
        <v>2387</v>
      </c>
      <c r="G742" s="65">
        <v>50427</v>
      </c>
      <c r="H742" s="67" t="s">
        <v>2388</v>
      </c>
      <c r="I742" s="67" t="s">
        <v>638</v>
      </c>
      <c r="J742" s="67" t="str">
        <f>INDEX(数据元说明!A:F,MATCH(I742,数据元说明!C:C,0),2)</f>
        <v>003009</v>
      </c>
      <c r="K742" s="68" t="str">
        <f>INDEX(数据元说明!A:F,MATCH(I742,数据元说明!C:C,0),5)</f>
        <v>与币种相对应金额。(以正数填列。如信贷分户账，某客户初次获得贷款1万元，此时余额为10000；如活期存款明细，某客户初次开户存入10000元，此时余额为10000）</v>
      </c>
      <c r="L742" s="67" t="str">
        <f>INDEX(数据元说明!A:F,MATCH(I742,数据元说明!C:C,0),6)</f>
        <v>D20.2</v>
      </c>
      <c r="M742" s="68" t="s">
        <v>2389</v>
      </c>
      <c r="N742" s="68"/>
      <c r="O742" s="68"/>
      <c r="P742" s="68"/>
    </row>
    <row r="743" ht="39.95" hidden="1" customHeight="1" collapsed="1" spans="1:16">
      <c r="A743" s="63"/>
      <c r="B743" s="64"/>
      <c r="C743" s="59" t="s">
        <v>157</v>
      </c>
      <c r="D743" s="59" t="s">
        <v>2457</v>
      </c>
      <c r="E743" s="65">
        <v>504</v>
      </c>
      <c r="F743" s="67" t="s">
        <v>2390</v>
      </c>
      <c r="G743" s="65">
        <v>50428</v>
      </c>
      <c r="H743" s="67" t="s">
        <v>2064</v>
      </c>
      <c r="I743" s="67" t="s">
        <v>345</v>
      </c>
      <c r="J743" s="67" t="str">
        <f>INDEX(数据元说明!A:F,MATCH(I743,数据元说明!C:C,0),2)</f>
        <v>001005</v>
      </c>
      <c r="K743" s="67" t="str">
        <f>INDEX(数据元说明!A:F,MATCH(I743,数据元说明!C:C,0),5)</f>
        <v>YYYYMMDD，默认值99991231。</v>
      </c>
      <c r="L743" s="67" t="str">
        <f>INDEX(数据元说明!A:F,MATCH(I743,数据元说明!C:C,0),6)</f>
        <v>C8</v>
      </c>
      <c r="M743" s="68" t="s">
        <v>2391</v>
      </c>
      <c r="N743" s="68" t="s">
        <v>1601</v>
      </c>
      <c r="O743" s="68"/>
      <c r="P743" s="69"/>
    </row>
    <row r="744" ht="39.95" hidden="1" customHeight="1" spans="1:16">
      <c r="A744" s="63"/>
      <c r="B744" s="64"/>
      <c r="C744" s="59" t="s">
        <v>157</v>
      </c>
      <c r="D744" s="59" t="s">
        <v>2457</v>
      </c>
      <c r="E744" s="65">
        <v>504</v>
      </c>
      <c r="F744" s="67" t="s">
        <v>2392</v>
      </c>
      <c r="G744" s="65">
        <v>50429</v>
      </c>
      <c r="H744" s="67" t="s">
        <v>2393</v>
      </c>
      <c r="I744" s="67" t="s">
        <v>828</v>
      </c>
      <c r="J744" s="67" t="str">
        <f>INDEX(数据元说明!A:F,MATCH(I744,数据元说明!C:C,0),2)</f>
        <v>005022</v>
      </c>
      <c r="K744" s="68" t="str">
        <f>INDEX(数据元说明!A:F,MATCH(I744,数据元说明!C:C,0),5)</f>
        <v>期数，默认值0。</v>
      </c>
      <c r="L744" s="67" t="str">
        <f>INDEX(数据元说明!A:F,MATCH(I744,数据元说明!C:C,0),6)</f>
        <v>I</v>
      </c>
      <c r="M744" s="68" t="s">
        <v>2462</v>
      </c>
      <c r="N744" s="68" t="s">
        <v>1583</v>
      </c>
      <c r="O744" s="68" t="s">
        <v>484</v>
      </c>
      <c r="P744" s="68"/>
    </row>
    <row r="745" ht="39.95" hidden="1" customHeight="1" spans="1:16">
      <c r="A745" s="63"/>
      <c r="B745" s="64"/>
      <c r="C745" s="59" t="s">
        <v>157</v>
      </c>
      <c r="D745" s="59" t="s">
        <v>2457</v>
      </c>
      <c r="E745" s="65">
        <v>504</v>
      </c>
      <c r="F745" s="67" t="s">
        <v>2395</v>
      </c>
      <c r="G745" s="65">
        <v>50430</v>
      </c>
      <c r="H745" s="67" t="s">
        <v>2396</v>
      </c>
      <c r="I745" s="67" t="s">
        <v>828</v>
      </c>
      <c r="J745" s="67" t="str">
        <f>INDEX(数据元说明!A:F,MATCH(I745,数据元说明!C:C,0),2)</f>
        <v>005022</v>
      </c>
      <c r="K745" s="68" t="str">
        <f>INDEX(数据元说明!A:F,MATCH(I745,数据元说明!C:C,0),5)</f>
        <v>期数，默认值0。</v>
      </c>
      <c r="L745" s="67" t="str">
        <f>INDEX(数据元说明!A:F,MATCH(I745,数据元说明!C:C,0),6)</f>
        <v>I</v>
      </c>
      <c r="M745" s="69" t="s">
        <v>2397</v>
      </c>
      <c r="N745" s="68" t="s">
        <v>1583</v>
      </c>
      <c r="O745" s="68" t="s">
        <v>484</v>
      </c>
      <c r="P745" s="68"/>
    </row>
    <row r="746" ht="39.95" hidden="1" customHeight="1" outlineLevel="1" spans="1:16">
      <c r="A746" s="63"/>
      <c r="B746" s="64"/>
      <c r="C746" s="59" t="s">
        <v>157</v>
      </c>
      <c r="D746" s="59" t="s">
        <v>2457</v>
      </c>
      <c r="E746" s="65">
        <v>504</v>
      </c>
      <c r="F746" s="67" t="s">
        <v>2398</v>
      </c>
      <c r="G746" s="65">
        <v>50431</v>
      </c>
      <c r="H746" s="67" t="s">
        <v>2399</v>
      </c>
      <c r="I746" s="67" t="s">
        <v>678</v>
      </c>
      <c r="J746" s="67" t="str">
        <f>INDEX(数据元说明!A:F,MATCH(I746,数据元说明!C:C,0),2)</f>
        <v>003019</v>
      </c>
      <c r="K746" s="68" t="str">
        <f>INDEX(数据元说明!A:F,MATCH(I746,数据元说明!C:C,0),5)</f>
        <v>借据统一编号。</v>
      </c>
      <c r="L746" s="67" t="str">
        <f>INDEX(数据元说明!A:F,MATCH(I746,数据元说明!C:C,0),6)</f>
        <v>C..100</v>
      </c>
      <c r="M746" s="68" t="s">
        <v>2400</v>
      </c>
      <c r="N746" s="68" t="s">
        <v>1601</v>
      </c>
      <c r="O746" s="68"/>
      <c r="P746" s="68"/>
    </row>
    <row r="747" ht="39.95" hidden="1" customHeight="1" outlineLevel="1" spans="1:16">
      <c r="A747" s="63"/>
      <c r="B747" s="64"/>
      <c r="C747" s="59" t="s">
        <v>157</v>
      </c>
      <c r="D747" s="59" t="s">
        <v>2457</v>
      </c>
      <c r="E747" s="65">
        <v>504</v>
      </c>
      <c r="F747" s="67" t="s">
        <v>2401</v>
      </c>
      <c r="G747" s="65">
        <v>50432</v>
      </c>
      <c r="H747" s="67" t="s">
        <v>2402</v>
      </c>
      <c r="I747" s="67" t="s">
        <v>704</v>
      </c>
      <c r="J747" s="67" t="str">
        <f>INDEX(数据元说明!A:F,MATCH(I747,数据元说明!C:C,0),2)</f>
        <v>003025</v>
      </c>
      <c r="K747" s="68" t="str">
        <f>INDEX(数据元说明!A:F,MATCH(I747,数据元说明!C:C,0),5)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747" s="67" t="str">
        <f>INDEX(数据元说明!A:F,MATCH(I747,数据元说明!C:C,0),6)</f>
        <v>C..60</v>
      </c>
      <c r="M747" s="68" t="s">
        <v>2403</v>
      </c>
      <c r="N747" s="68" t="s">
        <v>1583</v>
      </c>
      <c r="O747" s="68" t="s">
        <v>484</v>
      </c>
      <c r="P747" s="68"/>
    </row>
    <row r="748" ht="39.95" hidden="1" customHeight="1" outlineLevel="1" spans="1:16">
      <c r="A748" s="63"/>
      <c r="B748" s="64"/>
      <c r="C748" s="59" t="s">
        <v>157</v>
      </c>
      <c r="D748" s="59" t="s">
        <v>2457</v>
      </c>
      <c r="E748" s="65">
        <v>504</v>
      </c>
      <c r="F748" s="67" t="s">
        <v>2404</v>
      </c>
      <c r="G748" s="65">
        <v>50433</v>
      </c>
      <c r="H748" s="67" t="s">
        <v>2405</v>
      </c>
      <c r="I748" s="67" t="s">
        <v>325</v>
      </c>
      <c r="J748" s="67" t="str">
        <f>INDEX(数据元说明!A:F,MATCH(I748,数据元说明!C:C,0),2)</f>
        <v>001001</v>
      </c>
      <c r="K748" s="68" t="str">
        <f>INDEX(数据元说明!A:F,MATCH(I748,数据元说明!C:C,0),5)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48" s="67" t="str">
        <f>INDEX(数据元说明!A:F,MATCH(I748,数据元说明!C:C,0),6)</f>
        <v>C..450</v>
      </c>
      <c r="M748" s="68" t="s">
        <v>2463</v>
      </c>
      <c r="N748" s="68" t="s">
        <v>1583</v>
      </c>
      <c r="O748" s="68"/>
      <c r="P748" s="68"/>
    </row>
    <row r="749" ht="39.95" hidden="1" customHeight="1" outlineLevel="1" spans="1:16">
      <c r="A749" s="63"/>
      <c r="B749" s="64"/>
      <c r="C749" s="59" t="s">
        <v>157</v>
      </c>
      <c r="D749" s="59" t="s">
        <v>2457</v>
      </c>
      <c r="E749" s="65">
        <v>504</v>
      </c>
      <c r="F749" s="67" t="s">
        <v>2407</v>
      </c>
      <c r="G749" s="65">
        <v>50434</v>
      </c>
      <c r="H749" s="67" t="s">
        <v>2408</v>
      </c>
      <c r="I749" s="67" t="s">
        <v>325</v>
      </c>
      <c r="J749" s="67" t="str">
        <f>INDEX(数据元说明!A:F,MATCH(I749,数据元说明!C:C,0),2)</f>
        <v>001001</v>
      </c>
      <c r="K749" s="68" t="str">
        <f>INDEX(数据元说明!A:F,MATCH(I749,数据元说明!C:C,0),5)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49" s="67" t="str">
        <f>INDEX(数据元说明!A:F,MATCH(I749,数据元说明!C:C,0),6)</f>
        <v>C..450</v>
      </c>
      <c r="M749" s="68" t="s">
        <v>2409</v>
      </c>
      <c r="N749" s="68" t="s">
        <v>1601</v>
      </c>
      <c r="O749" s="68"/>
      <c r="P749" s="68"/>
    </row>
    <row r="750" ht="39.95" hidden="1" customHeight="1" outlineLevel="1" spans="1:16">
      <c r="A750" s="70"/>
      <c r="B750" s="71"/>
      <c r="C750" s="59" t="s">
        <v>157</v>
      </c>
      <c r="D750" s="59" t="s">
        <v>2457</v>
      </c>
      <c r="E750" s="65">
        <v>504</v>
      </c>
      <c r="F750" s="67" t="s">
        <v>1156</v>
      </c>
      <c r="G750" s="65">
        <v>50435</v>
      </c>
      <c r="H750" s="67" t="s">
        <v>2410</v>
      </c>
      <c r="I750" s="67" t="s">
        <v>1156</v>
      </c>
      <c r="J750" s="144" t="str">
        <f>INDEX(数据元说明!A:F,MATCH(I750,数据元说明!C:C,0),2)</f>
        <v>010007</v>
      </c>
      <c r="K750" s="68" t="str">
        <f>INDEX(数据元说明!A:F,MATCH(I750,数据元说明!C:C,0),5)</f>
        <v>LPR，非LPR。</v>
      </c>
      <c r="L750" s="67" t="str">
        <f>INDEX(数据元说明!A:F,MATCH(I750,数据元说明!C:C,0),6)</f>
        <v>C..6</v>
      </c>
      <c r="M750" s="68"/>
      <c r="N750" s="68" t="s">
        <v>1583</v>
      </c>
      <c r="O750" s="68" t="s">
        <v>321</v>
      </c>
      <c r="P750" s="68"/>
    </row>
    <row r="751" ht="39.95" hidden="1" customHeight="1" outlineLevel="1" spans="1:16">
      <c r="A751" s="70"/>
      <c r="B751" s="71"/>
      <c r="C751" s="59" t="s">
        <v>157</v>
      </c>
      <c r="D751" s="59" t="s">
        <v>2457</v>
      </c>
      <c r="E751" s="65">
        <v>504</v>
      </c>
      <c r="F751" s="67" t="s">
        <v>2263</v>
      </c>
      <c r="G751" s="65">
        <v>50436</v>
      </c>
      <c r="H751" s="67" t="s">
        <v>2293</v>
      </c>
      <c r="I751" s="67" t="s">
        <v>670</v>
      </c>
      <c r="J751" s="67" t="str">
        <f>INDEX(数据元说明!A:F,MATCH(I751,数据元说明!C:C,0),2)</f>
        <v>003017</v>
      </c>
      <c r="K751" s="68" t="str">
        <f>INDEX(数据元说明!A:F,MATCH(I751,数据元说明!C:C,0),5)</f>
        <v>百分比为单位，即%，如4.5%填报为4.5。</v>
      </c>
      <c r="L751" s="67" t="str">
        <f>INDEX(数据元说明!A:F,MATCH(I751,数据元说明!C:C,0),6)</f>
        <v>D20.4</v>
      </c>
      <c r="M751" s="68" t="s">
        <v>2265</v>
      </c>
      <c r="N751" s="68" t="s">
        <v>1601</v>
      </c>
      <c r="O751" s="68"/>
      <c r="P751" s="68"/>
    </row>
    <row r="752" ht="39.95" hidden="1" customHeight="1" outlineLevel="1" spans="1:16">
      <c r="A752" s="63"/>
      <c r="B752" s="64"/>
      <c r="C752" s="59" t="s">
        <v>157</v>
      </c>
      <c r="D752" s="59" t="s">
        <v>2457</v>
      </c>
      <c r="E752" s="65">
        <v>504</v>
      </c>
      <c r="F752" s="67" t="s">
        <v>836</v>
      </c>
      <c r="G752" s="65">
        <v>50437</v>
      </c>
      <c r="H752" s="67" t="s">
        <v>2411</v>
      </c>
      <c r="I752" s="67" t="s">
        <v>836</v>
      </c>
      <c r="J752" s="67" t="str">
        <f>INDEX(数据元说明!A:F,MATCH(I752,数据元说明!C:C,0),2)</f>
        <v>005024</v>
      </c>
      <c r="K752" s="68" t="str">
        <f>INDEX(数据元说明!A:F,MATCH(I752,数据元说明!C:C,0),5)</f>
        <v>按月，按季，按半年，按年，利随本清，分期付息一次还本，其他-银行自定义。若无法以枚举类型填写，则以“其他-XX”填报，其中“XX”为银行自定义类型。</v>
      </c>
      <c r="L752" s="67" t="str">
        <f>INDEX(数据元说明!A:F,MATCH(I752,数据元说明!C:C,0),6)</f>
        <v>C..60</v>
      </c>
      <c r="M752" s="69"/>
      <c r="N752" s="68" t="s">
        <v>1583</v>
      </c>
      <c r="O752" s="68" t="s">
        <v>321</v>
      </c>
      <c r="P752" s="68"/>
    </row>
    <row r="753" ht="39.95" hidden="1" customHeight="1" outlineLevel="1" spans="1:16">
      <c r="A753" s="63"/>
      <c r="B753" s="64"/>
      <c r="C753" s="59" t="s">
        <v>157</v>
      </c>
      <c r="D753" s="59" t="s">
        <v>2457</v>
      </c>
      <c r="E753" s="65">
        <v>504</v>
      </c>
      <c r="F753" s="67" t="s">
        <v>2413</v>
      </c>
      <c r="G753" s="65">
        <v>50438</v>
      </c>
      <c r="H753" s="67" t="s">
        <v>2414</v>
      </c>
      <c r="I753" s="67" t="s">
        <v>704</v>
      </c>
      <c r="J753" s="67" t="str">
        <f>INDEX(数据元说明!A:F,MATCH(I753,数据元说明!C:C,0),2)</f>
        <v>003025</v>
      </c>
      <c r="K753" s="68" t="str">
        <f>INDEX(数据元说明!A:F,MATCH(I753,数据元说明!C:C,0),5)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753" s="67" t="str">
        <f>INDEX(数据元说明!A:F,MATCH(I753,数据元说明!C:C,0),6)</f>
        <v>C..60</v>
      </c>
      <c r="M753" s="68" t="s">
        <v>2415</v>
      </c>
      <c r="N753" s="68" t="s">
        <v>1583</v>
      </c>
      <c r="O753" s="68" t="s">
        <v>484</v>
      </c>
      <c r="P753" s="68"/>
    </row>
    <row r="754" ht="39.95" hidden="1" customHeight="1" outlineLevel="1" spans="1:16">
      <c r="A754" s="63"/>
      <c r="B754" s="64"/>
      <c r="C754" s="59" t="s">
        <v>157</v>
      </c>
      <c r="D754" s="59" t="s">
        <v>2457</v>
      </c>
      <c r="E754" s="65">
        <v>504</v>
      </c>
      <c r="F754" s="67" t="s">
        <v>2416</v>
      </c>
      <c r="G754" s="65">
        <v>50439</v>
      </c>
      <c r="H754" s="67" t="s">
        <v>2417</v>
      </c>
      <c r="I754" s="67" t="s">
        <v>325</v>
      </c>
      <c r="J754" s="67" t="str">
        <f>INDEX(数据元说明!A:F,MATCH(I754,数据元说明!C:C,0),2)</f>
        <v>001001</v>
      </c>
      <c r="K754" s="68" t="str">
        <f>INDEX(数据元说明!A:F,MATCH(I754,数据元说明!C:C,0),5)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54" s="67" t="str">
        <f>INDEX(数据元说明!A:F,MATCH(I754,数据元说明!C:C,0),6)</f>
        <v>C..450</v>
      </c>
      <c r="M754" s="68" t="s">
        <v>2418</v>
      </c>
      <c r="N754" s="68" t="s">
        <v>1601</v>
      </c>
      <c r="O754" s="68"/>
      <c r="P754" s="68"/>
    </row>
    <row r="755" ht="39.95" hidden="1" customHeight="1" outlineLevel="1" spans="1:16">
      <c r="A755" s="70"/>
      <c r="B755" s="71"/>
      <c r="C755" s="59" t="s">
        <v>157</v>
      </c>
      <c r="D755" s="59" t="s">
        <v>2457</v>
      </c>
      <c r="E755" s="65">
        <v>504</v>
      </c>
      <c r="F755" s="67" t="s">
        <v>674</v>
      </c>
      <c r="G755" s="65">
        <v>50440</v>
      </c>
      <c r="H755" s="67" t="s">
        <v>2233</v>
      </c>
      <c r="I755" s="67" t="s">
        <v>674</v>
      </c>
      <c r="J755" s="67" t="str">
        <f>INDEX(数据元说明!A:F,MATCH(I755,数据元说明!C:C,0),2)</f>
        <v>003018</v>
      </c>
      <c r="K755" s="68" t="str">
        <f>INDEX(数据元说明!A:F,MATCH(I755,数据元说明!C:C,0),5)</f>
        <v>利息的计算方法，按月结息，按季结息，按半年结息，按年结息，不定期结息，不记利息，利随本清，其他-银行自定义。无法以枚举类型填报的，以“其他-XX”填报，其中“XX”为银行自定义类型。</v>
      </c>
      <c r="L755" s="67" t="str">
        <f>INDEX(数据元说明!A:F,MATCH(I755,数据元说明!C:C,0),6)</f>
        <v>C..60</v>
      </c>
      <c r="M755" s="69"/>
      <c r="N755" s="68" t="s">
        <v>1583</v>
      </c>
      <c r="O755" s="68" t="s">
        <v>1597</v>
      </c>
      <c r="P755" s="68" t="s">
        <v>1648</v>
      </c>
    </row>
    <row r="756" ht="39.95" hidden="1" customHeight="1" outlineLevel="1" spans="1:16">
      <c r="A756" s="70"/>
      <c r="B756" s="71"/>
      <c r="C756" s="59" t="s">
        <v>157</v>
      </c>
      <c r="D756" s="59" t="s">
        <v>2457</v>
      </c>
      <c r="E756" s="65">
        <v>504</v>
      </c>
      <c r="F756" s="67" t="s">
        <v>2419</v>
      </c>
      <c r="G756" s="65">
        <v>50441</v>
      </c>
      <c r="H756" s="67" t="s">
        <v>2420</v>
      </c>
      <c r="I756" s="67" t="s">
        <v>345</v>
      </c>
      <c r="J756" s="67" t="str">
        <f>INDEX(数据元说明!A:F,MATCH(I756,数据元说明!C:C,0),2)</f>
        <v>001005</v>
      </c>
      <c r="K756" s="68" t="str">
        <f>INDEX(数据元说明!A:F,MATCH(I756,数据元说明!C:C,0),5)</f>
        <v>YYYYMMDD，默认值99991231。</v>
      </c>
      <c r="L756" s="67" t="str">
        <f>INDEX(数据元说明!A:F,MATCH(I756,数据元说明!C:C,0),6)</f>
        <v>C8</v>
      </c>
      <c r="M756" s="69" t="s">
        <v>2421</v>
      </c>
      <c r="N756" s="68" t="s">
        <v>1601</v>
      </c>
      <c r="O756" s="68"/>
      <c r="P756" s="68"/>
    </row>
    <row r="757" ht="39.95" hidden="1" customHeight="1" outlineLevel="1" spans="1:16">
      <c r="A757" s="70"/>
      <c r="B757" s="71"/>
      <c r="C757" s="59" t="s">
        <v>157</v>
      </c>
      <c r="D757" s="59" t="s">
        <v>2457</v>
      </c>
      <c r="E757" s="65">
        <v>504</v>
      </c>
      <c r="F757" s="67" t="s">
        <v>2422</v>
      </c>
      <c r="G757" s="65">
        <v>50442</v>
      </c>
      <c r="H757" s="67" t="s">
        <v>2423</v>
      </c>
      <c r="I757" s="67" t="s">
        <v>634</v>
      </c>
      <c r="J757" s="67" t="str">
        <f>INDEX(数据元说明!A:F,MATCH(I757,数据元说明!C:C,0),2)</f>
        <v>003008</v>
      </c>
      <c r="K757" s="68" t="str">
        <f>INDEX(数据元说明!A:F,MATCH(I757,数据元说明!C:C,0),5)</f>
        <v>与币种相对应金额。</v>
      </c>
      <c r="L757" s="67" t="str">
        <f>INDEX(数据元说明!A:F,MATCH(I757,数据元说明!C:C,0),6)</f>
        <v>D20.2</v>
      </c>
      <c r="M757" s="69" t="s">
        <v>2424</v>
      </c>
      <c r="N757" s="68" t="s">
        <v>1601</v>
      </c>
      <c r="O757" s="68"/>
      <c r="P757" s="68"/>
    </row>
    <row r="758" ht="39.95" hidden="1" customHeight="1" outlineLevel="1" spans="1:16">
      <c r="A758" s="70"/>
      <c r="B758" s="71"/>
      <c r="C758" s="59" t="s">
        <v>157</v>
      </c>
      <c r="D758" s="59" t="s">
        <v>2457</v>
      </c>
      <c r="E758" s="65">
        <v>504</v>
      </c>
      <c r="F758" s="67" t="s">
        <v>2425</v>
      </c>
      <c r="G758" s="65">
        <v>50443</v>
      </c>
      <c r="H758" s="67" t="s">
        <v>2426</v>
      </c>
      <c r="I758" s="67" t="s">
        <v>634</v>
      </c>
      <c r="J758" s="67" t="str">
        <f>INDEX(数据元说明!A:F,MATCH(I758,数据元说明!C:C,0),2)</f>
        <v>003008</v>
      </c>
      <c r="K758" s="68" t="str">
        <f>INDEX(数据元说明!A:F,MATCH(I758,数据元说明!C:C,0),5)</f>
        <v>与币种相对应金额。</v>
      </c>
      <c r="L758" s="67" t="str">
        <f>INDEX(数据元说明!A:F,MATCH(I758,数据元说明!C:C,0),6)</f>
        <v>D20.2</v>
      </c>
      <c r="M758" s="69" t="s">
        <v>2427</v>
      </c>
      <c r="N758" s="68" t="s">
        <v>1601</v>
      </c>
      <c r="O758" s="68"/>
      <c r="P758" s="68"/>
    </row>
    <row r="759" ht="39.95" hidden="1" customHeight="1" outlineLevel="1" spans="1:16">
      <c r="A759" s="63"/>
      <c r="B759" s="64"/>
      <c r="C759" s="59" t="s">
        <v>157</v>
      </c>
      <c r="D759" s="59" t="s">
        <v>2457</v>
      </c>
      <c r="E759" s="65">
        <v>504</v>
      </c>
      <c r="F759" s="67" t="s">
        <v>2428</v>
      </c>
      <c r="G759" s="65">
        <v>50444</v>
      </c>
      <c r="H759" s="67" t="s">
        <v>2429</v>
      </c>
      <c r="I759" s="67" t="s">
        <v>766</v>
      </c>
      <c r="J759" s="67" t="str">
        <f>INDEX(数据元说明!A:F,MATCH(I759,数据元说明!C:C,0),2)</f>
        <v>005006</v>
      </c>
      <c r="K759" s="68" t="str">
        <f>INDEX(数据元说明!A:F,MATCH(I759,数据元说明!C:C,0),5)</f>
        <v>贷款使用的具体内容。</v>
      </c>
      <c r="L759" s="67" t="str">
        <f>INDEX(数据元说明!A:F,MATCH(I759,数据元说明!C:C,0),6)</f>
        <v>C..1500</v>
      </c>
      <c r="M759" s="68" t="s">
        <v>2430</v>
      </c>
      <c r="N759" s="68" t="s">
        <v>1601</v>
      </c>
      <c r="O759" s="68"/>
      <c r="P759" s="68"/>
    </row>
    <row r="760" ht="39.95" hidden="1" customHeight="1" outlineLevel="1" spans="1:16">
      <c r="A760" s="63"/>
      <c r="B760" s="64"/>
      <c r="C760" s="59" t="s">
        <v>157</v>
      </c>
      <c r="D760" s="59" t="s">
        <v>2457</v>
      </c>
      <c r="E760" s="65">
        <v>504</v>
      </c>
      <c r="F760" s="67" t="s">
        <v>2431</v>
      </c>
      <c r="G760" s="65">
        <v>50445</v>
      </c>
      <c r="H760" s="67" t="s">
        <v>2432</v>
      </c>
      <c r="I760" s="67" t="s">
        <v>440</v>
      </c>
      <c r="J760" s="67" t="str">
        <f>INDEX(数据元说明!A:F,MATCH(I760,数据元说明!C:C,0),2)</f>
        <v>001028</v>
      </c>
      <c r="K760" s="68" t="str">
        <f>INDEX(数据元说明!A:F,MATCH(I760,数据元说明!C:C,0),5)</f>
        <v>境内地区参照《GB/T 2260 中华人民共和国行政区划代码》填写国内行政区划代码，填写至二级分类，如110100。境外地区参照《GB/T 2659 世界各国和地区名称代码》定义的三字符代码，如USA。</v>
      </c>
      <c r="L760" s="67" t="str">
        <f>INDEX(数据元说明!A:F,MATCH(I760,数据元说明!C:C,0),6)</f>
        <v>C..6</v>
      </c>
      <c r="M760" s="68" t="s">
        <v>2433</v>
      </c>
      <c r="N760" s="68" t="s">
        <v>1583</v>
      </c>
      <c r="O760" s="68" t="s">
        <v>484</v>
      </c>
      <c r="P760" s="68"/>
    </row>
    <row r="761" ht="39.95" hidden="1" customHeight="1" outlineLevel="1" spans="1:16">
      <c r="A761" s="63"/>
      <c r="B761" s="64"/>
      <c r="C761" s="59" t="s">
        <v>157</v>
      </c>
      <c r="D761" s="59" t="s">
        <v>2457</v>
      </c>
      <c r="E761" s="65">
        <v>504</v>
      </c>
      <c r="F761" s="67" t="s">
        <v>770</v>
      </c>
      <c r="G761" s="65">
        <v>50446</v>
      </c>
      <c r="H761" s="67" t="s">
        <v>2434</v>
      </c>
      <c r="I761" s="67" t="s">
        <v>770</v>
      </c>
      <c r="J761" s="67" t="str">
        <f>INDEX(数据元说明!A:F,MATCH(I761,数据元说明!C:C,0),2)</f>
        <v>005007</v>
      </c>
      <c r="K761" s="68" t="str">
        <f>INDEX(数据元说明!A:F,MATCH(I761,数据元说明!C:C,0),5)</f>
        <v>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v>
      </c>
      <c r="L761" s="67" t="str">
        <f>INDEX(数据元说明!A:F,MATCH(I761,数据元说明!C:C,0),6)</f>
        <v>C..100</v>
      </c>
      <c r="M761" s="68" t="s">
        <v>2464</v>
      </c>
      <c r="N761" s="68" t="s">
        <v>1583</v>
      </c>
      <c r="O761" s="68" t="s">
        <v>321</v>
      </c>
      <c r="P761" s="68" t="s">
        <v>1648</v>
      </c>
    </row>
    <row r="762" ht="39.95" hidden="1" customHeight="1" outlineLevel="1" spans="1:16">
      <c r="A762" s="63"/>
      <c r="B762" s="64"/>
      <c r="C762" s="59" t="s">
        <v>157</v>
      </c>
      <c r="D762" s="59" t="s">
        <v>2457</v>
      </c>
      <c r="E762" s="65">
        <v>504</v>
      </c>
      <c r="F762" s="67" t="s">
        <v>2436</v>
      </c>
      <c r="G762" s="65">
        <v>50447</v>
      </c>
      <c r="H762" s="67" t="s">
        <v>2437</v>
      </c>
      <c r="I762" s="67" t="s">
        <v>330</v>
      </c>
      <c r="J762" s="67" t="str">
        <f>INDEX(数据元说明!A:F,MATCH(I762,数据元说明!C:C,0),2)</f>
        <v>001002</v>
      </c>
      <c r="K762" s="68" t="str">
        <f>INDEX(数据元说明!A:F,MATCH(I762,数据元说明!C:C,0),5)</f>
        <v>是，否。</v>
      </c>
      <c r="L762" s="67" t="str">
        <f>INDEX(数据元说明!A:F,MATCH(I762,数据元说明!C:C,0),6)</f>
        <v>C3</v>
      </c>
      <c r="M762" s="68" t="s">
        <v>2438</v>
      </c>
      <c r="N762" s="68" t="s">
        <v>1601</v>
      </c>
      <c r="O762" s="68"/>
      <c r="P762" s="68"/>
    </row>
    <row r="763" ht="39.95" hidden="1" customHeight="1" outlineLevel="1" spans="1:16">
      <c r="A763" s="63"/>
      <c r="B763" s="64"/>
      <c r="C763" s="59" t="s">
        <v>157</v>
      </c>
      <c r="D763" s="59" t="s">
        <v>2457</v>
      </c>
      <c r="E763" s="65">
        <v>504</v>
      </c>
      <c r="F763" s="67" t="s">
        <v>2439</v>
      </c>
      <c r="G763" s="65">
        <v>50448</v>
      </c>
      <c r="H763" s="67" t="s">
        <v>2440</v>
      </c>
      <c r="I763" s="67" t="s">
        <v>330</v>
      </c>
      <c r="J763" s="67" t="str">
        <f>INDEX(数据元说明!A:F,MATCH(I763,数据元说明!C:C,0),2)</f>
        <v>001002</v>
      </c>
      <c r="K763" s="68" t="str">
        <f>INDEX(数据元说明!A:F,MATCH(I763,数据元说明!C:C,0),5)</f>
        <v>是，否。</v>
      </c>
      <c r="L763" s="67" t="str">
        <f>INDEX(数据元说明!A:F,MATCH(I763,数据元说明!C:C,0),6)</f>
        <v>C3</v>
      </c>
      <c r="M763" s="68" t="s">
        <v>2441</v>
      </c>
      <c r="N763" s="68" t="s">
        <v>1601</v>
      </c>
      <c r="O763" s="68"/>
      <c r="P763" s="68"/>
    </row>
    <row r="764" ht="39.95" hidden="1" customHeight="1" outlineLevel="1" spans="1:16">
      <c r="A764" s="63"/>
      <c r="B764" s="64"/>
      <c r="C764" s="59" t="s">
        <v>157</v>
      </c>
      <c r="D764" s="59" t="s">
        <v>2457</v>
      </c>
      <c r="E764" s="65">
        <v>504</v>
      </c>
      <c r="F764" s="67" t="s">
        <v>2442</v>
      </c>
      <c r="G764" s="65">
        <v>50449</v>
      </c>
      <c r="H764" s="67" t="s">
        <v>2443</v>
      </c>
      <c r="I764" s="67" t="s">
        <v>330</v>
      </c>
      <c r="J764" s="67" t="str">
        <f>INDEX(数据元说明!A:F,MATCH(I764,数据元说明!C:C,0),2)</f>
        <v>001002</v>
      </c>
      <c r="K764" s="68" t="str">
        <f>INDEX(数据元说明!A:F,MATCH(I764,数据元说明!C:C,0),5)</f>
        <v>是，否。</v>
      </c>
      <c r="L764" s="67" t="str">
        <f>INDEX(数据元说明!A:F,MATCH(I764,数据元说明!C:C,0),6)</f>
        <v>C3</v>
      </c>
      <c r="M764" s="68" t="s">
        <v>2444</v>
      </c>
      <c r="N764" s="68" t="s">
        <v>1601</v>
      </c>
      <c r="O764" s="68"/>
      <c r="P764" s="68"/>
    </row>
    <row r="765" ht="39.95" hidden="1" customHeight="1" outlineLevel="1" spans="1:16">
      <c r="A765" s="63"/>
      <c r="B765" s="64"/>
      <c r="C765" s="59" t="s">
        <v>157</v>
      </c>
      <c r="D765" s="59" t="s">
        <v>2457</v>
      </c>
      <c r="E765" s="65">
        <v>504</v>
      </c>
      <c r="F765" s="67" t="s">
        <v>2445</v>
      </c>
      <c r="G765" s="65">
        <v>50450</v>
      </c>
      <c r="H765" s="67" t="s">
        <v>2446</v>
      </c>
      <c r="I765" s="67" t="s">
        <v>330</v>
      </c>
      <c r="J765" s="67" t="str">
        <f>INDEX(数据元说明!A:F,MATCH(I765,数据元说明!C:C,0),2)</f>
        <v>001002</v>
      </c>
      <c r="K765" s="68" t="str">
        <f>INDEX(数据元说明!A:F,MATCH(I765,数据元说明!C:C,0),5)</f>
        <v>是，否。</v>
      </c>
      <c r="L765" s="67" t="str">
        <f>INDEX(数据元说明!A:F,MATCH(I765,数据元说明!C:C,0),6)</f>
        <v>C3</v>
      </c>
      <c r="M765" s="68" t="s">
        <v>2447</v>
      </c>
      <c r="N765" s="68" t="s">
        <v>1601</v>
      </c>
      <c r="O765" s="68"/>
      <c r="P765" s="68"/>
    </row>
    <row r="766" ht="39.95" hidden="1" customHeight="1" outlineLevel="1" spans="1:16">
      <c r="A766" s="63"/>
      <c r="B766" s="64"/>
      <c r="C766" s="59" t="s">
        <v>157</v>
      </c>
      <c r="D766" s="59" t="s">
        <v>2457</v>
      </c>
      <c r="E766" s="65">
        <v>504</v>
      </c>
      <c r="F766" s="67" t="s">
        <v>2448</v>
      </c>
      <c r="G766" s="65">
        <v>50451</v>
      </c>
      <c r="H766" s="67" t="s">
        <v>2449</v>
      </c>
      <c r="I766" s="67" t="s">
        <v>330</v>
      </c>
      <c r="J766" s="67" t="str">
        <f>INDEX(数据元说明!A:F,MATCH(I766,数据元说明!C:C,0),2)</f>
        <v>001002</v>
      </c>
      <c r="K766" s="68" t="str">
        <f>INDEX(数据元说明!A:F,MATCH(I766,数据元说明!C:C,0),5)</f>
        <v>是，否。</v>
      </c>
      <c r="L766" s="67" t="str">
        <f>INDEX(数据元说明!A:F,MATCH(I766,数据元说明!C:C,0),6)</f>
        <v>C3</v>
      </c>
      <c r="M766" s="68" t="s">
        <v>2450</v>
      </c>
      <c r="N766" s="68" t="s">
        <v>1601</v>
      </c>
      <c r="O766" s="68"/>
      <c r="P766" s="68"/>
    </row>
    <row r="767" ht="39.95" hidden="1" customHeight="1" outlineLevel="1" spans="1:16">
      <c r="A767" s="63"/>
      <c r="B767" s="64"/>
      <c r="C767" s="59" t="s">
        <v>157</v>
      </c>
      <c r="D767" s="59" t="s">
        <v>2457</v>
      </c>
      <c r="E767" s="65">
        <v>504</v>
      </c>
      <c r="F767" s="67" t="s">
        <v>2451</v>
      </c>
      <c r="G767" s="65">
        <v>50452</v>
      </c>
      <c r="H767" s="67" t="s">
        <v>2452</v>
      </c>
      <c r="I767" s="67" t="s">
        <v>330</v>
      </c>
      <c r="J767" s="67" t="str">
        <f>INDEX(数据元说明!A:F,MATCH(I767,数据元说明!C:C,0),2)</f>
        <v>001002</v>
      </c>
      <c r="K767" s="68" t="str">
        <f>INDEX(数据元说明!A:F,MATCH(I767,数据元说明!C:C,0),5)</f>
        <v>是，否。</v>
      </c>
      <c r="L767" s="67" t="str">
        <f>INDEX(数据元说明!A:F,MATCH(I767,数据元说明!C:C,0),6)</f>
        <v>C3</v>
      </c>
      <c r="M767" s="68" t="s">
        <v>2453</v>
      </c>
      <c r="N767" s="68" t="s">
        <v>1601</v>
      </c>
      <c r="O767" s="68"/>
      <c r="P767" s="68"/>
    </row>
    <row r="768" ht="39.95" hidden="1" customHeight="1" outlineLevel="1" spans="1:16">
      <c r="A768" s="70"/>
      <c r="B768" s="71"/>
      <c r="C768" s="59" t="s">
        <v>157</v>
      </c>
      <c r="D768" s="59" t="s">
        <v>2457</v>
      </c>
      <c r="E768" s="65">
        <v>504</v>
      </c>
      <c r="F768" s="67" t="s">
        <v>2454</v>
      </c>
      <c r="G768" s="65">
        <v>50453</v>
      </c>
      <c r="H768" s="67" t="s">
        <v>2455</v>
      </c>
      <c r="I768" s="67" t="s">
        <v>389</v>
      </c>
      <c r="J768" s="67" t="str">
        <f>INDEX(数据元说明!A:F,MATCH(I768,数据元说明!C:C,0),2)</f>
        <v>001015</v>
      </c>
      <c r="K768" s="68" t="str">
        <f>INDEX(数据元说明!A:F,MATCH(I768,数据元说明!C:C,0),5)</f>
        <v>工号，银行自定义。</v>
      </c>
      <c r="L768" s="67" t="str">
        <f>INDEX(数据元说明!A:F,MATCH(I768,数据元说明!C:C,0),6)</f>
        <v>C..30</v>
      </c>
      <c r="M768" s="68" t="s">
        <v>2465</v>
      </c>
      <c r="N768" s="68" t="s">
        <v>1583</v>
      </c>
      <c r="O768" s="68" t="s">
        <v>1745</v>
      </c>
      <c r="P768" s="68" t="s">
        <v>1634</v>
      </c>
    </row>
    <row r="769" ht="39.95" hidden="1" customHeight="1" outlineLevel="1" spans="1:16">
      <c r="A769" s="63"/>
      <c r="B769" s="64"/>
      <c r="C769" s="59" t="s">
        <v>157</v>
      </c>
      <c r="D769" s="59" t="s">
        <v>2457</v>
      </c>
      <c r="E769" s="65">
        <v>504</v>
      </c>
      <c r="F769" s="67" t="s">
        <v>832</v>
      </c>
      <c r="G769" s="65">
        <v>50454</v>
      </c>
      <c r="H769" s="67" t="s">
        <v>2278</v>
      </c>
      <c r="I769" s="67" t="s">
        <v>832</v>
      </c>
      <c r="J769" s="67" t="str">
        <f>INDEX(数据元说明!A:F,MATCH(I769,数据元说明!C:C,0),2)</f>
        <v>005023</v>
      </c>
      <c r="K769" s="68" t="str">
        <f>INDEX(数据元说明!A:F,MATCH(I769,数据元说明!C:C,0),5)</f>
        <v>正常、结清、逾期、核销、转让，其他-银行自定义。以枚举类型填报，如无法以枚举类型填报，则以“其他-XX”填报，其中“XX”为银行自定义状态。</v>
      </c>
      <c r="L769" s="67" t="str">
        <f>INDEX(数据元说明!A:F,MATCH(I769,数据元说明!C:C,0),6)</f>
        <v>C..30</v>
      </c>
      <c r="M769" s="68"/>
      <c r="N769" s="68" t="s">
        <v>1583</v>
      </c>
      <c r="O769" s="68" t="s">
        <v>321</v>
      </c>
      <c r="P769" s="68" t="s">
        <v>1634</v>
      </c>
    </row>
    <row r="770" ht="39.95" hidden="1" customHeight="1" outlineLevel="1" spans="1:16">
      <c r="A770" s="63"/>
      <c r="B770" s="64"/>
      <c r="C770" s="59" t="s">
        <v>157</v>
      </c>
      <c r="D770" s="59" t="s">
        <v>2457</v>
      </c>
      <c r="E770" s="65">
        <v>504</v>
      </c>
      <c r="F770" s="67" t="s">
        <v>484</v>
      </c>
      <c r="G770" s="65">
        <v>50455</v>
      </c>
      <c r="H770" s="67" t="s">
        <v>1623</v>
      </c>
      <c r="I770" s="67" t="s">
        <v>484</v>
      </c>
      <c r="J770" s="67" t="str">
        <f>INDEX(数据元说明!A:F,MATCH(I770,数据元说明!C:C,0),2)</f>
        <v>001038</v>
      </c>
      <c r="K770" s="68" t="str">
        <f>INDEX(数据元说明!A:F,MATCH(I770,数据元说明!C:C,0),5)</f>
        <v>银行自定义。</v>
      </c>
      <c r="L770" s="67" t="str">
        <f>INDEX(数据元说明!A:F,MATCH(I770,数据元说明!C:C,0),6)</f>
        <v>C..600</v>
      </c>
      <c r="M770" s="68" t="s">
        <v>1624</v>
      </c>
      <c r="N770" s="68" t="s">
        <v>1601</v>
      </c>
      <c r="O770" s="68"/>
      <c r="P770" s="68"/>
    </row>
    <row r="771" ht="39.95" hidden="1" customHeight="1" outlineLevel="1" spans="1:16">
      <c r="A771" s="63"/>
      <c r="B771" s="64"/>
      <c r="C771" s="59" t="s">
        <v>157</v>
      </c>
      <c r="D771" s="59" t="s">
        <v>2457</v>
      </c>
      <c r="E771" s="65">
        <v>504</v>
      </c>
      <c r="F771" s="67" t="s">
        <v>1625</v>
      </c>
      <c r="G771" s="65">
        <v>50456</v>
      </c>
      <c r="H771" s="67" t="s">
        <v>1626</v>
      </c>
      <c r="I771" s="67" t="s">
        <v>345</v>
      </c>
      <c r="J771" s="67" t="str">
        <f>INDEX(数据元说明!A:F,MATCH(I771,数据元说明!C:C,0),2)</f>
        <v>001005</v>
      </c>
      <c r="K771" s="68" t="str">
        <f>INDEX(数据元说明!A:F,MATCH(I771,数据元说明!C:C,0),5)</f>
        <v>YYYYMMDD，默认值99991231。</v>
      </c>
      <c r="L771" s="67" t="str">
        <f>INDEX(数据元说明!A:F,MATCH(I771,数据元说明!C:C,0),6)</f>
        <v>C8</v>
      </c>
      <c r="M771" s="68" t="s">
        <v>1627</v>
      </c>
      <c r="N771" s="68"/>
      <c r="O771" s="68"/>
      <c r="P771" s="68"/>
    </row>
    <row r="772" ht="39.95" hidden="1" customHeight="1" collapsed="1" spans="1:16">
      <c r="A772" s="63"/>
      <c r="B772" s="64"/>
      <c r="C772" s="59" t="s">
        <v>161</v>
      </c>
      <c r="D772" s="59" t="s">
        <v>2466</v>
      </c>
      <c r="E772" s="65">
        <v>505</v>
      </c>
      <c r="F772" s="67"/>
      <c r="G772" s="65"/>
      <c r="H772" s="67"/>
      <c r="I772" s="67"/>
      <c r="J772" s="67"/>
      <c r="K772" s="68"/>
      <c r="L772" s="67"/>
      <c r="M772" s="68" t="str">
        <f>INDEX(表结构总览!D:G,MATCH(D772,表结构总览!D:D,0),4)</f>
        <v>《个人信贷业务借据表》和《对公信贷业务借据表》中放款方式为“受托支付”或“混合支付”的，在该表中报送受托支付对象信息。</v>
      </c>
      <c r="N772" s="68" t="s">
        <v>1601</v>
      </c>
      <c r="O772" s="68"/>
      <c r="P772" s="68"/>
    </row>
    <row r="773" ht="39.95" hidden="1" customHeight="1" outlineLevel="1" spans="1:16">
      <c r="A773" s="63"/>
      <c r="B773" s="64"/>
      <c r="C773" s="59" t="s">
        <v>161</v>
      </c>
      <c r="D773" s="59" t="s">
        <v>2466</v>
      </c>
      <c r="E773" s="65">
        <v>505</v>
      </c>
      <c r="F773" s="67" t="s">
        <v>373</v>
      </c>
      <c r="G773" s="65">
        <v>50501</v>
      </c>
      <c r="H773" s="67" t="s">
        <v>1588</v>
      </c>
      <c r="I773" s="67" t="s">
        <v>373</v>
      </c>
      <c r="J773" s="67" t="str">
        <f>INDEX(数据元说明!A:F,MATCH(I773,数据元说明!C:C,0),2)</f>
        <v>001011</v>
      </c>
      <c r="K773" s="68" t="str">
        <f>INDEX(数据元说明!A:F,MATCH(I773,数据元说明!C:C,0),5)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73" s="67" t="str">
        <f>INDEX(数据元说明!A:F,MATCH(I773,数据元说明!C:C,0),6)</f>
        <v>C..30</v>
      </c>
      <c r="M773" s="68" t="s">
        <v>2467</v>
      </c>
      <c r="N773" s="68" t="s">
        <v>1583</v>
      </c>
      <c r="O773" s="68" t="s">
        <v>484</v>
      </c>
      <c r="P773" s="68"/>
    </row>
    <row r="774" ht="39.95" hidden="1" customHeight="1" outlineLevel="1" spans="1:16">
      <c r="A774" s="63"/>
      <c r="B774" s="64"/>
      <c r="C774" s="59" t="s">
        <v>161</v>
      </c>
      <c r="D774" s="59" t="s">
        <v>2466</v>
      </c>
      <c r="E774" s="65">
        <v>505</v>
      </c>
      <c r="F774" s="67" t="s">
        <v>377</v>
      </c>
      <c r="G774" s="65">
        <v>50502</v>
      </c>
      <c r="H774" s="67" t="s">
        <v>1586</v>
      </c>
      <c r="I774" s="67" t="s">
        <v>377</v>
      </c>
      <c r="J774" s="67" t="str">
        <f>INDEX(数据元说明!A:F,MATCH(I774,数据元说明!C:C,0),2)</f>
        <v>001012</v>
      </c>
      <c r="K774" s="68" t="str">
        <f>INDEX(数据元说明!A:F,MATCH(I774,数据元说明!C:C,0),5)</f>
        <v>银行内部机构号。应具有标识机构的唯一性。</v>
      </c>
      <c r="L774" s="67" t="str">
        <f>INDEX(数据元说明!A:F,MATCH(I774,数据元说明!C:C,0),6)</f>
        <v>C..30</v>
      </c>
      <c r="M774" s="68" t="s">
        <v>1820</v>
      </c>
      <c r="N774" s="68" t="s">
        <v>1601</v>
      </c>
      <c r="O774" s="68"/>
      <c r="P774" s="68" t="s">
        <v>1634</v>
      </c>
    </row>
    <row r="775" ht="39.95" hidden="1" customHeight="1" outlineLevel="1" spans="1:16">
      <c r="A775" s="70"/>
      <c r="B775" s="71"/>
      <c r="C775" s="59" t="s">
        <v>161</v>
      </c>
      <c r="D775" s="59" t="s">
        <v>2466</v>
      </c>
      <c r="E775" s="65">
        <v>505</v>
      </c>
      <c r="F775" s="67" t="s">
        <v>2257</v>
      </c>
      <c r="G775" s="65">
        <v>50503</v>
      </c>
      <c r="H775" s="67" t="s">
        <v>2258</v>
      </c>
      <c r="I775" s="67" t="s">
        <v>683</v>
      </c>
      <c r="J775" s="67" t="str">
        <f>INDEX(数据元说明!A:F,MATCH(I775,数据元说明!C:C,0),2)</f>
        <v>003020</v>
      </c>
      <c r="K775" s="68" t="str">
        <f>INDEX(数据元说明!A:F,MATCH(I775,数据元说明!C:C,0),5)</f>
        <v>合同号。</v>
      </c>
      <c r="L775" s="67" t="str">
        <f>INDEX(数据元说明!A:F,MATCH(I775,数据元说明!C:C,0),6)</f>
        <v>C..100</v>
      </c>
      <c r="M775" s="68" t="s">
        <v>2259</v>
      </c>
      <c r="N775" s="68"/>
      <c r="O775" s="68"/>
      <c r="P775" s="68"/>
    </row>
    <row r="776" ht="39.95" hidden="1" customHeight="1" outlineLevel="1" spans="1:16">
      <c r="A776" s="70"/>
      <c r="B776" s="71"/>
      <c r="C776" s="59" t="s">
        <v>161</v>
      </c>
      <c r="D776" s="59" t="s">
        <v>2466</v>
      </c>
      <c r="E776" s="65">
        <v>505</v>
      </c>
      <c r="F776" s="67" t="s">
        <v>2260</v>
      </c>
      <c r="G776" s="65">
        <v>50504</v>
      </c>
      <c r="H776" s="67" t="s">
        <v>2261</v>
      </c>
      <c r="I776" s="67" t="s">
        <v>678</v>
      </c>
      <c r="J776" s="67" t="str">
        <f>INDEX(数据元说明!A:F,MATCH(I776,数据元说明!C:C,0),2)</f>
        <v>003019</v>
      </c>
      <c r="K776" s="68" t="str">
        <f>INDEX(数据元说明!A:F,MATCH(I776,数据元说明!C:C,0),5)</f>
        <v>借据统一编号。</v>
      </c>
      <c r="L776" s="67" t="str">
        <f>INDEX(数据元说明!A:F,MATCH(I776,数据元说明!C:C,0),6)</f>
        <v>C..100</v>
      </c>
      <c r="M776" s="68" t="s">
        <v>2468</v>
      </c>
      <c r="N776" s="68" t="s">
        <v>1601</v>
      </c>
      <c r="O776" s="68"/>
      <c r="P776" s="68" t="s">
        <v>1634</v>
      </c>
    </row>
    <row r="777" ht="39.95" hidden="1" customHeight="1" outlineLevel="1" spans="1:16">
      <c r="A777" s="63"/>
      <c r="B777" s="64"/>
      <c r="C777" s="59" t="s">
        <v>161</v>
      </c>
      <c r="D777" s="59" t="s">
        <v>2466</v>
      </c>
      <c r="E777" s="65">
        <v>505</v>
      </c>
      <c r="F777" s="67" t="s">
        <v>642</v>
      </c>
      <c r="G777" s="65">
        <v>50505</v>
      </c>
      <c r="H777" s="67" t="s">
        <v>1914</v>
      </c>
      <c r="I777" s="67" t="s">
        <v>642</v>
      </c>
      <c r="J777" s="67" t="str">
        <f>INDEX(数据元说明!A:F,MATCH(I777,数据元说明!C:C,0),2)</f>
        <v>003010</v>
      </c>
      <c r="K777" s="68" t="str">
        <f>INDEX(数据元说明!A:F,MATCH(I777,数据元说明!C:C,0),5)</f>
        <v>遵循《GB/T 12406 表示货币和资金的代码》的字母代码，如CNY。上述文件所列币种无法涵盖的，允许银行自定义填报。多个币种合计折算为人民币（本外币合计）的，填报为BWB。</v>
      </c>
      <c r="L777" s="67" t="str">
        <f>INDEX(数据元说明!A:F,MATCH(I777,数据元说明!C:C,0),6)</f>
        <v>C3</v>
      </c>
      <c r="M777" s="68"/>
      <c r="N777" s="68" t="s">
        <v>1601</v>
      </c>
      <c r="O777" s="68"/>
      <c r="P777" s="68"/>
    </row>
    <row r="778" ht="39.95" hidden="1" customHeight="1" outlineLevel="1" spans="1:16">
      <c r="A778" s="70"/>
      <c r="B778" s="71"/>
      <c r="C778" s="59" t="s">
        <v>161</v>
      </c>
      <c r="D778" s="59" t="s">
        <v>2466</v>
      </c>
      <c r="E778" s="65">
        <v>505</v>
      </c>
      <c r="F778" s="67" t="s">
        <v>2266</v>
      </c>
      <c r="G778" s="65">
        <v>50506</v>
      </c>
      <c r="H778" s="67" t="s">
        <v>2267</v>
      </c>
      <c r="I778" s="67" t="s">
        <v>634</v>
      </c>
      <c r="J778" s="67" t="str">
        <f>INDEX(数据元说明!A:F,MATCH(I778,数据元说明!C:C,0),2)</f>
        <v>003008</v>
      </c>
      <c r="K778" s="68" t="str">
        <f>INDEX(数据元说明!A:F,MATCH(I778,数据元说明!C:C,0),5)</f>
        <v>与币种相对应金额。</v>
      </c>
      <c r="L778" s="67" t="str">
        <f>INDEX(数据元说明!A:F,MATCH(I778,数据元说明!C:C,0),6)</f>
        <v>D20.2</v>
      </c>
      <c r="M778" s="68" t="s">
        <v>2268</v>
      </c>
      <c r="N778" s="68" t="s">
        <v>1601</v>
      </c>
      <c r="O778" s="68"/>
      <c r="P778" s="68"/>
    </row>
    <row r="779" ht="39.95" hidden="1" customHeight="1" outlineLevel="1" spans="1:16">
      <c r="A779" s="70"/>
      <c r="B779" s="71"/>
      <c r="C779" s="59" t="s">
        <v>161</v>
      </c>
      <c r="D779" s="59" t="s">
        <v>2466</v>
      </c>
      <c r="E779" s="65">
        <v>505</v>
      </c>
      <c r="F779" s="67" t="s">
        <v>2469</v>
      </c>
      <c r="G779" s="65">
        <v>50507</v>
      </c>
      <c r="H779" s="67" t="s">
        <v>2470</v>
      </c>
      <c r="I779" s="67" t="s">
        <v>634</v>
      </c>
      <c r="J779" s="67" t="str">
        <f>INDEX(数据元说明!A:F,MATCH(I779,数据元说明!C:C,0),2)</f>
        <v>003008</v>
      </c>
      <c r="K779" s="68" t="str">
        <f>INDEX(数据元说明!A:F,MATCH(I779,数据元说明!C:C,0),5)</f>
        <v>与币种相对应金额。</v>
      </c>
      <c r="L779" s="67" t="str">
        <f>INDEX(数据元说明!A:F,MATCH(I779,数据元说明!C:C,0),6)</f>
        <v>D20.2</v>
      </c>
      <c r="M779" s="68" t="s">
        <v>2471</v>
      </c>
      <c r="N779" s="68" t="s">
        <v>1601</v>
      </c>
      <c r="O779" s="68"/>
      <c r="P779" s="68"/>
    </row>
    <row r="780" ht="39.95" hidden="1" customHeight="1" outlineLevel="1" spans="1:16">
      <c r="A780" s="70"/>
      <c r="B780" s="71"/>
      <c r="C780" s="59" t="s">
        <v>161</v>
      </c>
      <c r="D780" s="59" t="s">
        <v>2466</v>
      </c>
      <c r="E780" s="65">
        <v>505</v>
      </c>
      <c r="F780" s="67" t="s">
        <v>2472</v>
      </c>
      <c r="G780" s="65">
        <v>50508</v>
      </c>
      <c r="H780" s="67" t="s">
        <v>2473</v>
      </c>
      <c r="I780" s="67" t="s">
        <v>345</v>
      </c>
      <c r="J780" s="67" t="str">
        <f>INDEX(数据元说明!A:F,MATCH(I780,数据元说明!C:C,0),2)</f>
        <v>001005</v>
      </c>
      <c r="K780" s="68" t="str">
        <f>INDEX(数据元说明!A:F,MATCH(I780,数据元说明!C:C,0),5)</f>
        <v>YYYYMMDD，默认值99991231。</v>
      </c>
      <c r="L780" s="67" t="str">
        <f>INDEX(数据元说明!A:F,MATCH(I780,数据元说明!C:C,0),6)</f>
        <v>C8</v>
      </c>
      <c r="M780" s="68" t="s">
        <v>2474</v>
      </c>
      <c r="N780" s="68" t="s">
        <v>1601</v>
      </c>
      <c r="O780" s="68"/>
      <c r="P780" s="68"/>
    </row>
    <row r="781" ht="39.95" hidden="1" customHeight="1" outlineLevel="1" spans="1:16">
      <c r="A781" s="63"/>
      <c r="B781" s="64"/>
      <c r="C781" s="59" t="s">
        <v>161</v>
      </c>
      <c r="D781" s="59" t="s">
        <v>2466</v>
      </c>
      <c r="E781" s="65">
        <v>505</v>
      </c>
      <c r="F781" s="67" t="s">
        <v>2475</v>
      </c>
      <c r="G781" s="65">
        <v>50509</v>
      </c>
      <c r="H781" s="67" t="s">
        <v>2476</v>
      </c>
      <c r="I781" s="67" t="s">
        <v>704</v>
      </c>
      <c r="J781" s="67" t="str">
        <f>INDEX(数据元说明!A:F,MATCH(I781,数据元说明!C:C,0),2)</f>
        <v>003025</v>
      </c>
      <c r="K781" s="68" t="str">
        <f>INDEX(数据元说明!A:F,MATCH(I781,数据元说明!C:C,0),5)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781" s="67" t="str">
        <f>INDEX(数据元说明!A:F,MATCH(I781,数据元说明!C:C,0),6)</f>
        <v>C..60</v>
      </c>
      <c r="M781" s="68" t="s">
        <v>2477</v>
      </c>
      <c r="N781" s="68" t="s">
        <v>1601</v>
      </c>
      <c r="O781" s="68"/>
      <c r="P781" s="68"/>
    </row>
    <row r="782" ht="39.95" hidden="1" customHeight="1" outlineLevel="1" spans="1:16">
      <c r="A782" s="63"/>
      <c r="B782" s="64"/>
      <c r="C782" s="59" t="s">
        <v>161</v>
      </c>
      <c r="D782" s="59" t="s">
        <v>2466</v>
      </c>
      <c r="E782" s="65">
        <v>505</v>
      </c>
      <c r="F782" s="67" t="s">
        <v>2478</v>
      </c>
      <c r="G782" s="65">
        <v>50510</v>
      </c>
      <c r="H782" s="67" t="s">
        <v>2479</v>
      </c>
      <c r="I782" s="67" t="s">
        <v>646</v>
      </c>
      <c r="J782" s="67" t="str">
        <f>INDEX(数据元说明!A:F,MATCH(I782,数据元说明!C:C,0),2)</f>
        <v>003011</v>
      </c>
      <c r="K782" s="68" t="str">
        <f>INDEX(数据元说明!A:F,MATCH(I782,数据元说明!C:C,0),5)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782" s="67" t="str">
        <f>INDEX(数据元说明!A:F,MATCH(I782,数据元说明!C:C,0),6)</f>
        <v>C..450</v>
      </c>
      <c r="M782" s="68" t="s">
        <v>2480</v>
      </c>
      <c r="N782" s="68" t="s">
        <v>1601</v>
      </c>
      <c r="O782" s="68"/>
      <c r="P782" s="68"/>
    </row>
    <row r="783" ht="39.95" hidden="1" customHeight="1" outlineLevel="1" spans="1:16">
      <c r="A783" s="63"/>
      <c r="B783" s="64"/>
      <c r="C783" s="59" t="s">
        <v>161</v>
      </c>
      <c r="D783" s="59" t="s">
        <v>2466</v>
      </c>
      <c r="E783" s="65">
        <v>505</v>
      </c>
      <c r="F783" s="67" t="s">
        <v>2481</v>
      </c>
      <c r="G783" s="65">
        <v>50511</v>
      </c>
      <c r="H783" s="67" t="s">
        <v>2482</v>
      </c>
      <c r="I783" s="67" t="s">
        <v>369</v>
      </c>
      <c r="J783" s="67" t="str">
        <f>INDEX(数据元说明!A:F,MATCH(I783,数据元说明!C:C,0),2)</f>
        <v>001010</v>
      </c>
      <c r="K783" s="68" t="str">
        <f>INDEX(数据元说明!A:F,MATCH(I783,数据元说明!C:C,0),5)</f>
        <v>12位人行支付行号或SWIFT行号。</v>
      </c>
      <c r="L783" s="67" t="str">
        <f>INDEX(数据元说明!A:F,MATCH(I783,数据元说明!C:C,0),6)</f>
        <v>C..30</v>
      </c>
      <c r="M783" s="68" t="s">
        <v>2483</v>
      </c>
      <c r="N783" s="68" t="s">
        <v>1601</v>
      </c>
      <c r="O783" s="68"/>
      <c r="P783" s="68"/>
    </row>
    <row r="784" ht="39.95" hidden="1" customHeight="1" outlineLevel="1" spans="1:16">
      <c r="A784" s="63"/>
      <c r="B784" s="64"/>
      <c r="C784" s="59" t="s">
        <v>161</v>
      </c>
      <c r="D784" s="59" t="s">
        <v>2466</v>
      </c>
      <c r="E784" s="65">
        <v>505</v>
      </c>
      <c r="F784" s="67" t="s">
        <v>2484</v>
      </c>
      <c r="G784" s="65">
        <v>50512</v>
      </c>
      <c r="H784" s="67" t="s">
        <v>2485</v>
      </c>
      <c r="I784" s="67" t="s">
        <v>325</v>
      </c>
      <c r="J784" s="67" t="str">
        <f>INDEX(数据元说明!A:F,MATCH(I784,数据元说明!C:C,0),2)</f>
        <v>001001</v>
      </c>
      <c r="K784" s="68" t="str">
        <f>INDEX(数据元说明!A:F,MATCH(I784,数据元说明!C:C,0),5)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84" s="67" t="str">
        <f>INDEX(数据元说明!A:F,MATCH(I784,数据元说明!C:C,0),6)</f>
        <v>C..450</v>
      </c>
      <c r="M784" s="68" t="s">
        <v>2486</v>
      </c>
      <c r="N784" s="68" t="s">
        <v>1601</v>
      </c>
      <c r="O784" s="68"/>
      <c r="P784" s="68"/>
    </row>
    <row r="785" ht="39.95" hidden="1" customHeight="1" outlineLevel="1" spans="1:16">
      <c r="A785" s="63"/>
      <c r="B785" s="64"/>
      <c r="C785" s="59" t="s">
        <v>161</v>
      </c>
      <c r="D785" s="59" t="s">
        <v>2466</v>
      </c>
      <c r="E785" s="65">
        <v>505</v>
      </c>
      <c r="F785" s="67" t="s">
        <v>484</v>
      </c>
      <c r="G785" s="65">
        <v>50513</v>
      </c>
      <c r="H785" s="67" t="s">
        <v>1623</v>
      </c>
      <c r="I785" s="67" t="s">
        <v>484</v>
      </c>
      <c r="J785" s="67" t="str">
        <f>INDEX(数据元说明!A:F,MATCH(I785,数据元说明!C:C,0),2)</f>
        <v>001038</v>
      </c>
      <c r="K785" s="68" t="str">
        <f>INDEX(数据元说明!A:F,MATCH(I785,数据元说明!C:C,0),5)</f>
        <v>银行自定义。</v>
      </c>
      <c r="L785" s="67" t="str">
        <f>INDEX(数据元说明!A:F,MATCH(I785,数据元说明!C:C,0),6)</f>
        <v>C..600</v>
      </c>
      <c r="M785" s="68" t="s">
        <v>1624</v>
      </c>
      <c r="N785" s="68" t="s">
        <v>1601</v>
      </c>
      <c r="O785" s="68"/>
      <c r="P785" s="68"/>
    </row>
    <row r="786" ht="39.95" hidden="1" customHeight="1" outlineLevel="1" spans="1:16">
      <c r="A786" s="63"/>
      <c r="B786" s="64"/>
      <c r="C786" s="59" t="s">
        <v>161</v>
      </c>
      <c r="D786" s="59" t="s">
        <v>2466</v>
      </c>
      <c r="E786" s="65">
        <v>505</v>
      </c>
      <c r="F786" s="67" t="s">
        <v>1625</v>
      </c>
      <c r="G786" s="65">
        <v>50514</v>
      </c>
      <c r="H786" s="67" t="s">
        <v>1626</v>
      </c>
      <c r="I786" s="67" t="s">
        <v>345</v>
      </c>
      <c r="J786" s="67" t="str">
        <f>INDEX(数据元说明!A:F,MATCH(I786,数据元说明!C:C,0),2)</f>
        <v>001005</v>
      </c>
      <c r="K786" s="68" t="str">
        <f>INDEX(数据元说明!A:F,MATCH(I786,数据元说明!C:C,0),5)</f>
        <v>YYYYMMDD，默认值99991231。</v>
      </c>
      <c r="L786" s="67" t="str">
        <f>INDEX(数据元说明!A:F,MATCH(I786,数据元说明!C:C,0),6)</f>
        <v>C8</v>
      </c>
      <c r="M786" s="68" t="s">
        <v>1627</v>
      </c>
      <c r="N786" s="68" t="s">
        <v>1601</v>
      </c>
      <c r="O786" s="68"/>
      <c r="P786" s="68"/>
    </row>
    <row r="787" ht="39.95" hidden="1" customHeight="1" collapsed="1" spans="1:16">
      <c r="A787" s="63"/>
      <c r="B787" s="64"/>
      <c r="C787" s="59" t="s">
        <v>165</v>
      </c>
      <c r="D787" s="59" t="s">
        <v>2487</v>
      </c>
      <c r="E787" s="65">
        <v>506</v>
      </c>
      <c r="F787" s="67"/>
      <c r="G787" s="65"/>
      <c r="H787" s="67"/>
      <c r="I787" s="67"/>
      <c r="J787" s="67"/>
      <c r="K787" s="68"/>
      <c r="L787" s="67"/>
      <c r="M787" s="68" t="str">
        <f>INDEX(表结构总览!D:G,MATCH(D787,表结构总览!D:D,0),4)</f>
        <v>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v>
      </c>
      <c r="N787" s="68" t="s">
        <v>1583</v>
      </c>
      <c r="O787" s="68" t="s">
        <v>484</v>
      </c>
      <c r="P787" s="68"/>
    </row>
    <row r="788" ht="39.95" hidden="1" customHeight="1" outlineLevel="1" spans="1:16">
      <c r="A788" s="63"/>
      <c r="B788" s="64"/>
      <c r="C788" s="59" t="s">
        <v>165</v>
      </c>
      <c r="D788" s="59" t="s">
        <v>2487</v>
      </c>
      <c r="E788" s="65">
        <v>506</v>
      </c>
      <c r="F788" s="67" t="s">
        <v>373</v>
      </c>
      <c r="G788" s="65">
        <v>50601</v>
      </c>
      <c r="H788" s="67" t="s">
        <v>1588</v>
      </c>
      <c r="I788" s="67" t="s">
        <v>373</v>
      </c>
      <c r="J788" s="67" t="str">
        <f>INDEX(数据元说明!A:F,MATCH(I788,数据元说明!C:C,0),2)</f>
        <v>001011</v>
      </c>
      <c r="K788" s="68" t="str">
        <f>INDEX(数据元说明!A:F,MATCH(I788,数据元说明!C:C,0),5)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88" s="67" t="str">
        <f>INDEX(数据元说明!A:F,MATCH(I788,数据元说明!C:C,0),6)</f>
        <v>C..30</v>
      </c>
      <c r="M788" s="68" t="s">
        <v>2488</v>
      </c>
      <c r="N788" s="68"/>
      <c r="O788" s="68"/>
      <c r="P788" s="68"/>
    </row>
    <row r="789" ht="39.95" hidden="1" customHeight="1" outlineLevel="1" spans="1:16">
      <c r="A789" s="63"/>
      <c r="B789" s="64"/>
      <c r="C789" s="59" t="s">
        <v>165</v>
      </c>
      <c r="D789" s="59" t="s">
        <v>2487</v>
      </c>
      <c r="E789" s="65">
        <v>506</v>
      </c>
      <c r="F789" s="67" t="s">
        <v>377</v>
      </c>
      <c r="G789" s="65">
        <v>50602</v>
      </c>
      <c r="H789" s="67" t="s">
        <v>1586</v>
      </c>
      <c r="I789" s="67" t="s">
        <v>377</v>
      </c>
      <c r="J789" s="67" t="str">
        <f>INDEX(数据元说明!A:F,MATCH(I789,数据元说明!C:C,0),2)</f>
        <v>001012</v>
      </c>
      <c r="K789" s="68" t="str">
        <f>INDEX(数据元说明!A:F,MATCH(I789,数据元说明!C:C,0),5)</f>
        <v>银行内部机构号。应具有标识机构的唯一性。</v>
      </c>
      <c r="L789" s="67" t="str">
        <f>INDEX(数据元说明!A:F,MATCH(I789,数据元说明!C:C,0),6)</f>
        <v>C..30</v>
      </c>
      <c r="M789" s="68" t="s">
        <v>1820</v>
      </c>
      <c r="N789" s="68"/>
      <c r="O789" s="68"/>
      <c r="P789" s="68" t="s">
        <v>1634</v>
      </c>
    </row>
    <row r="790" ht="39.95" hidden="1" customHeight="1" outlineLevel="1" spans="1:16">
      <c r="A790" s="63"/>
      <c r="B790" s="64"/>
      <c r="C790" s="59" t="s">
        <v>165</v>
      </c>
      <c r="D790" s="59" t="s">
        <v>2487</v>
      </c>
      <c r="E790" s="65">
        <v>506</v>
      </c>
      <c r="F790" s="67" t="s">
        <v>1592</v>
      </c>
      <c r="G790" s="65">
        <v>50603</v>
      </c>
      <c r="H790" s="67" t="s">
        <v>1593</v>
      </c>
      <c r="I790" s="67" t="s">
        <v>325</v>
      </c>
      <c r="J790" s="67" t="str">
        <f>INDEX(数据元说明!A:F,MATCH(I790,数据元说明!C:C,0),2)</f>
        <v>001001</v>
      </c>
      <c r="K790" s="68" t="str">
        <f>INDEX(数据元说明!A:F,MATCH(I790,数据元说明!C:C,0),5)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790" s="67" t="str">
        <f>INDEX(数据元说明!A:F,MATCH(I790,数据元说明!C:C,0),6)</f>
        <v>C..450</v>
      </c>
      <c r="M790" s="68" t="s">
        <v>1631</v>
      </c>
      <c r="N790" s="68" t="s">
        <v>1583</v>
      </c>
      <c r="O790" s="68" t="s">
        <v>322</v>
      </c>
      <c r="P790" s="68" t="s">
        <v>1634</v>
      </c>
    </row>
    <row r="791" ht="39.95" hidden="1" customHeight="1" outlineLevel="1" spans="1:16">
      <c r="A791" s="63"/>
      <c r="B791" s="64"/>
      <c r="C791" s="59" t="s">
        <v>165</v>
      </c>
      <c r="D791" s="59" t="s">
        <v>2487</v>
      </c>
      <c r="E791" s="65">
        <v>506</v>
      </c>
      <c r="F791" s="67" t="s">
        <v>2257</v>
      </c>
      <c r="G791" s="65">
        <v>50604</v>
      </c>
      <c r="H791" s="67" t="s">
        <v>2258</v>
      </c>
      <c r="I791" s="67" t="s">
        <v>683</v>
      </c>
      <c r="J791" s="67" t="str">
        <f>INDEX(数据元说明!A:F,MATCH(I791,数据元说明!C:C,0),2)</f>
        <v>003020</v>
      </c>
      <c r="K791" s="68" t="str">
        <f>INDEX(数据元说明!A:F,MATCH(I791,数据元说明!C:C,0),5)</f>
        <v>合同号。</v>
      </c>
      <c r="L791" s="67" t="str">
        <f>INDEX(数据元说明!A:F,MATCH(I791,数据元说明!C:C,0),6)</f>
        <v>C..100</v>
      </c>
      <c r="M791" s="68" t="s">
        <v>2489</v>
      </c>
      <c r="N791" s="68" t="s">
        <v>1583</v>
      </c>
      <c r="O791" s="68" t="s">
        <v>484</v>
      </c>
      <c r="P791" s="68"/>
    </row>
    <row r="792" ht="39.95" hidden="1" customHeight="1" outlineLevel="1" spans="1:16">
      <c r="A792" s="70"/>
      <c r="B792" s="71"/>
      <c r="C792" s="59" t="s">
        <v>165</v>
      </c>
      <c r="D792" s="59" t="s">
        <v>2487</v>
      </c>
      <c r="E792" s="65">
        <v>506</v>
      </c>
      <c r="F792" s="67" t="s">
        <v>2260</v>
      </c>
      <c r="G792" s="65">
        <v>50605</v>
      </c>
      <c r="H792" s="67" t="s">
        <v>2261</v>
      </c>
      <c r="I792" s="67" t="s">
        <v>678</v>
      </c>
      <c r="J792" s="67" t="str">
        <f>INDEX(数据元说明!A:F,MATCH(I792,数据元说明!C:C,0),2)</f>
        <v>003019</v>
      </c>
      <c r="K792" s="68" t="str">
        <f>INDEX(数据元说明!A:F,MATCH(I792,数据元说明!C:C,0),5)</f>
        <v>借据统一编号。</v>
      </c>
      <c r="L792" s="67" t="str">
        <f>INDEX(数据元说明!A:F,MATCH(I792,数据元说明!C:C,0),6)</f>
        <v>C..100</v>
      </c>
      <c r="M792" s="68" t="s">
        <v>2490</v>
      </c>
      <c r="N792" s="68" t="s">
        <v>1601</v>
      </c>
      <c r="O792" s="68"/>
      <c r="P792" s="68"/>
    </row>
    <row r="793" ht="39.95" hidden="1" customHeight="1" outlineLevel="1" spans="1:16">
      <c r="A793" s="63"/>
      <c r="B793" s="64"/>
      <c r="C793" s="59" t="s">
        <v>165</v>
      </c>
      <c r="D793" s="59" t="s">
        <v>2487</v>
      </c>
      <c r="E793" s="65">
        <v>506</v>
      </c>
      <c r="F793" s="67" t="s">
        <v>778</v>
      </c>
      <c r="G793" s="65">
        <v>50606</v>
      </c>
      <c r="H793" s="67" t="s">
        <v>2491</v>
      </c>
      <c r="I793" s="67" t="s">
        <v>778</v>
      </c>
      <c r="J793" s="67" t="str">
        <f>INDEX(数据元说明!A:F,MATCH(I793,数据元说明!C:C,0),2)</f>
        <v>005009</v>
      </c>
      <c r="K793" s="68" t="str">
        <f>INDEX(数据元说明!A:F,MATCH(I793,数据元说明!C:C,0),5)</f>
        <v>基础设施建设项目，房地产项目，技术改造项目，科技开发项目，并购贷款，其他-银行自定义类型。如无法以枚举类型填报，则以“其他-XX”填报，其中“XX”为银行自定义类型。</v>
      </c>
      <c r="L793" s="67" t="str">
        <f>INDEX(数据元说明!A:F,MATCH(I793,数据元说明!C:C,0),6)</f>
        <v>C..60</v>
      </c>
      <c r="M793" s="68"/>
      <c r="N793" s="68" t="s">
        <v>1583</v>
      </c>
      <c r="O793" s="68" t="s">
        <v>321</v>
      </c>
      <c r="P793" s="68"/>
    </row>
    <row r="794" ht="39.95" hidden="1" customHeight="1" outlineLevel="1" spans="1:16">
      <c r="A794" s="63"/>
      <c r="B794" s="64"/>
      <c r="C794" s="59" t="s">
        <v>165</v>
      </c>
      <c r="D794" s="59" t="s">
        <v>2487</v>
      </c>
      <c r="E794" s="65">
        <v>506</v>
      </c>
      <c r="F794" s="67" t="s">
        <v>774</v>
      </c>
      <c r="G794" s="65">
        <v>50607</v>
      </c>
      <c r="H794" s="67" t="s">
        <v>2492</v>
      </c>
      <c r="I794" s="67" t="s">
        <v>774</v>
      </c>
      <c r="J794" s="67" t="str">
        <f>INDEX(数据元说明!A:F,MATCH(I794,数据元说明!C:C,0),2)</f>
        <v>005008</v>
      </c>
      <c r="K794" s="68" t="str">
        <f>INDEX(数据元说明!A:F,MATCH(I794,数据元说明!C:C,0),5)</f>
        <v>项目贷款对应的项目名称。</v>
      </c>
      <c r="L794" s="67" t="str">
        <f>INDEX(数据元说明!A:F,MATCH(I794,数据元说明!C:C,0),6)</f>
        <v>C..300</v>
      </c>
      <c r="M794" s="68"/>
      <c r="N794" s="68"/>
      <c r="O794" s="68"/>
      <c r="P794" s="68"/>
    </row>
    <row r="795" ht="39.95" hidden="1" customHeight="1" outlineLevel="1" spans="1:16">
      <c r="A795" s="70"/>
      <c r="B795" s="71"/>
      <c r="C795" s="59" t="s">
        <v>165</v>
      </c>
      <c r="D795" s="59" t="s">
        <v>2487</v>
      </c>
      <c r="E795" s="65">
        <v>506</v>
      </c>
      <c r="F795" s="67" t="s">
        <v>642</v>
      </c>
      <c r="G795" s="65">
        <v>50608</v>
      </c>
      <c r="H795" s="67" t="s">
        <v>1914</v>
      </c>
      <c r="I795" s="67" t="s">
        <v>642</v>
      </c>
      <c r="J795" s="67" t="str">
        <f>INDEX(数据元说明!A:F,MATCH(I795,数据元说明!C:C,0),2)</f>
        <v>003010</v>
      </c>
      <c r="K795" s="68" t="str">
        <f>INDEX(数据元说明!A:F,MATCH(I795,数据元说明!C:C,0),5)</f>
        <v>遵循《GB/T 12406 表示货币和资金的代码》的字母代码，如CNY。上述文件所列币种无法涵盖的，允许银行自定义填报。多个币种合计折算为人民币（本外币合计）的，填报为BWB。</v>
      </c>
      <c r="L795" s="67" t="str">
        <f>INDEX(数据元说明!A:F,MATCH(I795,数据元说明!C:C,0),6)</f>
        <v>C3</v>
      </c>
      <c r="M795" s="68"/>
      <c r="N795" s="68" t="s">
        <v>1583</v>
      </c>
      <c r="O795" s="68"/>
      <c r="P795" s="68" t="s">
        <v>1634</v>
      </c>
    </row>
    <row r="796" ht="39.95" hidden="1" customHeight="1" outlineLevel="1" spans="1:16">
      <c r="A796" s="70"/>
      <c r="B796" s="71"/>
      <c r="C796" s="59" t="s">
        <v>165</v>
      </c>
      <c r="D796" s="59" t="s">
        <v>2487</v>
      </c>
      <c r="E796" s="65">
        <v>506</v>
      </c>
      <c r="F796" s="67" t="s">
        <v>2266</v>
      </c>
      <c r="G796" s="65">
        <v>50609</v>
      </c>
      <c r="H796" s="67" t="s">
        <v>2267</v>
      </c>
      <c r="I796" s="67" t="s">
        <v>634</v>
      </c>
      <c r="J796" s="67" t="str">
        <f>INDEX(数据元说明!A:F,MATCH(I796,数据元说明!C:C,0),2)</f>
        <v>003008</v>
      </c>
      <c r="K796" s="68" t="str">
        <f>INDEX(数据元说明!A:F,MATCH(I796,数据元说明!C:C,0),5)</f>
        <v>与币种相对应金额。</v>
      </c>
      <c r="L796" s="67" t="str">
        <f>INDEX(数据元说明!A:F,MATCH(I796,数据元说明!C:C,0),6)</f>
        <v>D20.2</v>
      </c>
      <c r="M796" s="68" t="s">
        <v>2493</v>
      </c>
      <c r="N796" s="68" t="s">
        <v>1583</v>
      </c>
      <c r="O796" s="68" t="s">
        <v>1745</v>
      </c>
      <c r="P796" s="68"/>
    </row>
    <row r="797" ht="39.95" hidden="1" customHeight="1" outlineLevel="1" spans="1:16">
      <c r="A797" s="70"/>
      <c r="B797" s="71"/>
      <c r="C797" s="59" t="s">
        <v>165</v>
      </c>
      <c r="D797" s="59" t="s">
        <v>2487</v>
      </c>
      <c r="E797" s="65">
        <v>506</v>
      </c>
      <c r="F797" s="67" t="s">
        <v>2269</v>
      </c>
      <c r="G797" s="65">
        <v>50610</v>
      </c>
      <c r="H797" s="67" t="s">
        <v>2270</v>
      </c>
      <c r="I797" s="67" t="s">
        <v>638</v>
      </c>
      <c r="J797" s="67" t="str">
        <f>INDEX(数据元说明!A:F,MATCH(I797,数据元说明!C:C,0),2)</f>
        <v>003009</v>
      </c>
      <c r="K797" s="68" t="str">
        <f>INDEX(数据元说明!A:F,MATCH(I797,数据元说明!C:C,0),5)</f>
        <v>与币种相对应金额。(以正数填列。如信贷分户账，某客户初次获得贷款1万元，此时余额为10000；如活期存款明细，某客户初次开户存入10000元，此时余额为10000）</v>
      </c>
      <c r="L797" s="67" t="str">
        <f>INDEX(数据元说明!A:F,MATCH(I797,数据元说明!C:C,0),6)</f>
        <v>D20.2</v>
      </c>
      <c r="M797" s="68" t="s">
        <v>2271</v>
      </c>
      <c r="N797" s="68" t="s">
        <v>1601</v>
      </c>
      <c r="O797" s="68"/>
      <c r="P797" s="68"/>
    </row>
    <row r="798" ht="39.95" hidden="1" customHeight="1" outlineLevel="1" spans="1:16">
      <c r="A798" s="63"/>
      <c r="B798" s="64"/>
      <c r="C798" s="59" t="s">
        <v>165</v>
      </c>
      <c r="D798" s="59" t="s">
        <v>2487</v>
      </c>
      <c r="E798" s="65">
        <v>506</v>
      </c>
      <c r="F798" s="67" t="s">
        <v>2494</v>
      </c>
      <c r="G798" s="65">
        <v>50611</v>
      </c>
      <c r="H798" s="67" t="s">
        <v>2495</v>
      </c>
      <c r="I798" s="67" t="s">
        <v>330</v>
      </c>
      <c r="J798" s="67" t="str">
        <f>INDEX(数据元说明!A:F,MATCH(I798,数据元说明!C:C,0),2)</f>
        <v>001002</v>
      </c>
      <c r="K798" s="68" t="str">
        <f>INDEX(数据元说明!A:F,MATCH(I798,数据元说明!C:C,0),5)</f>
        <v>是，否。</v>
      </c>
      <c r="L798" s="67" t="str">
        <f>INDEX(数据元说明!A:F,MATCH(I798,数据元说明!C:C,0),6)</f>
        <v>C3</v>
      </c>
      <c r="M798" s="68"/>
      <c r="N798" s="68"/>
      <c r="O798" s="68"/>
      <c r="P798" s="68"/>
    </row>
    <row r="799" ht="39.95" hidden="1" customHeight="1" outlineLevel="1" spans="1:16">
      <c r="A799" s="70"/>
      <c r="B799" s="71"/>
      <c r="C799" s="59" t="s">
        <v>165</v>
      </c>
      <c r="D799" s="59" t="s">
        <v>2487</v>
      </c>
      <c r="E799" s="65">
        <v>506</v>
      </c>
      <c r="F799" s="67" t="s">
        <v>2496</v>
      </c>
      <c r="G799" s="65">
        <v>50612</v>
      </c>
      <c r="H799" s="67" t="s">
        <v>2497</v>
      </c>
      <c r="I799" s="67" t="s">
        <v>488</v>
      </c>
      <c r="J799" s="67" t="str">
        <f>INDEX(数据元说明!A:F,MATCH(I799,数据元说明!C:C,0),2)</f>
        <v>002001</v>
      </c>
      <c r="K799" s="68" t="str">
        <f>INDEX(数据元说明!A:F,MATCH(I799,数据元说明!C:C,0),5)</f>
        <v>银行自定义的唯一识别客户的标识。供应链融资的填写供应链融资编码。</v>
      </c>
      <c r="L799" s="67" t="str">
        <f>INDEX(数据元说明!A:F,MATCH(I799,数据元说明!C:C,0),6)</f>
        <v>C..60</v>
      </c>
      <c r="M799" s="68" t="s">
        <v>2213</v>
      </c>
      <c r="N799" s="68" t="s">
        <v>1583</v>
      </c>
      <c r="O799" s="68"/>
      <c r="P799" s="68" t="s">
        <v>1634</v>
      </c>
    </row>
    <row r="800" ht="39.95" hidden="1" customHeight="1" outlineLevel="1" spans="1:16">
      <c r="A800" s="63"/>
      <c r="B800" s="64"/>
      <c r="C800" s="59" t="s">
        <v>165</v>
      </c>
      <c r="D800" s="59" t="s">
        <v>2487</v>
      </c>
      <c r="E800" s="65">
        <v>506</v>
      </c>
      <c r="F800" s="67" t="s">
        <v>2498</v>
      </c>
      <c r="G800" s="65">
        <v>50613</v>
      </c>
      <c r="H800" s="67" t="s">
        <v>2499</v>
      </c>
      <c r="I800" s="67" t="s">
        <v>325</v>
      </c>
      <c r="J800" s="67" t="str">
        <f>INDEX(数据元说明!A:F,MATCH(I800,数据元说明!C:C,0),2)</f>
        <v>001001</v>
      </c>
      <c r="K800" s="68" t="str">
        <f>INDEX(数据元说明!A:F,MATCH(I800,数据元说明!C:C,0),5)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00" s="67" t="str">
        <f>INDEX(数据元说明!A:F,MATCH(I800,数据元说明!C:C,0),6)</f>
        <v>C..450</v>
      </c>
      <c r="M800" s="68" t="s">
        <v>1644</v>
      </c>
      <c r="N800" s="68" t="s">
        <v>1583</v>
      </c>
      <c r="O800" s="68" t="s">
        <v>1660</v>
      </c>
      <c r="P800" s="68"/>
    </row>
    <row r="801" ht="39.95" hidden="1" customHeight="1" outlineLevel="1" spans="1:16">
      <c r="A801" s="70"/>
      <c r="B801" s="71"/>
      <c r="C801" s="59" t="s">
        <v>165</v>
      </c>
      <c r="D801" s="59" t="s">
        <v>2487</v>
      </c>
      <c r="E801" s="65">
        <v>506</v>
      </c>
      <c r="F801" s="67" t="s">
        <v>2500</v>
      </c>
      <c r="G801" s="65">
        <v>50614</v>
      </c>
      <c r="H801" s="67" t="s">
        <v>2501</v>
      </c>
      <c r="I801" s="67" t="s">
        <v>634</v>
      </c>
      <c r="J801" s="67" t="str">
        <f>INDEX(数据元说明!A:F,MATCH(I801,数据元说明!C:C,0),2)</f>
        <v>003008</v>
      </c>
      <c r="K801" s="68" t="str">
        <f>INDEX(数据元说明!A:F,MATCH(I801,数据元说明!C:C,0),5)</f>
        <v>与币种相对应金额。</v>
      </c>
      <c r="L801" s="67" t="str">
        <f>INDEX(数据元说明!A:F,MATCH(I801,数据元说明!C:C,0),6)</f>
        <v>D20.2</v>
      </c>
      <c r="M801" s="68"/>
      <c r="N801" s="68"/>
      <c r="O801" s="68"/>
      <c r="P801" s="68"/>
    </row>
    <row r="802" ht="39.95" hidden="1" customHeight="1" outlineLevel="1" spans="1:16">
      <c r="A802" s="70"/>
      <c r="B802" s="71"/>
      <c r="C802" s="59" t="s">
        <v>165</v>
      </c>
      <c r="D802" s="59" t="s">
        <v>2487</v>
      </c>
      <c r="E802" s="65">
        <v>506</v>
      </c>
      <c r="F802" s="67" t="s">
        <v>2502</v>
      </c>
      <c r="G802" s="65">
        <v>50615</v>
      </c>
      <c r="H802" s="67" t="s">
        <v>2503</v>
      </c>
      <c r="I802" s="67" t="s">
        <v>634</v>
      </c>
      <c r="J802" s="67" t="str">
        <f>INDEX(数据元说明!A:F,MATCH(I802,数据元说明!C:C,0),2)</f>
        <v>003008</v>
      </c>
      <c r="K802" s="68" t="str">
        <f>INDEX(数据元说明!A:F,MATCH(I802,数据元说明!C:C,0),5)</f>
        <v>与币种相对应金额。</v>
      </c>
      <c r="L802" s="67" t="str">
        <f>INDEX(数据元说明!A:F,MATCH(I802,数据元说明!C:C,0),6)</f>
        <v>D20.2</v>
      </c>
      <c r="M802" s="68"/>
      <c r="N802" s="68"/>
      <c r="O802" s="68"/>
      <c r="P802" s="68"/>
    </row>
    <row r="803" ht="39.95" hidden="1" customHeight="1" outlineLevel="1" spans="1:16">
      <c r="A803" s="70"/>
      <c r="B803" s="71"/>
      <c r="C803" s="59" t="s">
        <v>165</v>
      </c>
      <c r="D803" s="59" t="s">
        <v>2487</v>
      </c>
      <c r="E803" s="65">
        <v>506</v>
      </c>
      <c r="F803" s="67" t="s">
        <v>782</v>
      </c>
      <c r="G803" s="65">
        <v>50616</v>
      </c>
      <c r="H803" s="67" t="s">
        <v>2504</v>
      </c>
      <c r="I803" s="67" t="s">
        <v>782</v>
      </c>
      <c r="J803" s="67" t="str">
        <f>INDEX(数据元说明!A:F,MATCH(I803,数据元说明!C:C,0),2)</f>
        <v>005010</v>
      </c>
      <c r="K803" s="68" t="str">
        <f>INDEX(数据元说明!A:F,MATCH(I803,数据元说明!C:C,0),5)</f>
        <v>银行自定义。</v>
      </c>
      <c r="L803" s="67" t="str">
        <f>INDEX(数据元说明!A:F,MATCH(I803,数据元说明!C:C,0),6)</f>
        <v>C..60 </v>
      </c>
      <c r="M803" s="68" t="s">
        <v>2505</v>
      </c>
      <c r="N803" s="68" t="s">
        <v>1583</v>
      </c>
      <c r="O803" s="68" t="s">
        <v>484</v>
      </c>
      <c r="P803" s="68"/>
    </row>
    <row r="804" ht="39.95" hidden="1" customHeight="1" outlineLevel="1" spans="1:16">
      <c r="A804" s="70"/>
      <c r="B804" s="71"/>
      <c r="C804" s="59" t="s">
        <v>165</v>
      </c>
      <c r="D804" s="59" t="s">
        <v>2487</v>
      </c>
      <c r="E804" s="65">
        <v>506</v>
      </c>
      <c r="F804" s="67" t="s">
        <v>786</v>
      </c>
      <c r="G804" s="65">
        <v>50617</v>
      </c>
      <c r="H804" s="67" t="s">
        <v>2506</v>
      </c>
      <c r="I804" s="67" t="s">
        <v>786</v>
      </c>
      <c r="J804" s="67" t="str">
        <f>INDEX(数据元说明!A:F,MATCH(I804,数据元说明!C:C,0),2)</f>
        <v>005011</v>
      </c>
      <c r="K804" s="68" t="str">
        <f>INDEX(数据元说明!A:F,MATCH(I804,数据元说明!C:C,0),5)</f>
        <v>批文名称，可银行自定义。</v>
      </c>
      <c r="L804" s="67" t="str">
        <f>INDEX(数据元说明!A:F,MATCH(I804,数据元说明!C:C,0),6)</f>
        <v>C..60 </v>
      </c>
      <c r="M804" s="68" t="s">
        <v>2507</v>
      </c>
      <c r="N804" s="68" t="s">
        <v>1583</v>
      </c>
      <c r="O804" s="68" t="s">
        <v>484</v>
      </c>
      <c r="P804" s="68"/>
    </row>
    <row r="805" ht="39.95" hidden="1" customHeight="1" outlineLevel="1" spans="1:16">
      <c r="A805" s="70"/>
      <c r="B805" s="71"/>
      <c r="C805" s="59" t="s">
        <v>165</v>
      </c>
      <c r="D805" s="59" t="s">
        <v>2487</v>
      </c>
      <c r="E805" s="65">
        <v>506</v>
      </c>
      <c r="F805" s="67" t="s">
        <v>2508</v>
      </c>
      <c r="G805" s="65">
        <v>50618</v>
      </c>
      <c r="H805" s="67" t="s">
        <v>2509</v>
      </c>
      <c r="I805" s="67" t="s">
        <v>790</v>
      </c>
      <c r="J805" s="67" t="str">
        <f>INDEX(数据元说明!A:F,MATCH(I805,数据元说明!C:C,0),2)</f>
        <v>005012</v>
      </c>
      <c r="K805" s="68" t="str">
        <f>INDEX(数据元说明!A:F,MATCH(I805,数据元说明!C:C,0),5)</f>
        <v>银行自定义。</v>
      </c>
      <c r="L805" s="67" t="str">
        <f>INDEX(数据元说明!A:F,MATCH(I805,数据元说明!C:C,0),6)</f>
        <v>C..60 </v>
      </c>
      <c r="M805" s="68" t="s">
        <v>2510</v>
      </c>
      <c r="N805" s="68" t="s">
        <v>1601</v>
      </c>
      <c r="O805" s="68"/>
      <c r="P805" s="68"/>
    </row>
    <row r="806" ht="39.95" hidden="1" customHeight="1" outlineLevel="1" spans="1:16">
      <c r="A806" s="70"/>
      <c r="B806" s="71"/>
      <c r="C806" s="59" t="s">
        <v>165</v>
      </c>
      <c r="D806" s="59" t="s">
        <v>2487</v>
      </c>
      <c r="E806" s="65">
        <v>506</v>
      </c>
      <c r="F806" s="67" t="s">
        <v>2511</v>
      </c>
      <c r="G806" s="65">
        <v>50619</v>
      </c>
      <c r="H806" s="67" t="s">
        <v>2512</v>
      </c>
      <c r="I806" s="67" t="s">
        <v>345</v>
      </c>
      <c r="J806" s="67" t="str">
        <f>INDEX(数据元说明!A:F,MATCH(I806,数据元说明!C:C,0),2)</f>
        <v>001005</v>
      </c>
      <c r="K806" s="68" t="str">
        <f>INDEX(数据元说明!A:F,MATCH(I806,数据元说明!C:C,0),5)</f>
        <v>YYYYMMDD，默认值99991231。</v>
      </c>
      <c r="L806" s="67" t="str">
        <f>INDEX(数据元说明!A:F,MATCH(I806,数据元说明!C:C,0),6)</f>
        <v>C8</v>
      </c>
      <c r="M806" s="68" t="s">
        <v>2513</v>
      </c>
      <c r="N806" s="68" t="s">
        <v>1601</v>
      </c>
      <c r="O806" s="68"/>
      <c r="P806" s="68"/>
    </row>
    <row r="807" ht="39.95" hidden="1" customHeight="1" outlineLevel="1" spans="1:16">
      <c r="A807" s="70"/>
      <c r="B807" s="71"/>
      <c r="C807" s="59" t="s">
        <v>165</v>
      </c>
      <c r="D807" s="59" t="s">
        <v>2487</v>
      </c>
      <c r="E807" s="65">
        <v>506</v>
      </c>
      <c r="F807" s="67" t="s">
        <v>2514</v>
      </c>
      <c r="G807" s="65">
        <v>50620</v>
      </c>
      <c r="H807" s="67" t="s">
        <v>2515</v>
      </c>
      <c r="I807" s="67" t="s">
        <v>790</v>
      </c>
      <c r="J807" s="67" t="str">
        <f>INDEX(数据元说明!A:F,MATCH(I807,数据元说明!C:C,0),2)</f>
        <v>005012</v>
      </c>
      <c r="K807" s="68" t="str">
        <f>INDEX(数据元说明!A:F,MATCH(I807,数据元说明!C:C,0),5)</f>
        <v>银行自定义。</v>
      </c>
      <c r="L807" s="67" t="str">
        <f>INDEX(数据元说明!A:F,MATCH(I807,数据元说明!C:C,0),6)</f>
        <v>C..60 </v>
      </c>
      <c r="M807" s="68" t="s">
        <v>2510</v>
      </c>
      <c r="N807" s="68" t="s">
        <v>1583</v>
      </c>
      <c r="O807" s="68" t="s">
        <v>484</v>
      </c>
      <c r="P807" s="68"/>
    </row>
    <row r="808" ht="39.95" hidden="1" customHeight="1" outlineLevel="1" spans="1:16">
      <c r="A808" s="70"/>
      <c r="B808" s="71"/>
      <c r="C808" s="59" t="s">
        <v>165</v>
      </c>
      <c r="D808" s="59" t="s">
        <v>2487</v>
      </c>
      <c r="E808" s="65">
        <v>506</v>
      </c>
      <c r="F808" s="67" t="s">
        <v>2516</v>
      </c>
      <c r="G808" s="65">
        <v>50621</v>
      </c>
      <c r="H808" s="67" t="s">
        <v>2517</v>
      </c>
      <c r="I808" s="67" t="s">
        <v>345</v>
      </c>
      <c r="J808" s="67" t="str">
        <f>INDEX(数据元说明!A:F,MATCH(I808,数据元说明!C:C,0),2)</f>
        <v>001005</v>
      </c>
      <c r="K808" s="68" t="str">
        <f>INDEX(数据元说明!A:F,MATCH(I808,数据元说明!C:C,0),5)</f>
        <v>YYYYMMDD，默认值99991231。</v>
      </c>
      <c r="L808" s="67" t="str">
        <f>INDEX(数据元说明!A:F,MATCH(I808,数据元说明!C:C,0),6)</f>
        <v>C8</v>
      </c>
      <c r="M808" s="68" t="s">
        <v>2513</v>
      </c>
      <c r="N808" s="68" t="s">
        <v>1601</v>
      </c>
      <c r="O808" s="68"/>
      <c r="P808" s="68"/>
    </row>
    <row r="809" ht="39.95" hidden="1" customHeight="1" outlineLevel="1" spans="1:16">
      <c r="A809" s="70"/>
      <c r="B809" s="71"/>
      <c r="C809" s="59" t="s">
        <v>165</v>
      </c>
      <c r="D809" s="59" t="s">
        <v>2487</v>
      </c>
      <c r="E809" s="65">
        <v>506</v>
      </c>
      <c r="F809" s="67" t="s">
        <v>2518</v>
      </c>
      <c r="G809" s="65">
        <v>50622</v>
      </c>
      <c r="H809" s="67" t="s">
        <v>2519</v>
      </c>
      <c r="I809" s="67" t="s">
        <v>790</v>
      </c>
      <c r="J809" s="67" t="str">
        <f>INDEX(数据元说明!A:F,MATCH(I809,数据元说明!C:C,0),2)</f>
        <v>005012</v>
      </c>
      <c r="K809" s="68" t="str">
        <f>INDEX(数据元说明!A:F,MATCH(I809,数据元说明!C:C,0),5)</f>
        <v>银行自定义。</v>
      </c>
      <c r="L809" s="67" t="str">
        <f>INDEX(数据元说明!A:F,MATCH(I809,数据元说明!C:C,0),6)</f>
        <v>C..60 </v>
      </c>
      <c r="M809" s="68" t="s">
        <v>2510</v>
      </c>
      <c r="N809" s="68" t="s">
        <v>1601</v>
      </c>
      <c r="O809" s="68"/>
      <c r="P809" s="68"/>
    </row>
    <row r="810" ht="39.95" hidden="1" customHeight="1" outlineLevel="1" spans="1:16">
      <c r="A810" s="70"/>
      <c r="B810" s="71"/>
      <c r="C810" s="59" t="s">
        <v>165</v>
      </c>
      <c r="D810" s="59" t="s">
        <v>2487</v>
      </c>
      <c r="E810" s="65">
        <v>506</v>
      </c>
      <c r="F810" s="67" t="s">
        <v>2520</v>
      </c>
      <c r="G810" s="65">
        <v>50623</v>
      </c>
      <c r="H810" s="67" t="s">
        <v>2521</v>
      </c>
      <c r="I810" s="67" t="s">
        <v>345</v>
      </c>
      <c r="J810" s="67" t="str">
        <f>INDEX(数据元说明!A:F,MATCH(I810,数据元说明!C:C,0),2)</f>
        <v>001005</v>
      </c>
      <c r="K810" s="68" t="str">
        <f>INDEX(数据元说明!A:F,MATCH(I810,数据元说明!C:C,0),5)</f>
        <v>YYYYMMDD，默认值99991231。</v>
      </c>
      <c r="L810" s="67" t="str">
        <f>INDEX(数据元说明!A:F,MATCH(I810,数据元说明!C:C,0),6)</f>
        <v>C8</v>
      </c>
      <c r="M810" s="68" t="s">
        <v>2513</v>
      </c>
      <c r="N810" s="68" t="s">
        <v>1601</v>
      </c>
      <c r="O810" s="68"/>
      <c r="P810" s="68"/>
    </row>
    <row r="811" ht="39.95" hidden="1" customHeight="1" outlineLevel="1" spans="1:16">
      <c r="A811" s="70"/>
      <c r="B811" s="71"/>
      <c r="C811" s="59" t="s">
        <v>165</v>
      </c>
      <c r="D811" s="59" t="s">
        <v>2487</v>
      </c>
      <c r="E811" s="65">
        <v>506</v>
      </c>
      <c r="F811" s="67" t="s">
        <v>2522</v>
      </c>
      <c r="G811" s="65">
        <v>50624</v>
      </c>
      <c r="H811" s="67" t="s">
        <v>2523</v>
      </c>
      <c r="I811" s="67" t="s">
        <v>790</v>
      </c>
      <c r="J811" s="67" t="str">
        <f>INDEX(数据元说明!A:F,MATCH(I811,数据元说明!C:C,0),2)</f>
        <v>005012</v>
      </c>
      <c r="K811" s="68" t="str">
        <f>INDEX(数据元说明!A:F,MATCH(I811,数据元说明!C:C,0),5)</f>
        <v>银行自定义。</v>
      </c>
      <c r="L811" s="67" t="str">
        <f>INDEX(数据元说明!A:F,MATCH(I811,数据元说明!C:C,0),6)</f>
        <v>C..60 </v>
      </c>
      <c r="M811" s="68" t="s">
        <v>2510</v>
      </c>
      <c r="N811" s="68" t="s">
        <v>1583</v>
      </c>
      <c r="O811" s="68" t="s">
        <v>484</v>
      </c>
      <c r="P811" s="68"/>
    </row>
    <row r="812" ht="39.95" hidden="1" customHeight="1" outlineLevel="1" spans="1:16">
      <c r="A812" s="70"/>
      <c r="B812" s="71"/>
      <c r="C812" s="59" t="s">
        <v>165</v>
      </c>
      <c r="D812" s="59" t="s">
        <v>2487</v>
      </c>
      <c r="E812" s="65">
        <v>506</v>
      </c>
      <c r="F812" s="67" t="s">
        <v>2524</v>
      </c>
      <c r="G812" s="65">
        <v>50625</v>
      </c>
      <c r="H812" s="67" t="s">
        <v>2525</v>
      </c>
      <c r="I812" s="67" t="s">
        <v>345</v>
      </c>
      <c r="J812" s="67" t="str">
        <f>INDEX(数据元说明!A:F,MATCH(I812,数据元说明!C:C,0),2)</f>
        <v>001005</v>
      </c>
      <c r="K812" s="68" t="str">
        <f>INDEX(数据元说明!A:F,MATCH(I812,数据元说明!C:C,0),5)</f>
        <v>YYYYMMDD，默认值99991231。</v>
      </c>
      <c r="L812" s="67" t="str">
        <f>INDEX(数据元说明!A:F,MATCH(I812,数据元说明!C:C,0),6)</f>
        <v>C8</v>
      </c>
      <c r="M812" s="68" t="s">
        <v>2513</v>
      </c>
      <c r="N812" s="68" t="s">
        <v>1601</v>
      </c>
      <c r="O812" s="68"/>
      <c r="P812" s="68"/>
    </row>
    <row r="813" ht="39.95" hidden="1" customHeight="1" outlineLevel="1" spans="1:16">
      <c r="A813" s="70"/>
      <c r="B813" s="71"/>
      <c r="C813" s="59" t="s">
        <v>165</v>
      </c>
      <c r="D813" s="59" t="s">
        <v>2487</v>
      </c>
      <c r="E813" s="65">
        <v>506</v>
      </c>
      <c r="F813" s="67" t="s">
        <v>2526</v>
      </c>
      <c r="G813" s="65">
        <v>50626</v>
      </c>
      <c r="H813" s="67" t="s">
        <v>2527</v>
      </c>
      <c r="I813" s="67" t="s">
        <v>793</v>
      </c>
      <c r="J813" s="67" t="str">
        <f>INDEX(数据元说明!A:F,MATCH(I813,数据元说明!C:C,0),2)</f>
        <v>005013</v>
      </c>
      <c r="K813" s="68" t="str">
        <f>INDEX(数据元说明!A:F,MATCH(I813,数据元说明!C:C,0),5)</f>
        <v>银行自定义。</v>
      </c>
      <c r="L813" s="67" t="str">
        <f>INDEX(数据元说明!A:F,MATCH(I813,数据元说明!C:C,0),6)</f>
        <v>C..150</v>
      </c>
      <c r="M813" s="68" t="s">
        <v>2528</v>
      </c>
      <c r="N813" s="68" t="s">
        <v>1583</v>
      </c>
      <c r="O813" s="68" t="s">
        <v>322</v>
      </c>
      <c r="P813" s="68"/>
    </row>
    <row r="814" ht="39.95" hidden="1" customHeight="1" outlineLevel="1" spans="1:16">
      <c r="A814" s="70"/>
      <c r="B814" s="71"/>
      <c r="C814" s="59" t="s">
        <v>165</v>
      </c>
      <c r="D814" s="59" t="s">
        <v>2487</v>
      </c>
      <c r="E814" s="65">
        <v>506</v>
      </c>
      <c r="F814" s="67" t="s">
        <v>2529</v>
      </c>
      <c r="G814" s="65">
        <v>50627</v>
      </c>
      <c r="H814" s="67" t="s">
        <v>2530</v>
      </c>
      <c r="I814" s="67" t="s">
        <v>790</v>
      </c>
      <c r="J814" s="67" t="str">
        <f>INDEX(数据元说明!A:F,MATCH(I814,数据元说明!C:C,0),2)</f>
        <v>005012</v>
      </c>
      <c r="K814" s="68" t="str">
        <f>INDEX(数据元说明!A:F,MATCH(I814,数据元说明!C:C,0),5)</f>
        <v>银行自定义。</v>
      </c>
      <c r="L814" s="67" t="str">
        <f>INDEX(数据元说明!A:F,MATCH(I814,数据元说明!C:C,0),6)</f>
        <v>C..60 </v>
      </c>
      <c r="M814" s="68" t="s">
        <v>2528</v>
      </c>
      <c r="N814" s="68" t="s">
        <v>1583</v>
      </c>
      <c r="O814" s="68" t="s">
        <v>322</v>
      </c>
      <c r="P814" s="68"/>
    </row>
    <row r="815" ht="39.95" hidden="1" customHeight="1" outlineLevel="1" spans="1:16">
      <c r="A815" s="70"/>
      <c r="B815" s="71"/>
      <c r="C815" s="59" t="s">
        <v>165</v>
      </c>
      <c r="D815" s="59" t="s">
        <v>2487</v>
      </c>
      <c r="E815" s="65">
        <v>506</v>
      </c>
      <c r="F815" s="67" t="s">
        <v>2531</v>
      </c>
      <c r="G815" s="65">
        <v>50628</v>
      </c>
      <c r="H815" s="67" t="s">
        <v>2532</v>
      </c>
      <c r="I815" s="67" t="s">
        <v>345</v>
      </c>
      <c r="J815" s="67" t="str">
        <f>INDEX(数据元说明!A:F,MATCH(I815,数据元说明!C:C,0),2)</f>
        <v>001005</v>
      </c>
      <c r="K815" s="68" t="str">
        <f>INDEX(数据元说明!A:F,MATCH(I815,数据元说明!C:C,0),5)</f>
        <v>YYYYMMDD，默认值99991231。</v>
      </c>
      <c r="L815" s="67" t="str">
        <f>INDEX(数据元说明!A:F,MATCH(I815,数据元说明!C:C,0),6)</f>
        <v>C8</v>
      </c>
      <c r="M815" s="68"/>
      <c r="N815" s="68"/>
      <c r="O815" s="68"/>
      <c r="P815" s="68"/>
    </row>
    <row r="816" ht="39.95" hidden="1" customHeight="1" outlineLevel="1" spans="1:16">
      <c r="A816" s="63"/>
      <c r="B816" s="64"/>
      <c r="C816" s="59" t="s">
        <v>165</v>
      </c>
      <c r="D816" s="59" t="s">
        <v>2487</v>
      </c>
      <c r="E816" s="65">
        <v>506</v>
      </c>
      <c r="F816" s="67" t="s">
        <v>832</v>
      </c>
      <c r="G816" s="65">
        <v>50629</v>
      </c>
      <c r="H816" s="67" t="s">
        <v>2278</v>
      </c>
      <c r="I816" s="67" t="s">
        <v>832</v>
      </c>
      <c r="J816" s="67" t="str">
        <f>INDEX(数据元说明!A:F,MATCH(I816,数据元说明!C:C,0),2)</f>
        <v>005023</v>
      </c>
      <c r="K816" s="68" t="str">
        <f>INDEX(数据元说明!A:F,MATCH(I816,数据元说明!C:C,0),5)</f>
        <v>正常、结清、逾期、核销、转让，其他-银行自定义。以枚举类型填报，如无法以枚举类型填报，则以“其他-XX”填报，其中“XX”为银行自定义状态。</v>
      </c>
      <c r="L816" s="67" t="str">
        <f>INDEX(数据元说明!A:F,MATCH(I816,数据元说明!C:C,0),6)</f>
        <v>C..30</v>
      </c>
      <c r="M816" s="68"/>
      <c r="N816" s="68" t="s">
        <v>1601</v>
      </c>
      <c r="O816" s="68"/>
      <c r="P816" s="68"/>
    </row>
    <row r="817" ht="39.95" hidden="1" customHeight="1" outlineLevel="1" spans="1:16">
      <c r="A817" s="63"/>
      <c r="B817" s="64"/>
      <c r="C817" s="59" t="s">
        <v>165</v>
      </c>
      <c r="D817" s="59" t="s">
        <v>2487</v>
      </c>
      <c r="E817" s="65">
        <v>506</v>
      </c>
      <c r="F817" s="67" t="s">
        <v>484</v>
      </c>
      <c r="G817" s="65">
        <v>50630</v>
      </c>
      <c r="H817" s="67" t="s">
        <v>1623</v>
      </c>
      <c r="I817" s="67" t="s">
        <v>484</v>
      </c>
      <c r="J817" s="67" t="str">
        <f>INDEX(数据元说明!A:F,MATCH(I817,数据元说明!C:C,0),2)</f>
        <v>001038</v>
      </c>
      <c r="K817" s="68" t="str">
        <f>INDEX(数据元说明!A:F,MATCH(I817,数据元说明!C:C,0),5)</f>
        <v>银行自定义。</v>
      </c>
      <c r="L817" s="67" t="str">
        <f>INDEX(数据元说明!A:F,MATCH(I817,数据元说明!C:C,0),6)</f>
        <v>C..600</v>
      </c>
      <c r="M817" s="68" t="s">
        <v>1624</v>
      </c>
      <c r="N817" s="68" t="s">
        <v>1601</v>
      </c>
      <c r="O817" s="68"/>
      <c r="P817" s="68"/>
    </row>
    <row r="818" ht="39.95" hidden="1" customHeight="1" outlineLevel="1" spans="1:16">
      <c r="A818" s="63"/>
      <c r="B818" s="64"/>
      <c r="C818" s="59" t="s">
        <v>165</v>
      </c>
      <c r="D818" s="59" t="s">
        <v>2487</v>
      </c>
      <c r="E818" s="65">
        <v>506</v>
      </c>
      <c r="F818" s="67" t="s">
        <v>1625</v>
      </c>
      <c r="G818" s="65">
        <v>50631</v>
      </c>
      <c r="H818" s="67" t="s">
        <v>1626</v>
      </c>
      <c r="I818" s="67" t="s">
        <v>345</v>
      </c>
      <c r="J818" s="67" t="str">
        <f>INDEX(数据元说明!A:F,MATCH(I818,数据元说明!C:C,0),2)</f>
        <v>001005</v>
      </c>
      <c r="K818" s="68" t="str">
        <f>INDEX(数据元说明!A:F,MATCH(I818,数据元说明!C:C,0),5)</f>
        <v>YYYYMMDD，默认值99991231。</v>
      </c>
      <c r="L818" s="67" t="str">
        <f>INDEX(数据元说明!A:F,MATCH(I818,数据元说明!C:C,0),6)</f>
        <v>C8</v>
      </c>
      <c r="M818" s="68" t="s">
        <v>1627</v>
      </c>
      <c r="N818" s="68"/>
      <c r="O818" s="68"/>
      <c r="P818" s="68"/>
    </row>
    <row r="819" ht="39.95" hidden="1" customHeight="1" collapsed="1" spans="1:16">
      <c r="A819" s="70"/>
      <c r="B819" s="71"/>
      <c r="C819" s="59" t="s">
        <v>169</v>
      </c>
      <c r="D819" s="59" t="s">
        <v>2533</v>
      </c>
      <c r="E819" s="65">
        <v>507</v>
      </c>
      <c r="F819" s="67"/>
      <c r="G819" s="65"/>
      <c r="H819" s="67"/>
      <c r="I819" s="67"/>
      <c r="J819" s="67"/>
      <c r="K819" s="68"/>
      <c r="L819" s="67"/>
      <c r="M819" s="68" t="str">
        <f>INDEX(表结构总览!D:G,MATCH(D819,表结构总览!D:D,0),4)</f>
        <v>银（社）团贷款信息。以信贷借据号为最小颗粒报送，同一合同下多笔借据的按多条报送。已结清、核销的数据在次月不再报送。</v>
      </c>
      <c r="N819" s="68" t="s">
        <v>1583</v>
      </c>
      <c r="O819" s="68" t="s">
        <v>484</v>
      </c>
      <c r="P819" s="68"/>
    </row>
    <row r="820" ht="39.95" hidden="1" customHeight="1" outlineLevel="1" spans="1:16">
      <c r="A820" s="63"/>
      <c r="B820" s="64"/>
      <c r="C820" s="59" t="s">
        <v>169</v>
      </c>
      <c r="D820" s="59" t="s">
        <v>2533</v>
      </c>
      <c r="E820" s="65">
        <v>507</v>
      </c>
      <c r="F820" s="67" t="s">
        <v>373</v>
      </c>
      <c r="G820" s="65">
        <v>50701</v>
      </c>
      <c r="H820" s="67" t="s">
        <v>1588</v>
      </c>
      <c r="I820" s="67" t="s">
        <v>373</v>
      </c>
      <c r="J820" s="67" t="str">
        <f>INDEX(数据元说明!A:F,MATCH(I820,数据元说明!C:C,0),2)</f>
        <v>001011</v>
      </c>
      <c r="K820" s="68" t="str">
        <f>INDEX(数据元说明!A:F,MATCH(I820,数据元说明!C:C,0),5)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20" s="67" t="str">
        <f>INDEX(数据元说明!A:F,MATCH(I820,数据元说明!C:C,0),6)</f>
        <v>C..30</v>
      </c>
      <c r="M820" s="68" t="s">
        <v>2488</v>
      </c>
      <c r="N820" s="68"/>
      <c r="O820" s="68"/>
      <c r="P820" s="68"/>
    </row>
    <row r="821" ht="39.95" hidden="1" customHeight="1" outlineLevel="1" spans="1:16">
      <c r="A821" s="70"/>
      <c r="B821" s="71"/>
      <c r="C821" s="59" t="s">
        <v>169</v>
      </c>
      <c r="D821" s="59" t="s">
        <v>2533</v>
      </c>
      <c r="E821" s="65">
        <v>507</v>
      </c>
      <c r="F821" s="67" t="s">
        <v>377</v>
      </c>
      <c r="G821" s="65">
        <v>50702</v>
      </c>
      <c r="H821" s="67" t="s">
        <v>1586</v>
      </c>
      <c r="I821" s="67" t="s">
        <v>377</v>
      </c>
      <c r="J821" s="67" t="str">
        <f>INDEX(数据元说明!A:F,MATCH(I821,数据元说明!C:C,0),2)</f>
        <v>001012</v>
      </c>
      <c r="K821" s="68" t="str">
        <f>INDEX(数据元说明!A:F,MATCH(I821,数据元说明!C:C,0),5)</f>
        <v>银行内部机构号。应具有标识机构的唯一性。</v>
      </c>
      <c r="L821" s="67" t="str">
        <f>INDEX(数据元说明!A:F,MATCH(I821,数据元说明!C:C,0),6)</f>
        <v>C..30</v>
      </c>
      <c r="M821" s="68" t="s">
        <v>1820</v>
      </c>
      <c r="N821" s="68"/>
      <c r="O821" s="68"/>
      <c r="P821" s="68"/>
    </row>
    <row r="822" ht="39.95" hidden="1" customHeight="1" outlineLevel="1" spans="1:16">
      <c r="A822" s="63"/>
      <c r="B822" s="64"/>
      <c r="C822" s="59" t="s">
        <v>169</v>
      </c>
      <c r="D822" s="59" t="s">
        <v>2533</v>
      </c>
      <c r="E822" s="65">
        <v>507</v>
      </c>
      <c r="F822" s="67" t="s">
        <v>1592</v>
      </c>
      <c r="G822" s="65">
        <v>50703</v>
      </c>
      <c r="H822" s="67" t="s">
        <v>1593</v>
      </c>
      <c r="I822" s="67" t="s">
        <v>325</v>
      </c>
      <c r="J822" s="67" t="str">
        <f>INDEX(数据元说明!A:F,MATCH(I822,数据元说明!C:C,0),2)</f>
        <v>001001</v>
      </c>
      <c r="K822" s="68" t="str">
        <f>INDEX(数据元说明!A:F,MATCH(I822,数据元说明!C:C,0),5)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22" s="67" t="str">
        <f>INDEX(数据元说明!A:F,MATCH(I822,数据元说明!C:C,0),6)</f>
        <v>C..450</v>
      </c>
      <c r="M822" s="68" t="s">
        <v>1631</v>
      </c>
      <c r="N822" s="68" t="s">
        <v>1583</v>
      </c>
      <c r="O822" s="68" t="s">
        <v>322</v>
      </c>
      <c r="P822" s="68" t="s">
        <v>1634</v>
      </c>
    </row>
    <row r="823" ht="39.95" hidden="1" customHeight="1" outlineLevel="1" spans="1:16">
      <c r="A823" s="70"/>
      <c r="B823" s="71"/>
      <c r="C823" s="59" t="s">
        <v>169</v>
      </c>
      <c r="D823" s="59" t="s">
        <v>2533</v>
      </c>
      <c r="E823" s="65">
        <v>507</v>
      </c>
      <c r="F823" s="67" t="s">
        <v>2257</v>
      </c>
      <c r="G823" s="65">
        <v>50704</v>
      </c>
      <c r="H823" s="67" t="s">
        <v>2258</v>
      </c>
      <c r="I823" s="67" t="s">
        <v>683</v>
      </c>
      <c r="J823" s="67" t="str">
        <f>INDEX(数据元说明!A:F,MATCH(I823,数据元说明!C:C,0),2)</f>
        <v>003020</v>
      </c>
      <c r="K823" s="68" t="str">
        <f>INDEX(数据元说明!A:F,MATCH(I823,数据元说明!C:C,0),5)</f>
        <v>合同号。</v>
      </c>
      <c r="L823" s="67" t="str">
        <f>INDEX(数据元说明!A:F,MATCH(I823,数据元说明!C:C,0),6)</f>
        <v>C..100</v>
      </c>
      <c r="M823" s="68" t="s">
        <v>2489</v>
      </c>
      <c r="N823" s="68" t="s">
        <v>1583</v>
      </c>
      <c r="O823" s="68"/>
      <c r="P823" s="68" t="s">
        <v>1634</v>
      </c>
    </row>
    <row r="824" ht="39.95" hidden="1" customHeight="1" outlineLevel="1" spans="1:16">
      <c r="A824" s="70"/>
      <c r="B824" s="71"/>
      <c r="C824" s="59" t="s">
        <v>169</v>
      </c>
      <c r="D824" s="59" t="s">
        <v>2533</v>
      </c>
      <c r="E824" s="65">
        <v>507</v>
      </c>
      <c r="F824" s="67" t="s">
        <v>2260</v>
      </c>
      <c r="G824" s="65">
        <v>50705</v>
      </c>
      <c r="H824" s="67" t="s">
        <v>2261</v>
      </c>
      <c r="I824" s="67" t="s">
        <v>678</v>
      </c>
      <c r="J824" s="67" t="str">
        <f>INDEX(数据元说明!A:F,MATCH(I824,数据元说明!C:C,0),2)</f>
        <v>003019</v>
      </c>
      <c r="K824" s="68" t="str">
        <f>INDEX(数据元说明!A:F,MATCH(I824,数据元说明!C:C,0),5)</f>
        <v>借据统一编号。</v>
      </c>
      <c r="L824" s="67" t="str">
        <f>INDEX(数据元说明!A:F,MATCH(I824,数据元说明!C:C,0),6)</f>
        <v>C..100</v>
      </c>
      <c r="M824" s="68" t="s">
        <v>2534</v>
      </c>
      <c r="N824" s="68" t="s">
        <v>1583</v>
      </c>
      <c r="O824" s="68"/>
      <c r="P824" s="68"/>
    </row>
    <row r="825" ht="39.95" hidden="1" customHeight="1" outlineLevel="1" spans="1:16">
      <c r="A825" s="70"/>
      <c r="B825" s="71"/>
      <c r="C825" s="59" t="s">
        <v>169</v>
      </c>
      <c r="D825" s="59" t="s">
        <v>2533</v>
      </c>
      <c r="E825" s="65">
        <v>507</v>
      </c>
      <c r="F825" s="67" t="s">
        <v>2496</v>
      </c>
      <c r="G825" s="65">
        <v>50706</v>
      </c>
      <c r="H825" s="67" t="s">
        <v>2497</v>
      </c>
      <c r="I825" s="67" t="s">
        <v>488</v>
      </c>
      <c r="J825" s="67" t="str">
        <f>INDEX(数据元说明!A:F,MATCH(I825,数据元说明!C:C,0),2)</f>
        <v>002001</v>
      </c>
      <c r="K825" s="68" t="str">
        <f>INDEX(数据元说明!A:F,MATCH(I825,数据元说明!C:C,0),5)</f>
        <v>银行自定义的唯一识别客户的标识。供应链融资的填写供应链融资编码。</v>
      </c>
      <c r="L825" s="67" t="str">
        <f>INDEX(数据元说明!A:F,MATCH(I825,数据元说明!C:C,0),6)</f>
        <v>C..60</v>
      </c>
      <c r="M825" s="68" t="s">
        <v>2535</v>
      </c>
      <c r="N825" s="68" t="s">
        <v>1583</v>
      </c>
      <c r="O825" s="68" t="s">
        <v>1745</v>
      </c>
      <c r="P825" s="68" t="s">
        <v>1634</v>
      </c>
    </row>
    <row r="826" ht="39.95" hidden="1" customHeight="1" outlineLevel="1" spans="1:16">
      <c r="A826" s="70"/>
      <c r="B826" s="71"/>
      <c r="C826" s="59" t="s">
        <v>169</v>
      </c>
      <c r="D826" s="59" t="s">
        <v>2533</v>
      </c>
      <c r="E826" s="65">
        <v>507</v>
      </c>
      <c r="F826" s="67" t="s">
        <v>2498</v>
      </c>
      <c r="G826" s="65">
        <v>50707</v>
      </c>
      <c r="H826" s="67" t="s">
        <v>2499</v>
      </c>
      <c r="I826" s="67" t="s">
        <v>325</v>
      </c>
      <c r="J826" s="67" t="str">
        <f>INDEX(数据元说明!A:F,MATCH(I826,数据元说明!C:C,0),2)</f>
        <v>001001</v>
      </c>
      <c r="K826" s="68" t="str">
        <f>INDEX(数据元说明!A:F,MATCH(I826,数据元说明!C:C,0),5)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26" s="67" t="str">
        <f>INDEX(数据元说明!A:F,MATCH(I826,数据元说明!C:C,0),6)</f>
        <v>C..450</v>
      </c>
      <c r="M826" s="68" t="s">
        <v>2536</v>
      </c>
      <c r="N826" s="68" t="s">
        <v>1583</v>
      </c>
      <c r="O826" s="68" t="s">
        <v>1660</v>
      </c>
      <c r="P826" s="68" t="s">
        <v>1634</v>
      </c>
    </row>
    <row r="827" ht="39.95" hidden="1" customHeight="1" outlineLevel="1" spans="1:16">
      <c r="A827" s="70"/>
      <c r="B827" s="71"/>
      <c r="C827" s="59" t="s">
        <v>169</v>
      </c>
      <c r="D827" s="59" t="s">
        <v>2533</v>
      </c>
      <c r="E827" s="65">
        <v>507</v>
      </c>
      <c r="F827" s="67" t="s">
        <v>2537</v>
      </c>
      <c r="G827" s="65">
        <v>50708</v>
      </c>
      <c r="H827" s="67" t="s">
        <v>2538</v>
      </c>
      <c r="I827" s="67" t="s">
        <v>459</v>
      </c>
      <c r="J827" s="67" t="str">
        <f>INDEX(数据元说明!A:F,MATCH(I827,数据元说明!C:C,0),2)</f>
        <v>001032</v>
      </c>
      <c r="K827" s="68" t="str">
        <f>INDEX(数据元说明!A:F,MATCH(I827,数据元说明!C:C,0),5)</f>
        <v>多个代码</v>
      </c>
      <c r="L827" s="67" t="str">
        <f>INDEX(数据元说明!A:F,MATCH(I827,数据元说明!C:C,0),6)</f>
        <v>C..600</v>
      </c>
      <c r="M827" s="68" t="s">
        <v>2539</v>
      </c>
      <c r="N827" s="68" t="s">
        <v>1583</v>
      </c>
      <c r="O827" s="68" t="s">
        <v>2540</v>
      </c>
      <c r="P827" s="68"/>
    </row>
    <row r="828" ht="39.95" hidden="1" customHeight="1" outlineLevel="1" spans="1:16">
      <c r="A828" s="70"/>
      <c r="B828" s="71"/>
      <c r="C828" s="59" t="s">
        <v>169</v>
      </c>
      <c r="D828" s="59" t="s">
        <v>2533</v>
      </c>
      <c r="E828" s="65">
        <v>507</v>
      </c>
      <c r="F828" s="67" t="s">
        <v>2541</v>
      </c>
      <c r="G828" s="65">
        <v>50709</v>
      </c>
      <c r="H828" s="67" t="s">
        <v>2542</v>
      </c>
      <c r="I828" s="67" t="s">
        <v>454</v>
      </c>
      <c r="J828" s="67" t="str">
        <f>INDEX(数据元说明!A:F,MATCH(I828,数据元说明!C:C,0),2)</f>
        <v>001031</v>
      </c>
      <c r="K828" s="68" t="str">
        <f>INDEX(数据元说明!A:F,MATCH(I828,数据元说明!C:C,0),5)</f>
        <v>多个名称</v>
      </c>
      <c r="L828" s="67" t="str">
        <f>INDEX(数据元说明!A:F,MATCH(I828,数据元说明!C:C,0),6)</f>
        <v>C..3000</v>
      </c>
      <c r="M828" s="68" t="s">
        <v>2543</v>
      </c>
      <c r="N828" s="68" t="s">
        <v>1583</v>
      </c>
      <c r="O828" s="68" t="s">
        <v>322</v>
      </c>
      <c r="P828" s="68"/>
    </row>
    <row r="829" ht="39.95" hidden="1" customHeight="1" outlineLevel="1" spans="1:16">
      <c r="A829" s="70"/>
      <c r="B829" s="71"/>
      <c r="C829" s="59" t="s">
        <v>169</v>
      </c>
      <c r="D829" s="59" t="s">
        <v>2533</v>
      </c>
      <c r="E829" s="65">
        <v>507</v>
      </c>
      <c r="F829" s="67" t="s">
        <v>2544</v>
      </c>
      <c r="G829" s="65">
        <v>50710</v>
      </c>
      <c r="H829" s="67" t="s">
        <v>2545</v>
      </c>
      <c r="I829" s="67" t="s">
        <v>459</v>
      </c>
      <c r="J829" s="67" t="str">
        <f>INDEX(数据元说明!A:F,MATCH(I829,数据元说明!C:C,0),2)</f>
        <v>001032</v>
      </c>
      <c r="K829" s="68" t="str">
        <f>INDEX(数据元说明!A:F,MATCH(I829,数据元说明!C:C,0),5)</f>
        <v>多个代码</v>
      </c>
      <c r="L829" s="67" t="str">
        <f>INDEX(数据元说明!A:F,MATCH(I829,数据元说明!C:C,0),6)</f>
        <v>C..600</v>
      </c>
      <c r="M829" s="68" t="s">
        <v>2546</v>
      </c>
      <c r="N829" s="68" t="s">
        <v>1583</v>
      </c>
      <c r="O829" s="68" t="s">
        <v>1695</v>
      </c>
      <c r="P829" s="68"/>
    </row>
    <row r="830" ht="39.95" hidden="1" customHeight="1" outlineLevel="1" spans="1:16">
      <c r="A830" s="70"/>
      <c r="B830" s="71"/>
      <c r="C830" s="59" t="s">
        <v>169</v>
      </c>
      <c r="D830" s="59" t="s">
        <v>2533</v>
      </c>
      <c r="E830" s="65">
        <v>507</v>
      </c>
      <c r="F830" s="67" t="s">
        <v>2547</v>
      </c>
      <c r="G830" s="65">
        <v>50711</v>
      </c>
      <c r="H830" s="67" t="s">
        <v>2548</v>
      </c>
      <c r="I830" s="67" t="s">
        <v>454</v>
      </c>
      <c r="J830" s="67" t="str">
        <f>INDEX(数据元说明!A:F,MATCH(I830,数据元说明!C:C,0),2)</f>
        <v>001031</v>
      </c>
      <c r="K830" s="68" t="str">
        <f>INDEX(数据元说明!A:F,MATCH(I830,数据元说明!C:C,0),5)</f>
        <v>多个名称</v>
      </c>
      <c r="L830" s="67" t="str">
        <f>INDEX(数据元说明!A:F,MATCH(I830,数据元说明!C:C,0),6)</f>
        <v>C..3000</v>
      </c>
      <c r="M830" s="68" t="s">
        <v>2549</v>
      </c>
      <c r="N830" s="68" t="s">
        <v>1583</v>
      </c>
      <c r="O830" s="68" t="s">
        <v>322</v>
      </c>
      <c r="P830" s="68"/>
    </row>
    <row r="831" ht="39.95" hidden="1" customHeight="1" outlineLevel="1" spans="1:16">
      <c r="A831" s="70"/>
      <c r="B831" s="71"/>
      <c r="C831" s="59" t="s">
        <v>169</v>
      </c>
      <c r="D831" s="59" t="s">
        <v>2533</v>
      </c>
      <c r="E831" s="65">
        <v>507</v>
      </c>
      <c r="F831" s="67" t="s">
        <v>2550</v>
      </c>
      <c r="G831" s="65">
        <v>50712</v>
      </c>
      <c r="H831" s="67" t="s">
        <v>2551</v>
      </c>
      <c r="I831" s="67" t="s">
        <v>459</v>
      </c>
      <c r="J831" s="67" t="str">
        <f>INDEX(数据元说明!A:F,MATCH(I831,数据元说明!C:C,0),2)</f>
        <v>001032</v>
      </c>
      <c r="K831" s="68" t="str">
        <f>INDEX(数据元说明!A:F,MATCH(I831,数据元说明!C:C,0),5)</f>
        <v>多个代码</v>
      </c>
      <c r="L831" s="67" t="str">
        <f>INDEX(数据元说明!A:F,MATCH(I831,数据元说明!C:C,0),6)</f>
        <v>C..600</v>
      </c>
      <c r="M831" s="68" t="s">
        <v>2552</v>
      </c>
      <c r="N831" s="68" t="s">
        <v>1583</v>
      </c>
      <c r="O831" s="68" t="s">
        <v>322</v>
      </c>
      <c r="P831" s="68"/>
    </row>
    <row r="832" ht="39.95" hidden="1" customHeight="1" outlineLevel="1" spans="1:16">
      <c r="A832" s="70"/>
      <c r="B832" s="71"/>
      <c r="C832" s="59" t="s">
        <v>169</v>
      </c>
      <c r="D832" s="59" t="s">
        <v>2533</v>
      </c>
      <c r="E832" s="65">
        <v>507</v>
      </c>
      <c r="F832" s="67" t="s">
        <v>2553</v>
      </c>
      <c r="G832" s="65">
        <v>50713</v>
      </c>
      <c r="H832" s="67" t="s">
        <v>2554</v>
      </c>
      <c r="I832" s="67" t="s">
        <v>454</v>
      </c>
      <c r="J832" s="67" t="str">
        <f>INDEX(数据元说明!A:F,MATCH(I832,数据元说明!C:C,0),2)</f>
        <v>001031</v>
      </c>
      <c r="K832" s="68" t="str">
        <f>INDEX(数据元说明!A:F,MATCH(I832,数据元说明!C:C,0),5)</f>
        <v>多个名称</v>
      </c>
      <c r="L832" s="67" t="str">
        <f>INDEX(数据元说明!A:F,MATCH(I832,数据元说明!C:C,0),6)</f>
        <v>C..3000</v>
      </c>
      <c r="M832" s="68" t="s">
        <v>2555</v>
      </c>
      <c r="N832" s="68"/>
      <c r="O832" s="68"/>
      <c r="P832" s="68"/>
    </row>
    <row r="833" ht="39.95" hidden="1" customHeight="1" outlineLevel="1" spans="1:16">
      <c r="A833" s="70"/>
      <c r="B833" s="71"/>
      <c r="C833" s="59" t="s">
        <v>169</v>
      </c>
      <c r="D833" s="59" t="s">
        <v>2533</v>
      </c>
      <c r="E833" s="65">
        <v>507</v>
      </c>
      <c r="F833" s="67" t="s">
        <v>820</v>
      </c>
      <c r="G833" s="65">
        <v>50714</v>
      </c>
      <c r="H833" s="67" t="s">
        <v>2556</v>
      </c>
      <c r="I833" s="67" t="s">
        <v>820</v>
      </c>
      <c r="J833" s="67" t="str">
        <f>INDEX(数据元说明!A:F,MATCH(I833,数据元说明!C:C,0),2)</f>
        <v>005020</v>
      </c>
      <c r="K833" s="68" t="str">
        <f>INDEX(数据元说明!A:F,MATCH(I833,数据元说明!C:C,0),5)</f>
        <v>牵头行，代理行，参加行，其他-银行自定义。如无法以枚举类型填报，则以“其他-XX”填报，其中“XX”为银行自定义类型。</v>
      </c>
      <c r="L833" s="67" t="str">
        <f>INDEX(数据元说明!A:F,MATCH(I833,数据元说明!C:C,0),6)</f>
        <v>C..60</v>
      </c>
      <c r="M833" s="68" t="s">
        <v>2557</v>
      </c>
      <c r="N833" s="68" t="s">
        <v>1583</v>
      </c>
      <c r="O833" s="68" t="s">
        <v>321</v>
      </c>
      <c r="P833" s="68"/>
    </row>
    <row r="834" ht="39.95" hidden="1" customHeight="1" outlineLevel="1" spans="1:16">
      <c r="A834" s="70"/>
      <c r="B834" s="71"/>
      <c r="C834" s="59" t="s">
        <v>169</v>
      </c>
      <c r="D834" s="59" t="s">
        <v>2533</v>
      </c>
      <c r="E834" s="65">
        <v>507</v>
      </c>
      <c r="F834" s="67" t="s">
        <v>642</v>
      </c>
      <c r="G834" s="65">
        <v>50715</v>
      </c>
      <c r="H834" s="67" t="s">
        <v>1914</v>
      </c>
      <c r="I834" s="67" t="s">
        <v>642</v>
      </c>
      <c r="J834" s="67" t="str">
        <f>INDEX(数据元说明!A:F,MATCH(I834,数据元说明!C:C,0),2)</f>
        <v>003010</v>
      </c>
      <c r="K834" s="68" t="str">
        <f>INDEX(数据元说明!A:F,MATCH(I834,数据元说明!C:C,0),5)</f>
        <v>遵循《GB/T 12406 表示货币和资金的代码》的字母代码，如CNY。上述文件所列币种无法涵盖的，允许银行自定义填报。多个币种合计折算为人民币（本外币合计）的，填报为BWB。</v>
      </c>
      <c r="L834" s="67" t="str">
        <f>INDEX(数据元说明!A:F,MATCH(I834,数据元说明!C:C,0),6)</f>
        <v>C3</v>
      </c>
      <c r="M834" s="68"/>
      <c r="N834" s="68"/>
      <c r="O834" s="68"/>
      <c r="P834" s="68"/>
    </row>
    <row r="835" ht="39.95" hidden="1" customHeight="1" outlineLevel="1" spans="1:16">
      <c r="A835" s="70"/>
      <c r="B835" s="71"/>
      <c r="C835" s="59" t="s">
        <v>169</v>
      </c>
      <c r="D835" s="59" t="s">
        <v>2533</v>
      </c>
      <c r="E835" s="65">
        <v>507</v>
      </c>
      <c r="F835" s="67" t="s">
        <v>2558</v>
      </c>
      <c r="G835" s="65">
        <v>50716</v>
      </c>
      <c r="H835" s="67" t="s">
        <v>2559</v>
      </c>
      <c r="I835" s="67" t="s">
        <v>634</v>
      </c>
      <c r="J835" s="67" t="str">
        <f>INDEX(数据元说明!A:F,MATCH(I835,数据元说明!C:C,0),2)</f>
        <v>003008</v>
      </c>
      <c r="K835" s="68" t="str">
        <f>INDEX(数据元说明!A:F,MATCH(I835,数据元说明!C:C,0),5)</f>
        <v>与币种相对应金额。</v>
      </c>
      <c r="L835" s="67" t="str">
        <f>INDEX(数据元说明!A:F,MATCH(I835,数据元说明!C:C,0),6)</f>
        <v>D20.2</v>
      </c>
      <c r="M835" s="68" t="s">
        <v>2560</v>
      </c>
      <c r="N835" s="68" t="s">
        <v>1583</v>
      </c>
      <c r="O835" s="68" t="s">
        <v>484</v>
      </c>
      <c r="P835" s="68"/>
    </row>
    <row r="836" ht="39.95" hidden="1" customHeight="1" outlineLevel="1" spans="1:16">
      <c r="A836" s="70"/>
      <c r="B836" s="71"/>
      <c r="C836" s="59" t="s">
        <v>169</v>
      </c>
      <c r="D836" s="59" t="s">
        <v>2533</v>
      </c>
      <c r="E836" s="65">
        <v>507</v>
      </c>
      <c r="F836" s="67" t="s">
        <v>2561</v>
      </c>
      <c r="G836" s="65">
        <v>50717</v>
      </c>
      <c r="H836" s="67" t="s">
        <v>2562</v>
      </c>
      <c r="I836" s="67" t="s">
        <v>634</v>
      </c>
      <c r="J836" s="67" t="str">
        <f>INDEX(数据元说明!A:F,MATCH(I836,数据元说明!C:C,0),2)</f>
        <v>003008</v>
      </c>
      <c r="K836" s="68" t="str">
        <f>INDEX(数据元说明!A:F,MATCH(I836,数据元说明!C:C,0),5)</f>
        <v>与币种相对应金额。</v>
      </c>
      <c r="L836" s="67" t="str">
        <f>INDEX(数据元说明!A:F,MATCH(I836,数据元说明!C:C,0),6)</f>
        <v>D20.2</v>
      </c>
      <c r="M836" s="68" t="s">
        <v>2563</v>
      </c>
      <c r="N836" s="68" t="s">
        <v>1583</v>
      </c>
      <c r="O836" s="68" t="s">
        <v>484</v>
      </c>
      <c r="P836" s="68"/>
    </row>
    <row r="837" ht="39.95" hidden="1" customHeight="1" outlineLevel="1" spans="1:16">
      <c r="A837" s="70"/>
      <c r="B837" s="71"/>
      <c r="C837" s="59" t="s">
        <v>169</v>
      </c>
      <c r="D837" s="59" t="s">
        <v>2533</v>
      </c>
      <c r="E837" s="65">
        <v>507</v>
      </c>
      <c r="F837" s="67" t="s">
        <v>2564</v>
      </c>
      <c r="G837" s="65">
        <v>50718</v>
      </c>
      <c r="H837" s="67" t="s">
        <v>2565</v>
      </c>
      <c r="I837" s="67" t="s">
        <v>634</v>
      </c>
      <c r="J837" s="67" t="str">
        <f>INDEX(数据元说明!A:F,MATCH(I837,数据元说明!C:C,0),2)</f>
        <v>003008</v>
      </c>
      <c r="K837" s="68" t="str">
        <f>INDEX(数据元说明!A:F,MATCH(I837,数据元说明!C:C,0),5)</f>
        <v>与币种相对应金额。</v>
      </c>
      <c r="L837" s="67" t="str">
        <f>INDEX(数据元说明!A:F,MATCH(I837,数据元说明!C:C,0),6)</f>
        <v>D20.2</v>
      </c>
      <c r="M837" s="68" t="s">
        <v>2566</v>
      </c>
      <c r="N837" s="68" t="s">
        <v>1583</v>
      </c>
      <c r="O837" s="68" t="s">
        <v>484</v>
      </c>
      <c r="P837" s="68"/>
    </row>
    <row r="838" ht="39.95" hidden="1" customHeight="1" outlineLevel="1" spans="1:16">
      <c r="A838" s="70"/>
      <c r="B838" s="71"/>
      <c r="C838" s="59" t="s">
        <v>169</v>
      </c>
      <c r="D838" s="59" t="s">
        <v>2533</v>
      </c>
      <c r="E838" s="65">
        <v>507</v>
      </c>
      <c r="F838" s="67" t="s">
        <v>2567</v>
      </c>
      <c r="G838" s="65">
        <v>50719</v>
      </c>
      <c r="H838" s="67" t="s">
        <v>2568</v>
      </c>
      <c r="I838" s="67" t="s">
        <v>634</v>
      </c>
      <c r="J838" s="67" t="str">
        <f>INDEX(数据元说明!A:F,MATCH(I838,数据元说明!C:C,0),2)</f>
        <v>003008</v>
      </c>
      <c r="K838" s="68" t="str">
        <f>INDEX(数据元说明!A:F,MATCH(I838,数据元说明!C:C,0),5)</f>
        <v>与币种相对应金额。</v>
      </c>
      <c r="L838" s="67" t="str">
        <f>INDEX(数据元说明!A:F,MATCH(I838,数据元说明!C:C,0),6)</f>
        <v>D20.2</v>
      </c>
      <c r="M838" s="68" t="s">
        <v>2569</v>
      </c>
      <c r="N838" s="68" t="s">
        <v>1583</v>
      </c>
      <c r="O838" s="68" t="s">
        <v>484</v>
      </c>
      <c r="P838" s="68"/>
    </row>
    <row r="839" ht="39.95" hidden="1" customHeight="1" outlineLevel="1" spans="1:16">
      <c r="A839" s="70"/>
      <c r="B839" s="71"/>
      <c r="C839" s="59" t="s">
        <v>169</v>
      </c>
      <c r="D839" s="59" t="s">
        <v>2533</v>
      </c>
      <c r="E839" s="65">
        <v>507</v>
      </c>
      <c r="F839" s="67" t="s">
        <v>2570</v>
      </c>
      <c r="G839" s="65">
        <v>50720</v>
      </c>
      <c r="H839" s="67" t="s">
        <v>2571</v>
      </c>
      <c r="I839" s="67" t="s">
        <v>634</v>
      </c>
      <c r="J839" s="67" t="str">
        <f>INDEX(数据元说明!A:F,MATCH(I839,数据元说明!C:C,0),2)</f>
        <v>003008</v>
      </c>
      <c r="K839" s="68" t="str">
        <f>INDEX(数据元说明!A:F,MATCH(I839,数据元说明!C:C,0),5)</f>
        <v>与币种相对应金额。</v>
      </c>
      <c r="L839" s="67" t="str">
        <f>INDEX(数据元说明!A:F,MATCH(I839,数据元说明!C:C,0),6)</f>
        <v>D20.2</v>
      </c>
      <c r="M839" s="68" t="s">
        <v>2572</v>
      </c>
      <c r="N839" s="68" t="s">
        <v>1601</v>
      </c>
      <c r="O839" s="68"/>
      <c r="P839" s="68"/>
    </row>
    <row r="840" ht="39.95" hidden="1" customHeight="1" outlineLevel="1" spans="1:16">
      <c r="A840" s="70"/>
      <c r="B840" s="71"/>
      <c r="C840" s="59" t="s">
        <v>169</v>
      </c>
      <c r="D840" s="59" t="s">
        <v>2533</v>
      </c>
      <c r="E840" s="65">
        <v>507</v>
      </c>
      <c r="F840" s="67" t="s">
        <v>2573</v>
      </c>
      <c r="G840" s="65">
        <v>50721</v>
      </c>
      <c r="H840" s="67" t="s">
        <v>2574</v>
      </c>
      <c r="I840" s="67" t="s">
        <v>634</v>
      </c>
      <c r="J840" s="67" t="str">
        <f>INDEX(数据元说明!A:F,MATCH(I840,数据元说明!C:C,0),2)</f>
        <v>003008</v>
      </c>
      <c r="K840" s="68" t="str">
        <f>INDEX(数据元说明!A:F,MATCH(I840,数据元说明!C:C,0),5)</f>
        <v>与币种相对应金额。</v>
      </c>
      <c r="L840" s="67" t="str">
        <f>INDEX(数据元说明!A:F,MATCH(I840,数据元说明!C:C,0),6)</f>
        <v>D20.2</v>
      </c>
      <c r="M840" s="68" t="s">
        <v>2575</v>
      </c>
      <c r="N840" s="68" t="s">
        <v>1601</v>
      </c>
      <c r="O840" s="68"/>
      <c r="P840" s="68"/>
    </row>
    <row r="841" ht="39.95" hidden="1" customHeight="1" outlineLevel="1" spans="1:16">
      <c r="A841" s="63"/>
      <c r="B841" s="64"/>
      <c r="C841" s="59" t="s">
        <v>169</v>
      </c>
      <c r="D841" s="59" t="s">
        <v>2533</v>
      </c>
      <c r="E841" s="65">
        <v>507</v>
      </c>
      <c r="F841" s="67" t="s">
        <v>832</v>
      </c>
      <c r="G841" s="65">
        <v>50722</v>
      </c>
      <c r="H841" s="67" t="s">
        <v>2278</v>
      </c>
      <c r="I841" s="67" t="s">
        <v>832</v>
      </c>
      <c r="J841" s="67" t="str">
        <f>INDEX(数据元说明!A:F,MATCH(I841,数据元说明!C:C,0),2)</f>
        <v>005023</v>
      </c>
      <c r="K841" s="68" t="str">
        <f>INDEX(数据元说明!A:F,MATCH(I841,数据元说明!C:C,0),5)</f>
        <v>正常、结清、逾期、核销、转让，其他-银行自定义。以枚举类型填报，如无法以枚举类型填报，则以“其他-XX”填报，其中“XX”为银行自定义状态。</v>
      </c>
      <c r="L841" s="67" t="str">
        <f>INDEX(数据元说明!A:F,MATCH(I841,数据元说明!C:C,0),6)</f>
        <v>C..30</v>
      </c>
      <c r="M841" s="68"/>
      <c r="N841" s="68" t="s">
        <v>1583</v>
      </c>
      <c r="O841" s="68" t="s">
        <v>321</v>
      </c>
      <c r="P841" s="68" t="s">
        <v>1634</v>
      </c>
    </row>
    <row r="842" ht="39.95" hidden="1" customHeight="1" outlineLevel="1" spans="1:16">
      <c r="A842" s="63"/>
      <c r="B842" s="64"/>
      <c r="C842" s="59" t="s">
        <v>169</v>
      </c>
      <c r="D842" s="59" t="s">
        <v>2533</v>
      </c>
      <c r="E842" s="65">
        <v>507</v>
      </c>
      <c r="F842" s="67" t="s">
        <v>484</v>
      </c>
      <c r="G842" s="65">
        <v>50723</v>
      </c>
      <c r="H842" s="67" t="s">
        <v>1623</v>
      </c>
      <c r="I842" s="67" t="s">
        <v>484</v>
      </c>
      <c r="J842" s="67" t="str">
        <f>INDEX(数据元说明!A:F,MATCH(I842,数据元说明!C:C,0),2)</f>
        <v>001038</v>
      </c>
      <c r="K842" s="68" t="str">
        <f>INDEX(数据元说明!A:F,MATCH(I842,数据元说明!C:C,0),5)</f>
        <v>银行自定义。</v>
      </c>
      <c r="L842" s="67" t="str">
        <f>INDEX(数据元说明!A:F,MATCH(I842,数据元说明!C:C,0),6)</f>
        <v>C..600</v>
      </c>
      <c r="M842" s="68" t="s">
        <v>1624</v>
      </c>
      <c r="N842" s="68" t="s">
        <v>1601</v>
      </c>
      <c r="O842" s="68"/>
      <c r="P842" s="68"/>
    </row>
    <row r="843" ht="39.95" hidden="1" customHeight="1" outlineLevel="1" spans="1:16">
      <c r="A843" s="63"/>
      <c r="B843" s="64"/>
      <c r="C843" s="59" t="s">
        <v>169</v>
      </c>
      <c r="D843" s="59" t="s">
        <v>2533</v>
      </c>
      <c r="E843" s="65">
        <v>507</v>
      </c>
      <c r="F843" s="67" t="s">
        <v>1625</v>
      </c>
      <c r="G843" s="65">
        <v>50724</v>
      </c>
      <c r="H843" s="67" t="s">
        <v>1626</v>
      </c>
      <c r="I843" s="67" t="s">
        <v>345</v>
      </c>
      <c r="J843" s="67" t="str">
        <f>INDEX(数据元说明!A:F,MATCH(I843,数据元说明!C:C,0),2)</f>
        <v>001005</v>
      </c>
      <c r="K843" s="68" t="str">
        <f>INDEX(数据元说明!A:F,MATCH(I843,数据元说明!C:C,0),5)</f>
        <v>YYYYMMDD，默认值99991231。</v>
      </c>
      <c r="L843" s="67" t="str">
        <f>INDEX(数据元说明!A:F,MATCH(I843,数据元说明!C:C,0),6)</f>
        <v>C8</v>
      </c>
      <c r="M843" s="68" t="s">
        <v>1627</v>
      </c>
      <c r="N843" s="68"/>
      <c r="O843" s="68"/>
      <c r="P843" s="68"/>
    </row>
    <row r="844" ht="39.95" hidden="1" customHeight="1" collapsed="1" spans="1:16">
      <c r="A844" s="70"/>
      <c r="B844" s="71"/>
      <c r="C844" s="59" t="s">
        <v>173</v>
      </c>
      <c r="D844" s="59" t="s">
        <v>2576</v>
      </c>
      <c r="E844" s="65">
        <v>508</v>
      </c>
      <c r="F844" s="67"/>
      <c r="G844" s="65"/>
      <c r="H844" s="67"/>
      <c r="I844" s="67"/>
      <c r="J844" s="67"/>
      <c r="K844" s="68"/>
      <c r="L844" s="67"/>
      <c r="M844" s="68" t="str">
        <f>INDEX(表结构总览!D:G,MATCH(D844,表结构总览!D:D,0),4)</f>
        <v>填报机构对客户办理的商业票据贴现，不包括对金融机构办理的买断式转贴现业务。票据状态为“卖断”、“解付”或“核销”的数据，在报送票据最后状态的次月可不再报送。</v>
      </c>
      <c r="N844" s="68" t="s">
        <v>1601</v>
      </c>
      <c r="O844" s="68"/>
      <c r="P844" s="74"/>
    </row>
    <row r="845" ht="39.95" hidden="1" customHeight="1" outlineLevel="1" spans="1:16">
      <c r="A845" s="63"/>
      <c r="B845" s="64"/>
      <c r="C845" s="59" t="s">
        <v>173</v>
      </c>
      <c r="D845" s="59" t="s">
        <v>2576</v>
      </c>
      <c r="E845" s="65">
        <v>508</v>
      </c>
      <c r="F845" s="67" t="s">
        <v>373</v>
      </c>
      <c r="G845" s="65">
        <v>50801</v>
      </c>
      <c r="H845" s="67" t="s">
        <v>1588</v>
      </c>
      <c r="I845" s="67" t="s">
        <v>373</v>
      </c>
      <c r="J845" s="67" t="str">
        <f>INDEX(数据元说明!A:F,MATCH(I845,数据元说明!C:C,0),2)</f>
        <v>001011</v>
      </c>
      <c r="K845" s="68" t="str">
        <f>INDEX(数据元说明!A:F,MATCH(I845,数据元说明!C:C,0),5)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45" s="67" t="str">
        <f>INDEX(数据元说明!A:F,MATCH(I845,数据元说明!C:C,0),6)</f>
        <v>C..30</v>
      </c>
      <c r="M845" s="68" t="s">
        <v>2577</v>
      </c>
      <c r="N845" s="68" t="s">
        <v>1601</v>
      </c>
      <c r="O845" s="68"/>
      <c r="P845" s="68"/>
    </row>
    <row r="846" ht="39.95" hidden="1" customHeight="1" outlineLevel="1" spans="1:16">
      <c r="A846" s="63"/>
      <c r="B846" s="64"/>
      <c r="C846" s="59" t="s">
        <v>173</v>
      </c>
      <c r="D846" s="59" t="s">
        <v>2576</v>
      </c>
      <c r="E846" s="65">
        <v>508</v>
      </c>
      <c r="F846" s="68" t="s">
        <v>377</v>
      </c>
      <c r="G846" s="65">
        <v>50802</v>
      </c>
      <c r="H846" s="67" t="s">
        <v>1586</v>
      </c>
      <c r="I846" s="68" t="s">
        <v>377</v>
      </c>
      <c r="J846" s="68" t="str">
        <f>INDEX(数据元说明!A:F,MATCH(I846,数据元说明!C:C,0),2)</f>
        <v>001012</v>
      </c>
      <c r="K846" s="68" t="str">
        <f>INDEX(数据元说明!A:F,MATCH(I846,数据元说明!C:C,0),5)</f>
        <v>银行内部机构号。应具有标识机构的唯一性。</v>
      </c>
      <c r="L846" s="68" t="str">
        <f>INDEX(数据元说明!A:F,MATCH(I846,数据元说明!C:C,0),6)</f>
        <v>C..30</v>
      </c>
      <c r="M846" s="68" t="s">
        <v>2578</v>
      </c>
      <c r="N846" s="68" t="s">
        <v>1601</v>
      </c>
      <c r="O846" s="68"/>
      <c r="P846" s="68"/>
    </row>
    <row r="847" ht="39.95" hidden="1" customHeight="1" outlineLevel="1" spans="1:16">
      <c r="A847" s="63"/>
      <c r="B847" s="64"/>
      <c r="C847" s="59" t="s">
        <v>173</v>
      </c>
      <c r="D847" s="59" t="s">
        <v>2576</v>
      </c>
      <c r="E847" s="65">
        <v>508</v>
      </c>
      <c r="F847" s="68" t="s">
        <v>1592</v>
      </c>
      <c r="G847" s="65">
        <v>50803</v>
      </c>
      <c r="H847" s="67" t="s">
        <v>1593</v>
      </c>
      <c r="I847" s="68" t="s">
        <v>325</v>
      </c>
      <c r="J847" s="68" t="str">
        <f>INDEX(数据元说明!A:F,MATCH(I847,数据元说明!C:C,0),2)</f>
        <v>001001</v>
      </c>
      <c r="K847" s="68" t="str">
        <f>INDEX(数据元说明!A:F,MATCH(I847,数据元说明!C:C,0),5)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47" s="68" t="str">
        <f>INDEX(数据元说明!A:F,MATCH(I847,数据元说明!C:C,0),6)</f>
        <v>C..450</v>
      </c>
      <c r="M847" s="68" t="s">
        <v>2579</v>
      </c>
      <c r="N847" s="68" t="s">
        <v>1601</v>
      </c>
      <c r="O847" s="68"/>
      <c r="P847" s="68"/>
    </row>
    <row r="848" ht="39.95" hidden="1" customHeight="1" outlineLevel="1" spans="1:16">
      <c r="A848" s="70"/>
      <c r="B848" s="71"/>
      <c r="C848" s="59" t="s">
        <v>173</v>
      </c>
      <c r="D848" s="59" t="s">
        <v>2576</v>
      </c>
      <c r="E848" s="65">
        <v>508</v>
      </c>
      <c r="F848" s="67" t="s">
        <v>2257</v>
      </c>
      <c r="G848" s="65">
        <v>50804</v>
      </c>
      <c r="H848" s="67" t="s">
        <v>2258</v>
      </c>
      <c r="I848" s="67" t="s">
        <v>683</v>
      </c>
      <c r="J848" s="67" t="str">
        <f>INDEX(数据元说明!A:F,MATCH(I848,数据元说明!C:C,0),2)</f>
        <v>003020</v>
      </c>
      <c r="K848" s="68" t="str">
        <f>INDEX(数据元说明!A:F,MATCH(I848,数据元说明!C:C,0),5)</f>
        <v>合同号。</v>
      </c>
      <c r="L848" s="67" t="str">
        <f>INDEX(数据元说明!A:F,MATCH(I848,数据元说明!C:C,0),6)</f>
        <v>C..100</v>
      </c>
      <c r="M848" s="68" t="s">
        <v>2580</v>
      </c>
      <c r="N848" s="68" t="s">
        <v>1601</v>
      </c>
      <c r="O848" s="68"/>
      <c r="P848" s="68" t="s">
        <v>1634</v>
      </c>
    </row>
    <row r="849" ht="39.95" hidden="1" customHeight="1" outlineLevel="1" spans="1:16">
      <c r="A849" s="70"/>
      <c r="B849" s="71"/>
      <c r="C849" s="59" t="s">
        <v>173</v>
      </c>
      <c r="D849" s="59" t="s">
        <v>2576</v>
      </c>
      <c r="E849" s="65">
        <v>508</v>
      </c>
      <c r="F849" s="67" t="s">
        <v>2260</v>
      </c>
      <c r="G849" s="65">
        <v>50805</v>
      </c>
      <c r="H849" s="67" t="s">
        <v>2261</v>
      </c>
      <c r="I849" s="67" t="s">
        <v>678</v>
      </c>
      <c r="J849" s="67" t="str">
        <f>INDEX(数据元说明!A:F,MATCH(I849,数据元说明!C:C,0),2)</f>
        <v>003019</v>
      </c>
      <c r="K849" s="68" t="str">
        <f>INDEX(数据元说明!A:F,MATCH(I849,数据元说明!C:C,0),5)</f>
        <v>借据统一编号。</v>
      </c>
      <c r="L849" s="67" t="str">
        <f>INDEX(数据元说明!A:F,MATCH(I849,数据元说明!C:C,0),6)</f>
        <v>C..100</v>
      </c>
      <c r="M849" s="68" t="s">
        <v>2581</v>
      </c>
      <c r="N849" s="68" t="s">
        <v>1601</v>
      </c>
      <c r="O849" s="68"/>
      <c r="P849" s="68"/>
    </row>
    <row r="850" ht="39.95" hidden="1" customHeight="1" outlineLevel="1" spans="1:16">
      <c r="A850" s="63"/>
      <c r="B850" s="64"/>
      <c r="C850" s="59" t="s">
        <v>173</v>
      </c>
      <c r="D850" s="59" t="s">
        <v>2576</v>
      </c>
      <c r="E850" s="65">
        <v>508</v>
      </c>
      <c r="F850" s="68" t="s">
        <v>796</v>
      </c>
      <c r="G850" s="65">
        <v>50806</v>
      </c>
      <c r="H850" s="67" t="s">
        <v>2582</v>
      </c>
      <c r="I850" s="68" t="s">
        <v>796</v>
      </c>
      <c r="J850" s="68" t="str">
        <f>INDEX(数据元说明!A:F,MATCH(I850,数据元说明!C:C,0),2)</f>
        <v>005014</v>
      </c>
      <c r="K850" s="68" t="str">
        <f>INDEX(数据元说明!A:F,MATCH(I850,数据元说明!C:C,0),5)</f>
        <v>票据号码。</v>
      </c>
      <c r="L850" s="68" t="str">
        <f>INDEX(数据元说明!A:F,MATCH(I850,数据元说明!C:C,0),6)</f>
        <v>C..60</v>
      </c>
      <c r="M850" s="68" t="s">
        <v>1679</v>
      </c>
      <c r="N850" s="68" t="s">
        <v>1601</v>
      </c>
      <c r="O850" s="68"/>
      <c r="P850" s="68"/>
    </row>
    <row r="851" ht="39.95" hidden="1" customHeight="1" outlineLevel="1" spans="1:16">
      <c r="A851" s="63"/>
      <c r="B851" s="64"/>
      <c r="C851" s="59" t="s">
        <v>173</v>
      </c>
      <c r="D851" s="59" t="s">
        <v>2576</v>
      </c>
      <c r="E851" s="65">
        <v>508</v>
      </c>
      <c r="F851" s="68" t="s">
        <v>804</v>
      </c>
      <c r="G851" s="65">
        <v>50807</v>
      </c>
      <c r="H851" s="67" t="s">
        <v>2583</v>
      </c>
      <c r="I851" s="68" t="s">
        <v>804</v>
      </c>
      <c r="J851" s="68" t="str">
        <f>INDEX(数据元说明!A:F,MATCH(I851,数据元说明!C:C,0),2)</f>
        <v>005016</v>
      </c>
      <c r="K851" s="68" t="str">
        <f>INDEX(数据元说明!A:F,MATCH(I851,数据元说明!C:C,0),5)</f>
        <v>银行承兑汇票，商业承兑汇票。</v>
      </c>
      <c r="L851" s="68" t="str">
        <f>INDEX(数据元说明!A:F,MATCH(I851,数据元说明!C:C,0),6)</f>
        <v>C..30</v>
      </c>
      <c r="M851" s="68"/>
      <c r="N851" s="68" t="s">
        <v>1601</v>
      </c>
      <c r="O851" s="68"/>
      <c r="P851" s="68"/>
    </row>
    <row r="852" ht="39.95" hidden="1" customHeight="1" outlineLevel="1" spans="1:16">
      <c r="A852" s="63"/>
      <c r="B852" s="64"/>
      <c r="C852" s="59" t="s">
        <v>173</v>
      </c>
      <c r="D852" s="59" t="s">
        <v>2576</v>
      </c>
      <c r="E852" s="65">
        <v>508</v>
      </c>
      <c r="F852" s="68" t="s">
        <v>642</v>
      </c>
      <c r="G852" s="65">
        <v>50808</v>
      </c>
      <c r="H852" s="67" t="s">
        <v>1914</v>
      </c>
      <c r="I852" s="68" t="s">
        <v>642</v>
      </c>
      <c r="J852" s="68" t="str">
        <f>INDEX(数据元说明!A:F,MATCH(I852,数据元说明!C:C,0),2)</f>
        <v>003010</v>
      </c>
      <c r="K852" s="68" t="str">
        <f>INDEX(数据元说明!A:F,MATCH(I852,数据元说明!C:C,0),5)</f>
        <v>遵循《GB/T 12406 表示货币和资金的代码》的字母代码，如CNY。上述文件所列币种无法涵盖的，允许银行自定义填报。多个币种合计折算为人民币（本外币合计）的，填报为BWB。</v>
      </c>
      <c r="L852" s="68" t="str">
        <f>INDEX(数据元说明!A:F,MATCH(I852,数据元说明!C:C,0),6)</f>
        <v>C3</v>
      </c>
      <c r="M852" s="68"/>
      <c r="N852" s="68" t="s">
        <v>1601</v>
      </c>
      <c r="O852" s="68"/>
      <c r="P852" s="68"/>
    </row>
    <row r="853" ht="39.95" hidden="1" customHeight="1" outlineLevel="1" spans="1:16">
      <c r="A853" s="63"/>
      <c r="B853" s="64"/>
      <c r="C853" s="59" t="s">
        <v>173</v>
      </c>
      <c r="D853" s="59" t="s">
        <v>2576</v>
      </c>
      <c r="E853" s="65">
        <v>508</v>
      </c>
      <c r="F853" s="68" t="s">
        <v>2584</v>
      </c>
      <c r="G853" s="65">
        <v>50809</v>
      </c>
      <c r="H853" s="67" t="s">
        <v>2585</v>
      </c>
      <c r="I853" s="68" t="s">
        <v>634</v>
      </c>
      <c r="J853" s="68" t="str">
        <f>INDEX(数据元说明!A:F,MATCH(I853,数据元说明!C:C,0),2)</f>
        <v>003008</v>
      </c>
      <c r="K853" s="68" t="str">
        <f>INDEX(数据元说明!A:F,MATCH(I853,数据元说明!C:C,0),5)</f>
        <v>与币种相对应金额。</v>
      </c>
      <c r="L853" s="68" t="str">
        <f>INDEX(数据元说明!A:F,MATCH(I853,数据元说明!C:C,0),6)</f>
        <v>D20.2</v>
      </c>
      <c r="M853" s="68"/>
      <c r="N853" s="68" t="s">
        <v>1601</v>
      </c>
      <c r="O853" s="68"/>
      <c r="P853" s="68"/>
    </row>
    <row r="854" ht="39.95" hidden="1" customHeight="1" outlineLevel="1" spans="1:16">
      <c r="A854" s="63"/>
      <c r="B854" s="64"/>
      <c r="C854" s="59" t="s">
        <v>173</v>
      </c>
      <c r="D854" s="59" t="s">
        <v>2576</v>
      </c>
      <c r="E854" s="65">
        <v>508</v>
      </c>
      <c r="F854" s="68" t="s">
        <v>2586</v>
      </c>
      <c r="G854" s="65">
        <v>50810</v>
      </c>
      <c r="H854" s="67" t="s">
        <v>2587</v>
      </c>
      <c r="I854" s="68" t="s">
        <v>345</v>
      </c>
      <c r="J854" s="68" t="str">
        <f>INDEX(数据元说明!A:F,MATCH(I854,数据元说明!C:C,0),2)</f>
        <v>001005</v>
      </c>
      <c r="K854" s="68" t="str">
        <f>INDEX(数据元说明!A:F,MATCH(I854,数据元说明!C:C,0),5)</f>
        <v>YYYYMMDD，默认值99991231。</v>
      </c>
      <c r="L854" s="68" t="str">
        <f>INDEX(数据元说明!A:F,MATCH(I854,数据元说明!C:C,0),6)</f>
        <v>C8</v>
      </c>
      <c r="M854" s="68"/>
      <c r="N854" s="68" t="s">
        <v>1601</v>
      </c>
      <c r="O854" s="68"/>
      <c r="P854" s="68"/>
    </row>
    <row r="855" ht="39.95" hidden="1" customHeight="1" outlineLevel="1" spans="1:16">
      <c r="A855" s="63"/>
      <c r="B855" s="64"/>
      <c r="C855" s="59" t="s">
        <v>173</v>
      </c>
      <c r="D855" s="59" t="s">
        <v>2576</v>
      </c>
      <c r="E855" s="65">
        <v>508</v>
      </c>
      <c r="F855" s="68" t="s">
        <v>2588</v>
      </c>
      <c r="G855" s="65">
        <v>50811</v>
      </c>
      <c r="H855" s="67" t="s">
        <v>2589</v>
      </c>
      <c r="I855" s="68" t="s">
        <v>345</v>
      </c>
      <c r="J855" s="68" t="str">
        <f>INDEX(数据元说明!A:F,MATCH(I855,数据元说明!C:C,0),2)</f>
        <v>001005</v>
      </c>
      <c r="K855" s="68" t="str">
        <f>INDEX(数据元说明!A:F,MATCH(I855,数据元说明!C:C,0),5)</f>
        <v>YYYYMMDD，默认值99991231。</v>
      </c>
      <c r="L855" s="68" t="str">
        <f>INDEX(数据元说明!A:F,MATCH(I855,数据元说明!C:C,0),6)</f>
        <v>C8</v>
      </c>
      <c r="M855" s="68"/>
      <c r="N855" s="68" t="s">
        <v>1601</v>
      </c>
      <c r="O855" s="68"/>
      <c r="P855" s="68"/>
    </row>
    <row r="856" ht="39.95" hidden="1" customHeight="1" outlineLevel="1" spans="1:16">
      <c r="A856" s="63"/>
      <c r="B856" s="64"/>
      <c r="C856" s="59" t="s">
        <v>173</v>
      </c>
      <c r="D856" s="59" t="s">
        <v>2576</v>
      </c>
      <c r="E856" s="65">
        <v>508</v>
      </c>
      <c r="F856" s="68" t="s">
        <v>2590</v>
      </c>
      <c r="G856" s="65">
        <v>50812</v>
      </c>
      <c r="H856" s="67" t="s">
        <v>2591</v>
      </c>
      <c r="I856" s="68" t="s">
        <v>325</v>
      </c>
      <c r="J856" s="68" t="str">
        <f>INDEX(数据元说明!A:F,MATCH(I856,数据元说明!C:C,0),2)</f>
        <v>001001</v>
      </c>
      <c r="K856" s="68" t="str">
        <f>INDEX(数据元说明!A:F,MATCH(I856,数据元说明!C:C,0),5)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56" s="68" t="str">
        <f>INDEX(数据元说明!A:F,MATCH(I856,数据元说明!C:C,0),6)</f>
        <v>C..450</v>
      </c>
      <c r="M856" s="68" t="s">
        <v>2592</v>
      </c>
      <c r="N856" s="68" t="s">
        <v>1601</v>
      </c>
      <c r="O856" s="68"/>
      <c r="P856" s="68"/>
    </row>
    <row r="857" ht="39.95" hidden="1" customHeight="1" outlineLevel="1" spans="1:16">
      <c r="A857" s="63"/>
      <c r="B857" s="64"/>
      <c r="C857" s="59" t="s">
        <v>173</v>
      </c>
      <c r="D857" s="59" t="s">
        <v>2576</v>
      </c>
      <c r="E857" s="65">
        <v>508</v>
      </c>
      <c r="F857" s="68" t="s">
        <v>2593</v>
      </c>
      <c r="G857" s="65">
        <v>50813</v>
      </c>
      <c r="H857" s="67" t="s">
        <v>2594</v>
      </c>
      <c r="I857" s="68" t="s">
        <v>325</v>
      </c>
      <c r="J857" s="68" t="str">
        <f>INDEX(数据元说明!A:F,MATCH(I857,数据元说明!C:C,0),2)</f>
        <v>001001</v>
      </c>
      <c r="K857" s="68" t="str">
        <f>INDEX(数据元说明!A:F,MATCH(I857,数据元说明!C:C,0),5)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57" s="68" t="str">
        <f>INDEX(数据元说明!A:F,MATCH(I857,数据元说明!C:C,0),6)</f>
        <v>C..450</v>
      </c>
      <c r="M857" s="68" t="s">
        <v>2595</v>
      </c>
      <c r="N857" s="68" t="s">
        <v>1601</v>
      </c>
      <c r="O857" s="68"/>
      <c r="P857" s="68"/>
    </row>
    <row r="858" ht="39.95" hidden="1" customHeight="1" outlineLevel="1" spans="1:16">
      <c r="A858" s="63"/>
      <c r="B858" s="64"/>
      <c r="C858" s="59" t="s">
        <v>173</v>
      </c>
      <c r="D858" s="59" t="s">
        <v>2576</v>
      </c>
      <c r="E858" s="65">
        <v>508</v>
      </c>
      <c r="F858" s="68" t="s">
        <v>2596</v>
      </c>
      <c r="G858" s="65">
        <v>50814</v>
      </c>
      <c r="H858" s="67" t="s">
        <v>2597</v>
      </c>
      <c r="I858" s="68" t="s">
        <v>325</v>
      </c>
      <c r="J858" s="68" t="str">
        <f>INDEX(数据元说明!A:F,MATCH(I858,数据元说明!C:C,0),2)</f>
        <v>001001</v>
      </c>
      <c r="K858" s="68" t="str">
        <f>INDEX(数据元说明!A:F,MATCH(I858,数据元说明!C:C,0),5)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58" s="68" t="str">
        <f>INDEX(数据元说明!A:F,MATCH(I858,数据元说明!C:C,0),6)</f>
        <v>C..450</v>
      </c>
      <c r="M858" s="68" t="s">
        <v>2598</v>
      </c>
      <c r="N858" s="68" t="s">
        <v>1601</v>
      </c>
      <c r="O858" s="68"/>
      <c r="P858" s="68"/>
    </row>
    <row r="859" ht="39.95" hidden="1" customHeight="1" outlineLevel="1" spans="1:16">
      <c r="A859" s="63"/>
      <c r="B859" s="64"/>
      <c r="C859" s="59" t="s">
        <v>173</v>
      </c>
      <c r="D859" s="59" t="s">
        <v>2576</v>
      </c>
      <c r="E859" s="65">
        <v>508</v>
      </c>
      <c r="F859" s="68" t="s">
        <v>2599</v>
      </c>
      <c r="G859" s="65">
        <v>50815</v>
      </c>
      <c r="H859" s="67" t="s">
        <v>2600</v>
      </c>
      <c r="I859" s="68" t="s">
        <v>488</v>
      </c>
      <c r="J859" s="68" t="str">
        <f>INDEX(数据元说明!A:F,MATCH(I859,数据元说明!C:C,0),2)</f>
        <v>002001</v>
      </c>
      <c r="K859" s="68" t="str">
        <f>INDEX(数据元说明!A:F,MATCH(I859,数据元说明!C:C,0),5)</f>
        <v>银行自定义的唯一识别客户的标识。供应链融资的填写供应链融资编码。</v>
      </c>
      <c r="L859" s="68" t="str">
        <f>INDEX(数据元说明!A:F,MATCH(I859,数据元说明!C:C,0),6)</f>
        <v>C..60</v>
      </c>
      <c r="M859" s="68"/>
      <c r="N859" s="68" t="s">
        <v>1601</v>
      </c>
      <c r="O859" s="68"/>
      <c r="P859" s="68"/>
    </row>
    <row r="860" ht="39.95" hidden="1" customHeight="1" outlineLevel="1" spans="1:16">
      <c r="A860" s="63"/>
      <c r="B860" s="64"/>
      <c r="C860" s="59" t="s">
        <v>173</v>
      </c>
      <c r="D860" s="59" t="s">
        <v>2576</v>
      </c>
      <c r="E860" s="65">
        <v>508</v>
      </c>
      <c r="F860" s="68" t="s">
        <v>2601</v>
      </c>
      <c r="G860" s="65">
        <v>50816</v>
      </c>
      <c r="H860" s="67" t="s">
        <v>2602</v>
      </c>
      <c r="I860" s="67" t="s">
        <v>704</v>
      </c>
      <c r="J860" s="68" t="str">
        <f>INDEX(数据元说明!A:F,MATCH(I860,数据元说明!C:C,0),2)</f>
        <v>003025</v>
      </c>
      <c r="K860" s="68" t="str">
        <f>INDEX(数据元说明!A:F,MATCH(I860,数据元说明!C:C,0),5)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860" s="68" t="str">
        <f>INDEX(数据元说明!A:F,MATCH(I860,数据元说明!C:C,0),6)</f>
        <v>C..60</v>
      </c>
      <c r="M860" s="68" t="s">
        <v>2603</v>
      </c>
      <c r="N860" s="68" t="s">
        <v>1601</v>
      </c>
      <c r="O860" s="68"/>
      <c r="P860" s="68"/>
    </row>
    <row r="861" ht="39.95" hidden="1" customHeight="1" outlineLevel="1" spans="1:16">
      <c r="A861" s="63"/>
      <c r="B861" s="64"/>
      <c r="C861" s="59" t="s">
        <v>173</v>
      </c>
      <c r="D861" s="59" t="s">
        <v>2576</v>
      </c>
      <c r="E861" s="65">
        <v>508</v>
      </c>
      <c r="F861" s="68" t="s">
        <v>2604</v>
      </c>
      <c r="G861" s="65">
        <v>50817</v>
      </c>
      <c r="H861" s="67" t="s">
        <v>2605</v>
      </c>
      <c r="I861" s="68" t="s">
        <v>325</v>
      </c>
      <c r="J861" s="68" t="str">
        <f>INDEX(数据元说明!A:F,MATCH(I861,数据元说明!C:C,0),2)</f>
        <v>001001</v>
      </c>
      <c r="K861" s="68" t="str">
        <f>INDEX(数据元说明!A:F,MATCH(I861,数据元说明!C:C,0),5)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61" s="68" t="str">
        <f>INDEX(数据元说明!A:F,MATCH(I861,数据元说明!C:C,0),6)</f>
        <v>C..450</v>
      </c>
      <c r="M861" s="68" t="s">
        <v>2606</v>
      </c>
      <c r="N861" s="68" t="s">
        <v>1601</v>
      </c>
      <c r="O861" s="68"/>
      <c r="P861" s="68"/>
    </row>
    <row r="862" ht="39.95" hidden="1" customHeight="1" outlineLevel="1" spans="1:16">
      <c r="A862" s="63"/>
      <c r="B862" s="64"/>
      <c r="C862" s="59" t="s">
        <v>173</v>
      </c>
      <c r="D862" s="59" t="s">
        <v>2576</v>
      </c>
      <c r="E862" s="65">
        <v>508</v>
      </c>
      <c r="F862" s="68" t="s">
        <v>2607</v>
      </c>
      <c r="G862" s="65">
        <v>50818</v>
      </c>
      <c r="H862" s="67" t="s">
        <v>2608</v>
      </c>
      <c r="I862" s="68" t="s">
        <v>634</v>
      </c>
      <c r="J862" s="68" t="str">
        <f>INDEX(数据元说明!A:F,MATCH(I862,数据元说明!C:C,0),2)</f>
        <v>003008</v>
      </c>
      <c r="K862" s="68" t="str">
        <f>INDEX(数据元说明!A:F,MATCH(I862,数据元说明!C:C,0),5)</f>
        <v>与币种相对应金额。</v>
      </c>
      <c r="L862" s="68" t="str">
        <f>INDEX(数据元说明!A:F,MATCH(I862,数据元说明!C:C,0),6)</f>
        <v>D20.2</v>
      </c>
      <c r="M862" s="68" t="s">
        <v>2609</v>
      </c>
      <c r="N862" s="68" t="s">
        <v>1601</v>
      </c>
      <c r="O862" s="68"/>
      <c r="P862" s="68"/>
    </row>
    <row r="863" ht="39.95" hidden="1" customHeight="1" outlineLevel="1" spans="1:16">
      <c r="A863" s="63"/>
      <c r="B863" s="64"/>
      <c r="C863" s="59" t="s">
        <v>173</v>
      </c>
      <c r="D863" s="59" t="s">
        <v>2576</v>
      </c>
      <c r="E863" s="65">
        <v>508</v>
      </c>
      <c r="F863" s="68" t="s">
        <v>2610</v>
      </c>
      <c r="G863" s="65">
        <v>50819</v>
      </c>
      <c r="H863" s="67" t="s">
        <v>2611</v>
      </c>
      <c r="I863" s="68" t="s">
        <v>345</v>
      </c>
      <c r="J863" s="68" t="str">
        <f>INDEX(数据元说明!A:F,MATCH(I863,数据元说明!C:C,0),2)</f>
        <v>001005</v>
      </c>
      <c r="K863" s="68" t="str">
        <f>INDEX(数据元说明!A:F,MATCH(I863,数据元说明!C:C,0),5)</f>
        <v>YYYYMMDD，默认值99991231。</v>
      </c>
      <c r="L863" s="68" t="str">
        <f>INDEX(数据元说明!A:F,MATCH(I863,数据元说明!C:C,0),6)</f>
        <v>C8</v>
      </c>
      <c r="M863" s="68"/>
      <c r="N863" s="68" t="s">
        <v>1601</v>
      </c>
      <c r="O863" s="68"/>
      <c r="P863" s="68"/>
    </row>
    <row r="864" ht="39.95" hidden="1" customHeight="1" outlineLevel="1" spans="1:16">
      <c r="A864" s="63"/>
      <c r="B864" s="64"/>
      <c r="C864" s="59" t="s">
        <v>173</v>
      </c>
      <c r="D864" s="59" t="s">
        <v>2576</v>
      </c>
      <c r="E864" s="65">
        <v>508</v>
      </c>
      <c r="F864" s="68" t="s">
        <v>2612</v>
      </c>
      <c r="G864" s="65">
        <v>50820</v>
      </c>
      <c r="H864" s="67" t="s">
        <v>2613</v>
      </c>
      <c r="I864" s="68" t="s">
        <v>1313</v>
      </c>
      <c r="J864" s="145" t="str">
        <f>INDEX(数据元说明!A:F,MATCH(I864,数据元说明!C:C,0),2)</f>
        <v>010046</v>
      </c>
      <c r="K864" s="68" t="str">
        <f>INDEX(数据元说明!A:F,MATCH(I864,数据元说明!C:C,0),5)</f>
        <v>以天为单位计的时间长度。</v>
      </c>
      <c r="L864" s="68" t="str">
        <f>INDEX(数据元说明!A:F,MATCH(I864,数据元说明!C:C,0),6)</f>
        <v>I</v>
      </c>
      <c r="M864" s="68"/>
      <c r="N864" s="68" t="s">
        <v>1601</v>
      </c>
      <c r="O864" s="68"/>
      <c r="P864" s="68"/>
    </row>
    <row r="865" ht="39.95" hidden="1" customHeight="1" outlineLevel="1" spans="1:16">
      <c r="A865" s="63"/>
      <c r="B865" s="64"/>
      <c r="C865" s="59" t="s">
        <v>173</v>
      </c>
      <c r="D865" s="59" t="s">
        <v>2576</v>
      </c>
      <c r="E865" s="65">
        <v>508</v>
      </c>
      <c r="F865" s="68" t="s">
        <v>2614</v>
      </c>
      <c r="G865" s="65">
        <v>50821</v>
      </c>
      <c r="H865" s="67" t="s">
        <v>2615</v>
      </c>
      <c r="I865" s="68" t="s">
        <v>670</v>
      </c>
      <c r="J865" s="68" t="str">
        <f>INDEX(数据元说明!A:F,MATCH(I865,数据元说明!C:C,0),2)</f>
        <v>003017</v>
      </c>
      <c r="K865" s="68" t="str">
        <f>INDEX(数据元说明!A:F,MATCH(I865,数据元说明!C:C,0),5)</f>
        <v>百分比为单位，即%，如4.5%填报为4.5。</v>
      </c>
      <c r="L865" s="68" t="str">
        <f>INDEX(数据元说明!A:F,MATCH(I865,数据元说明!C:C,0),6)</f>
        <v>D20.4</v>
      </c>
      <c r="M865" s="68"/>
      <c r="N865" s="68" t="s">
        <v>1601</v>
      </c>
      <c r="O865" s="68"/>
      <c r="P865" s="68"/>
    </row>
    <row r="866" ht="39.95" hidden="1" customHeight="1" outlineLevel="1" spans="1:16">
      <c r="A866" s="63"/>
      <c r="B866" s="64"/>
      <c r="C866" s="59" t="s">
        <v>173</v>
      </c>
      <c r="D866" s="59" t="s">
        <v>2576</v>
      </c>
      <c r="E866" s="65">
        <v>508</v>
      </c>
      <c r="F866" s="68" t="s">
        <v>2616</v>
      </c>
      <c r="G866" s="65">
        <v>50822</v>
      </c>
      <c r="H866" s="67" t="s">
        <v>2617</v>
      </c>
      <c r="I866" s="68" t="s">
        <v>666</v>
      </c>
      <c r="J866" s="68" t="str">
        <f>INDEX(数据元说明!A:F,MATCH(I866,数据元说明!C:C,0),2)</f>
        <v>003016</v>
      </c>
      <c r="K866" s="68" t="str">
        <f>INDEX(数据元说明!A:F,MATCH(I866,数据元说明!C:C,0),5)</f>
        <v>元。</v>
      </c>
      <c r="L866" s="68" t="str">
        <f>INDEX(数据元说明!A:F,MATCH(I866,数据元说明!C:C,0),6)</f>
        <v>D20.2</v>
      </c>
      <c r="M866" s="68"/>
      <c r="N866" s="68" t="s">
        <v>1601</v>
      </c>
      <c r="O866" s="68"/>
      <c r="P866" s="68"/>
    </row>
    <row r="867" ht="39.95" hidden="1" customHeight="1" outlineLevel="1" spans="1:16">
      <c r="A867" s="63"/>
      <c r="B867" s="64"/>
      <c r="C867" s="59" t="s">
        <v>173</v>
      </c>
      <c r="D867" s="59" t="s">
        <v>2576</v>
      </c>
      <c r="E867" s="65">
        <v>508</v>
      </c>
      <c r="F867" s="68" t="s">
        <v>912</v>
      </c>
      <c r="G867" s="65">
        <v>50823</v>
      </c>
      <c r="H867" s="67" t="s">
        <v>2618</v>
      </c>
      <c r="I867" s="68" t="s">
        <v>912</v>
      </c>
      <c r="J867" s="68" t="str">
        <f>INDEX(数据元说明!A:F,MATCH(I867,数据元说明!C:C,0),2)</f>
        <v>005043</v>
      </c>
      <c r="K867" s="68" t="str">
        <f>INDEX(数据元说明!A:F,MATCH(I867,数据元说明!C:C,0),5)</f>
        <v>正常，卖断，解付，垫款，核销，其他-银行自定义。无法以枚举类型填报的，以“其他-XX”填报，其中“XX”为银行自定义状态。</v>
      </c>
      <c r="L867" s="68" t="str">
        <f>INDEX(数据元说明!A:F,MATCH(I867,数据元说明!C:C,0),6)</f>
        <v>C..30</v>
      </c>
      <c r="M867" s="68" t="s">
        <v>2619</v>
      </c>
      <c r="N867" s="68" t="s">
        <v>1601</v>
      </c>
      <c r="O867" s="68"/>
      <c r="P867" s="68"/>
    </row>
    <row r="868" ht="39.95" hidden="1" customHeight="1" outlineLevel="1" spans="1:16">
      <c r="A868" s="63"/>
      <c r="B868" s="64"/>
      <c r="C868" s="59" t="s">
        <v>173</v>
      </c>
      <c r="D868" s="59" t="s">
        <v>2576</v>
      </c>
      <c r="E868" s="65">
        <v>508</v>
      </c>
      <c r="F868" s="67" t="s">
        <v>484</v>
      </c>
      <c r="G868" s="65">
        <v>50824</v>
      </c>
      <c r="H868" s="67" t="s">
        <v>1623</v>
      </c>
      <c r="I868" s="67" t="s">
        <v>484</v>
      </c>
      <c r="J868" s="67" t="str">
        <f>INDEX(数据元说明!A:F,MATCH(I868,数据元说明!C:C,0),2)</f>
        <v>001038</v>
      </c>
      <c r="K868" s="68" t="str">
        <f>INDEX(数据元说明!A:F,MATCH(I868,数据元说明!C:C,0),5)</f>
        <v>银行自定义。</v>
      </c>
      <c r="L868" s="67" t="str">
        <f>INDEX(数据元说明!A:F,MATCH(I868,数据元说明!C:C,0),6)</f>
        <v>C..600</v>
      </c>
      <c r="M868" s="68" t="s">
        <v>1624</v>
      </c>
      <c r="N868" s="68" t="s">
        <v>1601</v>
      </c>
      <c r="O868" s="68"/>
      <c r="P868" s="68"/>
    </row>
    <row r="869" ht="39.95" hidden="1" customHeight="1" outlineLevel="1" spans="1:16">
      <c r="A869" s="63"/>
      <c r="B869" s="64"/>
      <c r="C869" s="59" t="s">
        <v>173</v>
      </c>
      <c r="D869" s="59" t="s">
        <v>2576</v>
      </c>
      <c r="E869" s="65">
        <v>508</v>
      </c>
      <c r="F869" s="68" t="s">
        <v>1625</v>
      </c>
      <c r="G869" s="65">
        <v>50825</v>
      </c>
      <c r="H869" s="67" t="s">
        <v>1626</v>
      </c>
      <c r="I869" s="68" t="s">
        <v>345</v>
      </c>
      <c r="J869" s="68" t="str">
        <f>INDEX(数据元说明!A:F,MATCH(I869,数据元说明!C:C,0),2)</f>
        <v>001005</v>
      </c>
      <c r="K869" s="68" t="str">
        <f>INDEX(数据元说明!A:F,MATCH(I869,数据元说明!C:C,0),5)</f>
        <v>YYYYMMDD，默认值99991231。</v>
      </c>
      <c r="L869" s="68" t="str">
        <f>INDEX(数据元说明!A:F,MATCH(I869,数据元说明!C:C,0),6)</f>
        <v>C8</v>
      </c>
      <c r="M869" s="68" t="s">
        <v>1627</v>
      </c>
      <c r="N869" s="68" t="s">
        <v>1601</v>
      </c>
      <c r="O869" s="68"/>
      <c r="P869" s="68"/>
    </row>
    <row r="870" ht="39.95" hidden="1" customHeight="1" collapsed="1" spans="1:16">
      <c r="A870" s="70"/>
      <c r="B870" s="71"/>
      <c r="C870" s="59" t="s">
        <v>177</v>
      </c>
      <c r="D870" s="59" t="s">
        <v>2620</v>
      </c>
      <c r="E870" s="65">
        <v>509</v>
      </c>
      <c r="F870" s="67"/>
      <c r="G870" s="65"/>
      <c r="H870" s="67"/>
      <c r="I870" s="67"/>
      <c r="J870" s="67"/>
      <c r="K870" s="68"/>
      <c r="L870" s="67"/>
      <c r="M870" s="68" t="str">
        <f>INDEX(表结构总览!D:G,MATCH(D870,表结构总览!D:D,0),4)</f>
        <v>报送本行发生的转贴现买断、转贴现卖断、质押式回购正回购、质押式回购逆回购、买断式回购正回购、买断式回购逆回购、再贴现等业务的明细信息。票据状态为“卖断”、“解付”或“核销”的数据，在报送票据最后状态的次月可不再报送。</v>
      </c>
      <c r="N870" s="68" t="s">
        <v>1601</v>
      </c>
      <c r="O870" s="68"/>
      <c r="P870" s="68"/>
    </row>
    <row r="871" ht="39.95" hidden="1" customHeight="1" outlineLevel="1" spans="1:16">
      <c r="A871" s="63"/>
      <c r="B871" s="64"/>
      <c r="C871" s="59" t="s">
        <v>177</v>
      </c>
      <c r="D871" s="59" t="s">
        <v>2620</v>
      </c>
      <c r="E871" s="65">
        <v>509</v>
      </c>
      <c r="F871" s="67" t="s">
        <v>373</v>
      </c>
      <c r="G871" s="65">
        <v>50901</v>
      </c>
      <c r="H871" s="67" t="s">
        <v>1588</v>
      </c>
      <c r="I871" s="67" t="s">
        <v>373</v>
      </c>
      <c r="J871" s="67" t="str">
        <f>INDEX(数据元说明!A:F,MATCH(I871,数据元说明!C:C,0),2)</f>
        <v>001011</v>
      </c>
      <c r="K871" s="68" t="str">
        <f>INDEX(数据元说明!A:F,MATCH(I871,数据元说明!C:C,0),5)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71" s="67" t="str">
        <f>INDEX(数据元说明!A:F,MATCH(I871,数据元说明!C:C,0),6)</f>
        <v>C..30</v>
      </c>
      <c r="M871" s="68" t="s">
        <v>2488</v>
      </c>
      <c r="N871" s="68" t="s">
        <v>1601</v>
      </c>
      <c r="O871" s="68"/>
      <c r="P871" s="68"/>
    </row>
    <row r="872" ht="39.95" hidden="1" customHeight="1" outlineLevel="1" spans="1:16">
      <c r="A872" s="63"/>
      <c r="B872" s="64"/>
      <c r="C872" s="59" t="s">
        <v>177</v>
      </c>
      <c r="D872" s="59" t="s">
        <v>2620</v>
      </c>
      <c r="E872" s="65">
        <v>509</v>
      </c>
      <c r="F872" s="68" t="s">
        <v>377</v>
      </c>
      <c r="G872" s="65">
        <v>50902</v>
      </c>
      <c r="H872" s="67" t="s">
        <v>1586</v>
      </c>
      <c r="I872" s="68" t="s">
        <v>377</v>
      </c>
      <c r="J872" s="68" t="str">
        <f>INDEX(数据元说明!A:F,MATCH(I872,数据元说明!C:C,0),2)</f>
        <v>001012</v>
      </c>
      <c r="K872" s="68" t="str">
        <f>INDEX(数据元说明!A:F,MATCH(I872,数据元说明!C:C,0),5)</f>
        <v>银行内部机构号。应具有标识机构的唯一性。</v>
      </c>
      <c r="L872" s="68" t="str">
        <f>INDEX(数据元说明!A:F,MATCH(I872,数据元说明!C:C,0),6)</f>
        <v>C..30</v>
      </c>
      <c r="M872" s="68" t="s">
        <v>2621</v>
      </c>
      <c r="N872" s="68" t="s">
        <v>1601</v>
      </c>
      <c r="O872" s="68"/>
      <c r="P872" s="68"/>
    </row>
    <row r="873" ht="39.95" hidden="1" customHeight="1" outlineLevel="1" spans="1:16">
      <c r="A873" s="63"/>
      <c r="B873" s="64"/>
      <c r="C873" s="59" t="s">
        <v>177</v>
      </c>
      <c r="D873" s="59" t="s">
        <v>2620</v>
      </c>
      <c r="E873" s="65">
        <v>509</v>
      </c>
      <c r="F873" s="68" t="s">
        <v>1592</v>
      </c>
      <c r="G873" s="65">
        <v>50903</v>
      </c>
      <c r="H873" s="67" t="s">
        <v>1593</v>
      </c>
      <c r="I873" s="68" t="s">
        <v>325</v>
      </c>
      <c r="J873" s="68" t="str">
        <f>INDEX(数据元说明!A:F,MATCH(I873,数据元说明!C:C,0),2)</f>
        <v>001001</v>
      </c>
      <c r="K873" s="68" t="str">
        <f>INDEX(数据元说明!A:F,MATCH(I873,数据元说明!C:C,0),5)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73" s="68" t="str">
        <f>INDEX(数据元说明!A:F,MATCH(I873,数据元说明!C:C,0),6)</f>
        <v>C..450</v>
      </c>
      <c r="M873" s="68" t="s">
        <v>2622</v>
      </c>
      <c r="N873" s="68" t="s">
        <v>1601</v>
      </c>
      <c r="O873" s="68"/>
      <c r="P873" s="68"/>
    </row>
    <row r="874" ht="39.95" hidden="1" customHeight="1" outlineLevel="1" spans="1:16">
      <c r="A874" s="70"/>
      <c r="B874" s="71"/>
      <c r="C874" s="59" t="s">
        <v>177</v>
      </c>
      <c r="D874" s="59" t="s">
        <v>2620</v>
      </c>
      <c r="E874" s="65">
        <v>509</v>
      </c>
      <c r="F874" s="67" t="s">
        <v>2257</v>
      </c>
      <c r="G874" s="65">
        <v>50904</v>
      </c>
      <c r="H874" s="67" t="s">
        <v>2258</v>
      </c>
      <c r="I874" s="67" t="s">
        <v>683</v>
      </c>
      <c r="J874" s="67" t="str">
        <f>INDEX(数据元说明!A:F,MATCH(I874,数据元说明!C:C,0),2)</f>
        <v>003020</v>
      </c>
      <c r="K874" s="68" t="str">
        <f>INDEX(数据元说明!A:F,MATCH(I874,数据元说明!C:C,0),5)</f>
        <v>合同号。</v>
      </c>
      <c r="L874" s="67" t="str">
        <f>INDEX(数据元说明!A:F,MATCH(I874,数据元说明!C:C,0),6)</f>
        <v>C..100</v>
      </c>
      <c r="M874" s="68" t="s">
        <v>2623</v>
      </c>
      <c r="N874" s="68" t="s">
        <v>1601</v>
      </c>
      <c r="O874" s="68"/>
      <c r="P874" s="68" t="s">
        <v>1634</v>
      </c>
    </row>
    <row r="875" ht="39.95" hidden="1" customHeight="1" outlineLevel="1" spans="1:16">
      <c r="A875" s="70"/>
      <c r="B875" s="71"/>
      <c r="C875" s="59" t="s">
        <v>177</v>
      </c>
      <c r="D875" s="59" t="s">
        <v>2620</v>
      </c>
      <c r="E875" s="65">
        <v>509</v>
      </c>
      <c r="F875" s="67" t="s">
        <v>2260</v>
      </c>
      <c r="G875" s="65">
        <v>50905</v>
      </c>
      <c r="H875" s="67" t="s">
        <v>2261</v>
      </c>
      <c r="I875" s="67" t="s">
        <v>678</v>
      </c>
      <c r="J875" s="67" t="str">
        <f>INDEX(数据元说明!A:F,MATCH(I875,数据元说明!C:C,0),2)</f>
        <v>003019</v>
      </c>
      <c r="K875" s="68" t="str">
        <f>INDEX(数据元说明!A:F,MATCH(I875,数据元说明!C:C,0),5)</f>
        <v>借据统一编号。</v>
      </c>
      <c r="L875" s="67" t="str">
        <f>INDEX(数据元说明!A:F,MATCH(I875,数据元说明!C:C,0),6)</f>
        <v>C..100</v>
      </c>
      <c r="M875" s="68" t="s">
        <v>2624</v>
      </c>
      <c r="N875" s="68" t="s">
        <v>1601</v>
      </c>
      <c r="O875" s="68"/>
      <c r="P875" s="68"/>
    </row>
    <row r="876" ht="39.95" hidden="1" customHeight="1" outlineLevel="1" spans="1:16">
      <c r="A876" s="63"/>
      <c r="B876" s="64"/>
      <c r="C876" s="59" t="s">
        <v>177</v>
      </c>
      <c r="D876" s="59" t="s">
        <v>2620</v>
      </c>
      <c r="E876" s="65">
        <v>509</v>
      </c>
      <c r="F876" s="68" t="s">
        <v>796</v>
      </c>
      <c r="G876" s="65">
        <v>50906</v>
      </c>
      <c r="H876" s="67" t="s">
        <v>2582</v>
      </c>
      <c r="I876" s="68" t="s">
        <v>796</v>
      </c>
      <c r="J876" s="68" t="str">
        <f>INDEX(数据元说明!A:F,MATCH(I876,数据元说明!C:C,0),2)</f>
        <v>005014</v>
      </c>
      <c r="K876" s="68" t="str">
        <f>INDEX(数据元说明!A:F,MATCH(I876,数据元说明!C:C,0),5)</f>
        <v>票据号码。</v>
      </c>
      <c r="L876" s="68" t="str">
        <f>INDEX(数据元说明!A:F,MATCH(I876,数据元说明!C:C,0),6)</f>
        <v>C..60</v>
      </c>
      <c r="M876" s="68" t="s">
        <v>1679</v>
      </c>
      <c r="N876" s="68" t="s">
        <v>1601</v>
      </c>
      <c r="O876" s="68"/>
      <c r="P876" s="68"/>
    </row>
    <row r="877" ht="39.95" hidden="1" customHeight="1" outlineLevel="1" spans="1:16">
      <c r="A877" s="63"/>
      <c r="B877" s="64"/>
      <c r="C877" s="59" t="s">
        <v>177</v>
      </c>
      <c r="D877" s="59" t="s">
        <v>2620</v>
      </c>
      <c r="E877" s="65">
        <v>509</v>
      </c>
      <c r="F877" s="68" t="s">
        <v>804</v>
      </c>
      <c r="G877" s="65">
        <v>50907</v>
      </c>
      <c r="H877" s="67" t="s">
        <v>2583</v>
      </c>
      <c r="I877" s="68" t="s">
        <v>804</v>
      </c>
      <c r="J877" s="68" t="str">
        <f>INDEX(数据元说明!A:F,MATCH(I877,数据元说明!C:C,0),2)</f>
        <v>005016</v>
      </c>
      <c r="K877" s="68" t="str">
        <f>INDEX(数据元说明!A:F,MATCH(I877,数据元说明!C:C,0),5)</f>
        <v>银行承兑汇票，商业承兑汇票。</v>
      </c>
      <c r="L877" s="68" t="str">
        <f>INDEX(数据元说明!A:F,MATCH(I877,数据元说明!C:C,0),6)</f>
        <v>C..30</v>
      </c>
      <c r="M877" s="68"/>
      <c r="N877" s="68" t="s">
        <v>1601</v>
      </c>
      <c r="O877" s="68"/>
      <c r="P877" s="68"/>
    </row>
    <row r="878" ht="39.95" hidden="1" customHeight="1" outlineLevel="1" spans="1:16">
      <c r="A878" s="63"/>
      <c r="B878" s="64"/>
      <c r="C878" s="59" t="s">
        <v>177</v>
      </c>
      <c r="D878" s="59" t="s">
        <v>2620</v>
      </c>
      <c r="E878" s="65">
        <v>509</v>
      </c>
      <c r="F878" s="68" t="s">
        <v>642</v>
      </c>
      <c r="G878" s="65">
        <v>50908</v>
      </c>
      <c r="H878" s="67" t="s">
        <v>1914</v>
      </c>
      <c r="I878" s="68" t="s">
        <v>642</v>
      </c>
      <c r="J878" s="68" t="str">
        <f>INDEX(数据元说明!A:F,MATCH(I878,数据元说明!C:C,0),2)</f>
        <v>003010</v>
      </c>
      <c r="K878" s="68" t="str">
        <f>INDEX(数据元说明!A:F,MATCH(I878,数据元说明!C:C,0),5)</f>
        <v>遵循《GB/T 12406 表示货币和资金的代码》的字母代码，如CNY。上述文件所列币种无法涵盖的，允许银行自定义填报。多个币种合计折算为人民币（本外币合计）的，填报为BWB。</v>
      </c>
      <c r="L878" s="68" t="str">
        <f>INDEX(数据元说明!A:F,MATCH(I878,数据元说明!C:C,0),6)</f>
        <v>C3</v>
      </c>
      <c r="M878" s="68"/>
      <c r="N878" s="68" t="s">
        <v>1601</v>
      </c>
      <c r="O878" s="68"/>
      <c r="P878" s="68"/>
    </row>
    <row r="879" ht="39.95" hidden="1" customHeight="1" outlineLevel="1" spans="1:16">
      <c r="A879" s="63"/>
      <c r="B879" s="64"/>
      <c r="C879" s="59" t="s">
        <v>177</v>
      </c>
      <c r="D879" s="59" t="s">
        <v>2620</v>
      </c>
      <c r="E879" s="65">
        <v>509</v>
      </c>
      <c r="F879" s="68" t="s">
        <v>2584</v>
      </c>
      <c r="G879" s="65">
        <v>50909</v>
      </c>
      <c r="H879" s="67" t="s">
        <v>2585</v>
      </c>
      <c r="I879" s="68" t="s">
        <v>634</v>
      </c>
      <c r="J879" s="68" t="str">
        <f>INDEX(数据元说明!A:F,MATCH(I879,数据元说明!C:C,0),2)</f>
        <v>003008</v>
      </c>
      <c r="K879" s="68" t="str">
        <f>INDEX(数据元说明!A:F,MATCH(I879,数据元说明!C:C,0),5)</f>
        <v>与币种相对应金额。</v>
      </c>
      <c r="L879" s="68" t="str">
        <f>INDEX(数据元说明!A:F,MATCH(I879,数据元说明!C:C,0),6)</f>
        <v>D20.2</v>
      </c>
      <c r="M879" s="68"/>
      <c r="N879" s="68" t="s">
        <v>1601</v>
      </c>
      <c r="O879" s="68"/>
      <c r="P879" s="68"/>
    </row>
    <row r="880" ht="39.95" hidden="1" customHeight="1" outlineLevel="1" spans="1:16">
      <c r="A880" s="63"/>
      <c r="B880" s="64"/>
      <c r="C880" s="59" t="s">
        <v>177</v>
      </c>
      <c r="D880" s="59" t="s">
        <v>2620</v>
      </c>
      <c r="E880" s="65">
        <v>509</v>
      </c>
      <c r="F880" s="68" t="s">
        <v>2586</v>
      </c>
      <c r="G880" s="65">
        <v>50910</v>
      </c>
      <c r="H880" s="67" t="s">
        <v>2587</v>
      </c>
      <c r="I880" s="68" t="s">
        <v>345</v>
      </c>
      <c r="J880" s="68" t="str">
        <f>INDEX(数据元说明!A:F,MATCH(I880,数据元说明!C:C,0),2)</f>
        <v>001005</v>
      </c>
      <c r="K880" s="68" t="str">
        <f>INDEX(数据元说明!A:F,MATCH(I880,数据元说明!C:C,0),5)</f>
        <v>YYYYMMDD，默认值99991231。</v>
      </c>
      <c r="L880" s="68" t="str">
        <f>INDEX(数据元说明!A:F,MATCH(I880,数据元说明!C:C,0),6)</f>
        <v>C8</v>
      </c>
      <c r="M880" s="68"/>
      <c r="N880" s="68" t="s">
        <v>1601</v>
      </c>
      <c r="O880" s="68"/>
      <c r="P880" s="68"/>
    </row>
    <row r="881" ht="39.95" hidden="1" customHeight="1" outlineLevel="1" spans="1:16">
      <c r="A881" s="63"/>
      <c r="B881" s="64"/>
      <c r="C881" s="59" t="s">
        <v>177</v>
      </c>
      <c r="D881" s="59" t="s">
        <v>2620</v>
      </c>
      <c r="E881" s="65">
        <v>509</v>
      </c>
      <c r="F881" s="68" t="s">
        <v>2588</v>
      </c>
      <c r="G881" s="65">
        <v>50911</v>
      </c>
      <c r="H881" s="67" t="s">
        <v>2589</v>
      </c>
      <c r="I881" s="68" t="s">
        <v>345</v>
      </c>
      <c r="J881" s="68" t="str">
        <f>INDEX(数据元说明!A:F,MATCH(I881,数据元说明!C:C,0),2)</f>
        <v>001005</v>
      </c>
      <c r="K881" s="68" t="str">
        <f>INDEX(数据元说明!A:F,MATCH(I881,数据元说明!C:C,0),5)</f>
        <v>YYYYMMDD，默认值99991231。</v>
      </c>
      <c r="L881" s="68" t="str">
        <f>INDEX(数据元说明!A:F,MATCH(I881,数据元说明!C:C,0),6)</f>
        <v>C8</v>
      </c>
      <c r="M881" s="68"/>
      <c r="N881" s="68" t="s">
        <v>1601</v>
      </c>
      <c r="O881" s="68"/>
      <c r="P881" s="68"/>
    </row>
    <row r="882" ht="39.95" hidden="1" customHeight="1" outlineLevel="1" spans="1:16">
      <c r="A882" s="63"/>
      <c r="B882" s="64"/>
      <c r="C882" s="59" t="s">
        <v>177</v>
      </c>
      <c r="D882" s="59" t="s">
        <v>2620</v>
      </c>
      <c r="E882" s="65">
        <v>509</v>
      </c>
      <c r="F882" s="68" t="s">
        <v>2590</v>
      </c>
      <c r="G882" s="65">
        <v>50912</v>
      </c>
      <c r="H882" s="67" t="s">
        <v>2591</v>
      </c>
      <c r="I882" s="68" t="s">
        <v>325</v>
      </c>
      <c r="J882" s="68" t="str">
        <f>INDEX(数据元说明!A:F,MATCH(I882,数据元说明!C:C,0),2)</f>
        <v>001001</v>
      </c>
      <c r="K882" s="68" t="str">
        <f>INDEX(数据元说明!A:F,MATCH(I882,数据元说明!C:C,0),5)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82" s="68" t="str">
        <f>INDEX(数据元说明!A:F,MATCH(I882,数据元说明!C:C,0),6)</f>
        <v>C..450</v>
      </c>
      <c r="M882" s="68"/>
      <c r="N882" s="68" t="s">
        <v>1601</v>
      </c>
      <c r="O882" s="68"/>
      <c r="P882" s="68"/>
    </row>
    <row r="883" ht="39.95" hidden="1" customHeight="1" outlineLevel="1" spans="1:16">
      <c r="A883" s="63"/>
      <c r="B883" s="64"/>
      <c r="C883" s="59" t="s">
        <v>177</v>
      </c>
      <c r="D883" s="59" t="s">
        <v>2620</v>
      </c>
      <c r="E883" s="65">
        <v>509</v>
      </c>
      <c r="F883" s="68" t="s">
        <v>2593</v>
      </c>
      <c r="G883" s="65">
        <v>50913</v>
      </c>
      <c r="H883" s="67" t="s">
        <v>2594</v>
      </c>
      <c r="I883" s="68" t="s">
        <v>325</v>
      </c>
      <c r="J883" s="68" t="str">
        <f>INDEX(数据元说明!A:F,MATCH(I883,数据元说明!C:C,0),2)</f>
        <v>001001</v>
      </c>
      <c r="K883" s="68" t="str">
        <f>INDEX(数据元说明!A:F,MATCH(I883,数据元说明!C:C,0),5)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83" s="68" t="str">
        <f>INDEX(数据元说明!A:F,MATCH(I883,数据元说明!C:C,0),6)</f>
        <v>C..450</v>
      </c>
      <c r="M883" s="68"/>
      <c r="N883" s="68" t="s">
        <v>1601</v>
      </c>
      <c r="O883" s="68"/>
      <c r="P883" s="68"/>
    </row>
    <row r="884" ht="39.95" hidden="1" customHeight="1" outlineLevel="1" spans="1:16">
      <c r="A884" s="63"/>
      <c r="B884" s="64"/>
      <c r="C884" s="59" t="s">
        <v>177</v>
      </c>
      <c r="D884" s="59" t="s">
        <v>2620</v>
      </c>
      <c r="E884" s="65">
        <v>509</v>
      </c>
      <c r="F884" s="68" t="s">
        <v>2596</v>
      </c>
      <c r="G884" s="65">
        <v>50914</v>
      </c>
      <c r="H884" s="67" t="s">
        <v>2597</v>
      </c>
      <c r="I884" s="68" t="s">
        <v>325</v>
      </c>
      <c r="J884" s="68" t="str">
        <f>INDEX(数据元说明!A:F,MATCH(I884,数据元说明!C:C,0),2)</f>
        <v>001001</v>
      </c>
      <c r="K884" s="68" t="str">
        <f>INDEX(数据元说明!A:F,MATCH(I884,数据元说明!C:C,0),5)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84" s="68" t="str">
        <f>INDEX(数据元说明!A:F,MATCH(I884,数据元说明!C:C,0),6)</f>
        <v>C..450</v>
      </c>
      <c r="M884" s="68"/>
      <c r="N884" s="68" t="s">
        <v>1601</v>
      </c>
      <c r="O884" s="68"/>
      <c r="P884" s="68"/>
    </row>
    <row r="885" ht="39.95" hidden="1" customHeight="1" outlineLevel="1" spans="1:16">
      <c r="A885" s="63"/>
      <c r="B885" s="64"/>
      <c r="C885" s="59" t="s">
        <v>177</v>
      </c>
      <c r="D885" s="59" t="s">
        <v>2620</v>
      </c>
      <c r="E885" s="65">
        <v>509</v>
      </c>
      <c r="F885" s="68" t="s">
        <v>2610</v>
      </c>
      <c r="G885" s="65">
        <v>50915</v>
      </c>
      <c r="H885" s="67" t="s">
        <v>2611</v>
      </c>
      <c r="I885" s="68" t="s">
        <v>345</v>
      </c>
      <c r="J885" s="68" t="str">
        <f>INDEX(数据元说明!A:F,MATCH(I885,数据元说明!C:C,0),2)</f>
        <v>001005</v>
      </c>
      <c r="K885" s="68" t="str">
        <f>INDEX(数据元说明!A:F,MATCH(I885,数据元说明!C:C,0),5)</f>
        <v>YYYYMMDD，默认值99991231。</v>
      </c>
      <c r="L885" s="68" t="str">
        <f>INDEX(数据元说明!A:F,MATCH(I885,数据元说明!C:C,0),6)</f>
        <v>C8</v>
      </c>
      <c r="M885" s="68"/>
      <c r="N885" s="68" t="s">
        <v>1601</v>
      </c>
      <c r="O885" s="68"/>
      <c r="P885" s="68"/>
    </row>
    <row r="886" ht="39.95" hidden="1" customHeight="1" outlineLevel="1" spans="1:16">
      <c r="A886" s="63"/>
      <c r="B886" s="64"/>
      <c r="C886" s="59" t="s">
        <v>177</v>
      </c>
      <c r="D886" s="59" t="s">
        <v>2620</v>
      </c>
      <c r="E886" s="65">
        <v>509</v>
      </c>
      <c r="F886" s="68" t="s">
        <v>2625</v>
      </c>
      <c r="G886" s="65">
        <v>50916</v>
      </c>
      <c r="H886" s="67" t="s">
        <v>2626</v>
      </c>
      <c r="I886" s="68" t="s">
        <v>1164</v>
      </c>
      <c r="J886" s="145" t="str">
        <f>INDEX(数据元说明!A:F,MATCH(I886,数据元说明!C:C,0),2)</f>
        <v>010009</v>
      </c>
      <c r="K886" s="68" t="str">
        <f>INDEX(数据元说明!A:F,MATCH(I886,数据元说明!C:C,0),5)</f>
        <v>买入，卖出。</v>
      </c>
      <c r="L886" s="68" t="str">
        <f>INDEX(数据元说明!A:F,MATCH(I886,数据元说明!C:C,0),6)</f>
        <v>C6</v>
      </c>
      <c r="M886" s="68"/>
      <c r="N886" s="68" t="s">
        <v>1601</v>
      </c>
      <c r="O886" s="68"/>
      <c r="P886" s="68"/>
    </row>
    <row r="887" ht="39.95" hidden="1" customHeight="1" outlineLevel="1" spans="1:16">
      <c r="A887" s="63"/>
      <c r="B887" s="64"/>
      <c r="C887" s="59" t="s">
        <v>177</v>
      </c>
      <c r="D887" s="59" t="s">
        <v>2620</v>
      </c>
      <c r="E887" s="65">
        <v>509</v>
      </c>
      <c r="F887" s="68" t="s">
        <v>916</v>
      </c>
      <c r="G887" s="65">
        <v>50917</v>
      </c>
      <c r="H887" s="67" t="s">
        <v>2627</v>
      </c>
      <c r="I887" s="68" t="s">
        <v>916</v>
      </c>
      <c r="J887" s="68" t="str">
        <f>INDEX(数据元说明!A:F,MATCH(I887,数据元说明!C:C,0),2)</f>
        <v>005044</v>
      </c>
      <c r="K887" s="68" t="str">
        <f>INDEX(数据元说明!A:F,MATCH(I887,数据元说明!C:C,0),5)</f>
        <v>转贴现买断，转贴现卖断，质押式回购正回购，质押式回购逆回购，买断式回购正回购，买断式回购逆回购，再贴现。</v>
      </c>
      <c r="L887" s="68" t="str">
        <f>INDEX(数据元说明!A:F,MATCH(I887,数据元说明!C:C,0),6)</f>
        <v>C..60</v>
      </c>
      <c r="M887" s="68"/>
      <c r="N887" s="68" t="s">
        <v>1601</v>
      </c>
      <c r="O887" s="68"/>
      <c r="P887" s="68"/>
    </row>
    <row r="888" ht="39.95" hidden="1" customHeight="1" outlineLevel="1" spans="1:16">
      <c r="A888" s="63"/>
      <c r="B888" s="64"/>
      <c r="C888" s="59" t="s">
        <v>177</v>
      </c>
      <c r="D888" s="59" t="s">
        <v>2620</v>
      </c>
      <c r="E888" s="65">
        <v>509</v>
      </c>
      <c r="F888" s="68" t="s">
        <v>2628</v>
      </c>
      <c r="G888" s="65">
        <v>50918</v>
      </c>
      <c r="H888" s="67" t="s">
        <v>2629</v>
      </c>
      <c r="I888" s="68" t="s">
        <v>345</v>
      </c>
      <c r="J888" s="68" t="str">
        <f>INDEX(数据元说明!A:F,MATCH(I888,数据元说明!C:C,0),2)</f>
        <v>001005</v>
      </c>
      <c r="K888" s="68" t="str">
        <f>INDEX(数据元说明!A:F,MATCH(I888,数据元说明!C:C,0),5)</f>
        <v>YYYYMMDD，默认值99991231。</v>
      </c>
      <c r="L888" s="68" t="str">
        <f>INDEX(数据元说明!A:F,MATCH(I888,数据元说明!C:C,0),6)</f>
        <v>C8</v>
      </c>
      <c r="M888" s="68"/>
      <c r="N888" s="68" t="s">
        <v>1601</v>
      </c>
      <c r="O888" s="68"/>
      <c r="P888" s="68"/>
    </row>
    <row r="889" ht="39.95" hidden="1" customHeight="1" outlineLevel="1" spans="1:16">
      <c r="A889" s="63"/>
      <c r="B889" s="64"/>
      <c r="C889" s="59" t="s">
        <v>177</v>
      </c>
      <c r="D889" s="59" t="s">
        <v>2620</v>
      </c>
      <c r="E889" s="65">
        <v>509</v>
      </c>
      <c r="F889" s="68" t="s">
        <v>2630</v>
      </c>
      <c r="G889" s="65">
        <v>50919</v>
      </c>
      <c r="H889" s="67" t="s">
        <v>2631</v>
      </c>
      <c r="I889" s="68" t="s">
        <v>634</v>
      </c>
      <c r="J889" s="68" t="str">
        <f>INDEX(数据元说明!A:F,MATCH(I889,数据元说明!C:C,0),2)</f>
        <v>003008</v>
      </c>
      <c r="K889" s="68" t="str">
        <f>INDEX(数据元说明!A:F,MATCH(I889,数据元说明!C:C,0),5)</f>
        <v>与币种相对应金额。</v>
      </c>
      <c r="L889" s="68" t="str">
        <f>INDEX(数据元说明!A:F,MATCH(I889,数据元说明!C:C,0),6)</f>
        <v>D20.2</v>
      </c>
      <c r="M889" s="68" t="s">
        <v>2632</v>
      </c>
      <c r="N889" s="68" t="s">
        <v>1601</v>
      </c>
      <c r="O889" s="68"/>
      <c r="P889" s="68"/>
    </row>
    <row r="890" ht="39.95" hidden="1" customHeight="1" outlineLevel="1" spans="1:16">
      <c r="A890" s="63"/>
      <c r="B890" s="64"/>
      <c r="C890" s="59" t="s">
        <v>177</v>
      </c>
      <c r="D890" s="59" t="s">
        <v>2620</v>
      </c>
      <c r="E890" s="65">
        <v>509</v>
      </c>
      <c r="F890" s="68" t="s">
        <v>2633</v>
      </c>
      <c r="G890" s="65">
        <v>50920</v>
      </c>
      <c r="H890" s="67" t="s">
        <v>2634</v>
      </c>
      <c r="I890" s="68" t="s">
        <v>1313</v>
      </c>
      <c r="J890" s="145" t="str">
        <f>INDEX(数据元说明!A:F,MATCH(I890,数据元说明!C:C,0),2)</f>
        <v>010046</v>
      </c>
      <c r="K890" s="68" t="str">
        <f>INDEX(数据元说明!A:F,MATCH(I890,数据元说明!C:C,0),5)</f>
        <v>以天为单位计的时间长度。</v>
      </c>
      <c r="L890" s="68" t="str">
        <f>INDEX(数据元说明!A:F,MATCH(I890,数据元说明!C:C,0),6)</f>
        <v>I</v>
      </c>
      <c r="M890" s="68" t="s">
        <v>2635</v>
      </c>
      <c r="N890" s="68" t="s">
        <v>1601</v>
      </c>
      <c r="O890" s="68"/>
      <c r="P890" s="68"/>
    </row>
    <row r="891" ht="39.95" hidden="1" customHeight="1" outlineLevel="1" spans="1:16">
      <c r="A891" s="63"/>
      <c r="B891" s="64"/>
      <c r="C891" s="59" t="s">
        <v>177</v>
      </c>
      <c r="D891" s="59" t="s">
        <v>2620</v>
      </c>
      <c r="E891" s="65">
        <v>509</v>
      </c>
      <c r="F891" s="68" t="s">
        <v>2636</v>
      </c>
      <c r="G891" s="65">
        <v>50921</v>
      </c>
      <c r="H891" s="67" t="s">
        <v>2637</v>
      </c>
      <c r="I891" s="68" t="s">
        <v>670</v>
      </c>
      <c r="J891" s="68" t="str">
        <f>INDEX(数据元说明!A:F,MATCH(I891,数据元说明!C:C,0),2)</f>
        <v>003017</v>
      </c>
      <c r="K891" s="68" t="str">
        <f>INDEX(数据元说明!A:F,MATCH(I891,数据元说明!C:C,0),5)</f>
        <v>百分比为单位，即%，如4.5%填报为4.5。</v>
      </c>
      <c r="L891" s="68" t="str">
        <f>INDEX(数据元说明!A:F,MATCH(I891,数据元说明!C:C,0),6)</f>
        <v>D20.4</v>
      </c>
      <c r="M891" s="68"/>
      <c r="N891" s="68" t="s">
        <v>1601</v>
      </c>
      <c r="O891" s="68"/>
      <c r="P891" s="68"/>
    </row>
    <row r="892" ht="39.95" hidden="1" customHeight="1" outlineLevel="1" spans="1:16">
      <c r="A892" s="63"/>
      <c r="B892" s="64"/>
      <c r="C892" s="59" t="s">
        <v>177</v>
      </c>
      <c r="D892" s="59" t="s">
        <v>2620</v>
      </c>
      <c r="E892" s="65">
        <v>509</v>
      </c>
      <c r="F892" s="68" t="s">
        <v>2638</v>
      </c>
      <c r="G892" s="65">
        <v>50922</v>
      </c>
      <c r="H892" s="67" t="s">
        <v>2639</v>
      </c>
      <c r="I892" s="68" t="s">
        <v>666</v>
      </c>
      <c r="J892" s="68" t="str">
        <f>INDEX(数据元说明!A:F,MATCH(I892,数据元说明!C:C,0),2)</f>
        <v>003016</v>
      </c>
      <c r="K892" s="68" t="str">
        <f>INDEX(数据元说明!A:F,MATCH(I892,数据元说明!C:C,0),5)</f>
        <v>元。</v>
      </c>
      <c r="L892" s="68" t="str">
        <f>INDEX(数据元说明!A:F,MATCH(I892,数据元说明!C:C,0),6)</f>
        <v>D20.2</v>
      </c>
      <c r="M892" s="68"/>
      <c r="N892" s="68" t="s">
        <v>1601</v>
      </c>
      <c r="O892" s="68"/>
      <c r="P892" s="68"/>
    </row>
    <row r="893" ht="39.95" hidden="1" customHeight="1" outlineLevel="1" spans="1:16">
      <c r="A893" s="63"/>
      <c r="B893" s="64"/>
      <c r="C893" s="59" t="s">
        <v>177</v>
      </c>
      <c r="D893" s="59" t="s">
        <v>2620</v>
      </c>
      <c r="E893" s="65">
        <v>509</v>
      </c>
      <c r="F893" s="68" t="s">
        <v>2640</v>
      </c>
      <c r="G893" s="65">
        <v>50923</v>
      </c>
      <c r="H893" s="67" t="s">
        <v>2641</v>
      </c>
      <c r="I893" s="68" t="s">
        <v>345</v>
      </c>
      <c r="J893" s="68" t="str">
        <f>INDEX(数据元说明!A:F,MATCH(I893,数据元说明!C:C,0),2)</f>
        <v>001005</v>
      </c>
      <c r="K893" s="68" t="str">
        <f>INDEX(数据元说明!A:F,MATCH(I893,数据元说明!C:C,0),5)</f>
        <v>YYYYMMDD，默认值99991231。</v>
      </c>
      <c r="L893" s="68" t="str">
        <f>INDEX(数据元说明!A:F,MATCH(I893,数据元说明!C:C,0),6)</f>
        <v>C8</v>
      </c>
      <c r="M893" s="68" t="s">
        <v>2642</v>
      </c>
      <c r="N893" s="68" t="s">
        <v>1601</v>
      </c>
      <c r="O893" s="68"/>
      <c r="P893" s="68"/>
    </row>
    <row r="894" ht="39.95" hidden="1" customHeight="1" outlineLevel="1" spans="1:16">
      <c r="A894" s="63"/>
      <c r="B894" s="64"/>
      <c r="C894" s="59" t="s">
        <v>177</v>
      </c>
      <c r="D894" s="59" t="s">
        <v>2620</v>
      </c>
      <c r="E894" s="65">
        <v>509</v>
      </c>
      <c r="F894" s="68" t="s">
        <v>2643</v>
      </c>
      <c r="G894" s="65">
        <v>50924</v>
      </c>
      <c r="H894" s="67" t="s">
        <v>2644</v>
      </c>
      <c r="I894" s="68" t="s">
        <v>634</v>
      </c>
      <c r="J894" s="68" t="str">
        <f>INDEX(数据元说明!A:F,MATCH(I894,数据元说明!C:C,0),2)</f>
        <v>003008</v>
      </c>
      <c r="K894" s="68" t="str">
        <f>INDEX(数据元说明!A:F,MATCH(I894,数据元说明!C:C,0),5)</f>
        <v>与币种相对应金额。</v>
      </c>
      <c r="L894" s="68" t="str">
        <f>INDEX(数据元说明!A:F,MATCH(I894,数据元说明!C:C,0),6)</f>
        <v>D20.2</v>
      </c>
      <c r="M894" s="68" t="s">
        <v>2645</v>
      </c>
      <c r="N894" s="68" t="s">
        <v>1601</v>
      </c>
      <c r="O894" s="68"/>
      <c r="P894" s="68"/>
    </row>
    <row r="895" ht="39.95" hidden="1" customHeight="1" outlineLevel="1" spans="1:16">
      <c r="A895" s="63"/>
      <c r="B895" s="64"/>
      <c r="C895" s="59" t="s">
        <v>177</v>
      </c>
      <c r="D895" s="59" t="s">
        <v>2620</v>
      </c>
      <c r="E895" s="65">
        <v>509</v>
      </c>
      <c r="F895" s="68" t="s">
        <v>2646</v>
      </c>
      <c r="G895" s="65">
        <v>50925</v>
      </c>
      <c r="H895" s="67" t="s">
        <v>2647</v>
      </c>
      <c r="I895" s="68" t="s">
        <v>670</v>
      </c>
      <c r="J895" s="68" t="str">
        <f>INDEX(数据元说明!A:F,MATCH(I895,数据元说明!C:C,0),2)</f>
        <v>003017</v>
      </c>
      <c r="K895" s="68" t="str">
        <f>INDEX(数据元说明!A:F,MATCH(I895,数据元说明!C:C,0),5)</f>
        <v>百分比为单位，即%，如4.5%填报为4.5。</v>
      </c>
      <c r="L895" s="68" t="str">
        <f>INDEX(数据元说明!A:F,MATCH(I895,数据元说明!C:C,0),6)</f>
        <v>D20.4</v>
      </c>
      <c r="M895" s="68" t="s">
        <v>2648</v>
      </c>
      <c r="N895" s="68" t="s">
        <v>1601</v>
      </c>
      <c r="O895" s="68"/>
      <c r="P895" s="68"/>
    </row>
    <row r="896" ht="39.95" hidden="1" customHeight="1" outlineLevel="1" spans="1:16">
      <c r="A896" s="63"/>
      <c r="B896" s="64"/>
      <c r="C896" s="59" t="s">
        <v>177</v>
      </c>
      <c r="D896" s="59" t="s">
        <v>2620</v>
      </c>
      <c r="E896" s="65">
        <v>509</v>
      </c>
      <c r="F896" s="68" t="s">
        <v>2649</v>
      </c>
      <c r="G896" s="65">
        <v>50926</v>
      </c>
      <c r="H896" s="67" t="s">
        <v>2650</v>
      </c>
      <c r="I896" s="68" t="s">
        <v>666</v>
      </c>
      <c r="J896" s="68" t="str">
        <f>INDEX(数据元说明!A:F,MATCH(I896,数据元说明!C:C,0),2)</f>
        <v>003016</v>
      </c>
      <c r="K896" s="68" t="str">
        <f>INDEX(数据元说明!A:F,MATCH(I896,数据元说明!C:C,0),5)</f>
        <v>元。</v>
      </c>
      <c r="L896" s="68" t="str">
        <f>INDEX(数据元说明!A:F,MATCH(I896,数据元说明!C:C,0),6)</f>
        <v>D20.2</v>
      </c>
      <c r="M896" s="68" t="s">
        <v>2648</v>
      </c>
      <c r="N896" s="68" t="s">
        <v>1601</v>
      </c>
      <c r="O896" s="68"/>
      <c r="P896" s="68"/>
    </row>
    <row r="897" ht="39.95" hidden="1" customHeight="1" outlineLevel="1" spans="1:16">
      <c r="A897" s="63"/>
      <c r="B897" s="64"/>
      <c r="C897" s="59" t="s">
        <v>177</v>
      </c>
      <c r="D897" s="59" t="s">
        <v>2620</v>
      </c>
      <c r="E897" s="65">
        <v>509</v>
      </c>
      <c r="F897" s="68" t="s">
        <v>2651</v>
      </c>
      <c r="G897" s="65">
        <v>50927</v>
      </c>
      <c r="H897" s="67" t="s">
        <v>2652</v>
      </c>
      <c r="I897" s="68" t="s">
        <v>325</v>
      </c>
      <c r="J897" s="68" t="str">
        <f>INDEX(数据元说明!A:F,MATCH(I897,数据元说明!C:C,0),2)</f>
        <v>001001</v>
      </c>
      <c r="K897" s="68" t="str">
        <f>INDEX(数据元说明!A:F,MATCH(I897,数据元说明!C:C,0),5)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897" s="68" t="str">
        <f>INDEX(数据元说明!A:F,MATCH(I897,数据元说明!C:C,0),6)</f>
        <v>C..450</v>
      </c>
      <c r="M897" s="68" t="s">
        <v>2653</v>
      </c>
      <c r="N897" s="68" t="s">
        <v>1601</v>
      </c>
      <c r="O897" s="68"/>
      <c r="P897" s="68"/>
    </row>
    <row r="898" ht="39.95" hidden="1" customHeight="1" outlineLevel="1" spans="1:16">
      <c r="A898" s="63"/>
      <c r="B898" s="64"/>
      <c r="C898" s="59" t="s">
        <v>177</v>
      </c>
      <c r="D898" s="59" t="s">
        <v>2620</v>
      </c>
      <c r="E898" s="65">
        <v>509</v>
      </c>
      <c r="F898" s="68" t="s">
        <v>2654</v>
      </c>
      <c r="G898" s="65">
        <v>50928</v>
      </c>
      <c r="H898" s="67" t="s">
        <v>2655</v>
      </c>
      <c r="I898" s="68" t="s">
        <v>369</v>
      </c>
      <c r="J898" s="68" t="str">
        <f>INDEX(数据元说明!A:F,MATCH(I898,数据元说明!C:C,0),2)</f>
        <v>001010</v>
      </c>
      <c r="K898" s="68" t="str">
        <f>INDEX(数据元说明!A:F,MATCH(I898,数据元说明!C:C,0),5)</f>
        <v>12位人行支付行号或SWIFT行号。</v>
      </c>
      <c r="L898" s="68" t="str">
        <f>INDEX(数据元说明!A:F,MATCH(I898,数据元说明!C:C,0),6)</f>
        <v>C..30</v>
      </c>
      <c r="M898" s="68" t="s">
        <v>2656</v>
      </c>
      <c r="N898" s="68" t="s">
        <v>1601</v>
      </c>
      <c r="O898" s="68"/>
      <c r="P898" s="68"/>
    </row>
    <row r="899" ht="39.95" hidden="1" customHeight="1" outlineLevel="1" spans="1:16">
      <c r="A899" s="63"/>
      <c r="B899" s="64"/>
      <c r="C899" s="59" t="s">
        <v>177</v>
      </c>
      <c r="D899" s="59" t="s">
        <v>2620</v>
      </c>
      <c r="E899" s="65">
        <v>509</v>
      </c>
      <c r="F899" s="68" t="s">
        <v>912</v>
      </c>
      <c r="G899" s="65">
        <v>50929</v>
      </c>
      <c r="H899" s="67" t="s">
        <v>2618</v>
      </c>
      <c r="I899" s="68" t="s">
        <v>912</v>
      </c>
      <c r="J899" s="68" t="str">
        <f>INDEX(数据元说明!A:F,MATCH(I899,数据元说明!C:C,0),2)</f>
        <v>005043</v>
      </c>
      <c r="K899" s="68" t="str">
        <f>INDEX(数据元说明!A:F,MATCH(I899,数据元说明!C:C,0),5)</f>
        <v>正常，卖断，解付，垫款，核销，其他-银行自定义。无法以枚举类型填报的，以“其他-XX”填报，其中“XX”为银行自定义状态。</v>
      </c>
      <c r="L899" s="68" t="str">
        <f>INDEX(数据元说明!A:F,MATCH(I899,数据元说明!C:C,0),6)</f>
        <v>C..30</v>
      </c>
      <c r="M899" s="68" t="s">
        <v>2619</v>
      </c>
      <c r="N899" s="68" t="s">
        <v>1601</v>
      </c>
      <c r="O899" s="68"/>
      <c r="P899" s="68"/>
    </row>
    <row r="900" ht="39.95" hidden="1" customHeight="1" outlineLevel="1" spans="1:16">
      <c r="A900" s="63"/>
      <c r="B900" s="64"/>
      <c r="C900" s="59" t="s">
        <v>177</v>
      </c>
      <c r="D900" s="59" t="s">
        <v>2620</v>
      </c>
      <c r="E900" s="65">
        <v>509</v>
      </c>
      <c r="F900" s="67" t="s">
        <v>484</v>
      </c>
      <c r="G900" s="65">
        <v>50930</v>
      </c>
      <c r="H900" s="67" t="s">
        <v>1623</v>
      </c>
      <c r="I900" s="67" t="s">
        <v>484</v>
      </c>
      <c r="J900" s="67" t="str">
        <f>INDEX(数据元说明!A:F,MATCH(I900,数据元说明!C:C,0),2)</f>
        <v>001038</v>
      </c>
      <c r="K900" s="68" t="str">
        <f>INDEX(数据元说明!A:F,MATCH(I900,数据元说明!C:C,0),5)</f>
        <v>银行自定义。</v>
      </c>
      <c r="L900" s="67" t="str">
        <f>INDEX(数据元说明!A:F,MATCH(I900,数据元说明!C:C,0),6)</f>
        <v>C..600</v>
      </c>
      <c r="M900" s="68" t="s">
        <v>1624</v>
      </c>
      <c r="N900" s="68" t="s">
        <v>1601</v>
      </c>
      <c r="O900" s="68"/>
      <c r="P900" s="68"/>
    </row>
    <row r="901" ht="39.95" hidden="1" customHeight="1" outlineLevel="1" spans="1:16">
      <c r="A901" s="63"/>
      <c r="B901" s="64"/>
      <c r="C901" s="59" t="s">
        <v>177</v>
      </c>
      <c r="D901" s="59" t="s">
        <v>2620</v>
      </c>
      <c r="E901" s="65">
        <v>509</v>
      </c>
      <c r="F901" s="68" t="s">
        <v>1625</v>
      </c>
      <c r="G901" s="65">
        <v>50931</v>
      </c>
      <c r="H901" s="67" t="s">
        <v>1626</v>
      </c>
      <c r="I901" s="68" t="s">
        <v>345</v>
      </c>
      <c r="J901" s="68" t="str">
        <f>INDEX(数据元说明!A:F,MATCH(I901,数据元说明!C:C,0),2)</f>
        <v>001005</v>
      </c>
      <c r="K901" s="68" t="str">
        <f>INDEX(数据元说明!A:F,MATCH(I901,数据元说明!C:C,0),5)</f>
        <v>YYYYMMDD，默认值99991231。</v>
      </c>
      <c r="L901" s="68" t="str">
        <f>INDEX(数据元说明!A:F,MATCH(I901,数据元说明!C:C,0),6)</f>
        <v>C8</v>
      </c>
      <c r="M901" s="68" t="s">
        <v>1627</v>
      </c>
      <c r="N901" s="68" t="s">
        <v>1601</v>
      </c>
      <c r="O901" s="68"/>
      <c r="P901" s="68"/>
    </row>
    <row r="902" ht="39.95" hidden="1" customHeight="1" collapsed="1" spans="1:16">
      <c r="A902" s="70"/>
      <c r="B902" s="71"/>
      <c r="C902" s="59" t="s">
        <v>181</v>
      </c>
      <c r="D902" s="59" t="s">
        <v>2657</v>
      </c>
      <c r="E902" s="65">
        <v>510</v>
      </c>
      <c r="F902" s="67"/>
      <c r="G902" s="65"/>
      <c r="H902" s="67"/>
      <c r="I902" s="67"/>
      <c r="J902" s="67"/>
      <c r="K902" s="68"/>
      <c r="L902" s="67"/>
      <c r="M902" s="68" t="str">
        <f>INDEX(表结构总览!D:G,MATCH(D902,表结构总览!D:D,0),4)</f>
        <v>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v>
      </c>
      <c r="N902" s="68" t="s">
        <v>1583</v>
      </c>
      <c r="O902" s="68" t="s">
        <v>484</v>
      </c>
      <c r="P902" s="68"/>
    </row>
    <row r="903" ht="39.95" hidden="1" customHeight="1" outlineLevel="1" spans="1:16">
      <c r="A903" s="63"/>
      <c r="B903" s="64"/>
      <c r="C903" s="59" t="s">
        <v>181</v>
      </c>
      <c r="D903" s="59" t="s">
        <v>2657</v>
      </c>
      <c r="E903" s="65">
        <v>510</v>
      </c>
      <c r="F903" s="67" t="s">
        <v>373</v>
      </c>
      <c r="G903" s="65">
        <v>51001</v>
      </c>
      <c r="H903" s="67" t="s">
        <v>1588</v>
      </c>
      <c r="I903" s="67" t="s">
        <v>373</v>
      </c>
      <c r="J903" s="67" t="str">
        <f>INDEX(数据元说明!A:F,MATCH(I903,数据元说明!C:C,0),2)</f>
        <v>001011</v>
      </c>
      <c r="K903" s="68" t="str">
        <f>INDEX(数据元说明!A:F,MATCH(I903,数据元说明!C:C,0),5)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03" s="67" t="str">
        <f>INDEX(数据元说明!A:F,MATCH(I903,数据元说明!C:C,0),6)</f>
        <v>C..30</v>
      </c>
      <c r="M903" s="68" t="s">
        <v>2658</v>
      </c>
      <c r="N903" s="68"/>
      <c r="O903" s="68"/>
      <c r="P903" s="68"/>
    </row>
    <row r="904" ht="39.95" hidden="1" customHeight="1" outlineLevel="1" spans="1:16">
      <c r="A904" s="70"/>
      <c r="B904" s="71"/>
      <c r="C904" s="59" t="s">
        <v>181</v>
      </c>
      <c r="D904" s="59" t="s">
        <v>2657</v>
      </c>
      <c r="E904" s="65">
        <v>510</v>
      </c>
      <c r="F904" s="67" t="s">
        <v>377</v>
      </c>
      <c r="G904" s="65">
        <v>51002</v>
      </c>
      <c r="H904" s="67" t="s">
        <v>1586</v>
      </c>
      <c r="I904" s="67" t="s">
        <v>377</v>
      </c>
      <c r="J904" s="67" t="str">
        <f>INDEX(数据元说明!A:F,MATCH(I904,数据元说明!C:C,0),2)</f>
        <v>001012</v>
      </c>
      <c r="K904" s="68" t="str">
        <f>INDEX(数据元说明!A:F,MATCH(I904,数据元说明!C:C,0),5)</f>
        <v>银行内部机构号。应具有标识机构的唯一性。</v>
      </c>
      <c r="L904" s="67" t="str">
        <f>INDEX(数据元说明!A:F,MATCH(I904,数据元说明!C:C,0),6)</f>
        <v>C..30</v>
      </c>
      <c r="M904" s="68" t="s">
        <v>2281</v>
      </c>
      <c r="N904" s="68"/>
      <c r="O904" s="68"/>
      <c r="P904" s="68"/>
    </row>
    <row r="905" ht="39.95" hidden="1" customHeight="1" outlineLevel="1" spans="1:16">
      <c r="A905" s="63"/>
      <c r="B905" s="64"/>
      <c r="C905" s="59" t="s">
        <v>181</v>
      </c>
      <c r="D905" s="59" t="s">
        <v>2657</v>
      </c>
      <c r="E905" s="65">
        <v>510</v>
      </c>
      <c r="F905" s="68" t="s">
        <v>1592</v>
      </c>
      <c r="G905" s="65">
        <v>51003</v>
      </c>
      <c r="H905" s="68" t="s">
        <v>1593</v>
      </c>
      <c r="I905" s="68" t="s">
        <v>325</v>
      </c>
      <c r="J905" s="68" t="str">
        <f>INDEX(数据元说明!A:F,MATCH(I905,数据元说明!C:C,0),2)</f>
        <v>001001</v>
      </c>
      <c r="K905" s="68" t="str">
        <f>INDEX(数据元说明!A:F,MATCH(I905,数据元说明!C:C,0),5)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05" s="68" t="str">
        <f>INDEX(数据元说明!A:F,MATCH(I905,数据元说明!C:C,0),6)</f>
        <v>C..450</v>
      </c>
      <c r="M905" s="68" t="s">
        <v>2282</v>
      </c>
      <c r="N905" s="68" t="s">
        <v>1601</v>
      </c>
      <c r="O905" s="68"/>
      <c r="P905" s="68"/>
    </row>
    <row r="906" ht="39.95" hidden="1" customHeight="1" outlineLevel="1" spans="1:16">
      <c r="A906" s="70"/>
      <c r="B906" s="71"/>
      <c r="C906" s="59" t="s">
        <v>181</v>
      </c>
      <c r="D906" s="59" t="s">
        <v>2657</v>
      </c>
      <c r="E906" s="65">
        <v>510</v>
      </c>
      <c r="F906" s="67" t="s">
        <v>2257</v>
      </c>
      <c r="G906" s="65">
        <v>51004</v>
      </c>
      <c r="H906" s="67" t="s">
        <v>2258</v>
      </c>
      <c r="I906" s="67" t="s">
        <v>683</v>
      </c>
      <c r="J906" s="67" t="str">
        <f>INDEX(数据元说明!A:F,MATCH(I906,数据元说明!C:C,0),2)</f>
        <v>003020</v>
      </c>
      <c r="K906" s="68" t="str">
        <f>INDEX(数据元说明!A:F,MATCH(I906,数据元说明!C:C,0),5)</f>
        <v>合同号。</v>
      </c>
      <c r="L906" s="67" t="str">
        <f>INDEX(数据元说明!A:F,MATCH(I906,数据元说明!C:C,0),6)</f>
        <v>C..100</v>
      </c>
      <c r="M906" s="68" t="s">
        <v>2489</v>
      </c>
      <c r="N906" s="68" t="s">
        <v>1583</v>
      </c>
      <c r="O906" s="68" t="s">
        <v>1576</v>
      </c>
      <c r="P906" s="68" t="s">
        <v>1634</v>
      </c>
    </row>
    <row r="907" ht="39.95" hidden="1" customHeight="1" outlineLevel="1" spans="1:16">
      <c r="A907" s="70"/>
      <c r="B907" s="71"/>
      <c r="C907" s="59" t="s">
        <v>181</v>
      </c>
      <c r="D907" s="59" t="s">
        <v>2657</v>
      </c>
      <c r="E907" s="65">
        <v>510</v>
      </c>
      <c r="F907" s="67" t="s">
        <v>2260</v>
      </c>
      <c r="G907" s="65">
        <v>51005</v>
      </c>
      <c r="H907" s="67" t="s">
        <v>2261</v>
      </c>
      <c r="I907" s="67" t="s">
        <v>678</v>
      </c>
      <c r="J907" s="67" t="str">
        <f>INDEX(数据元说明!A:F,MATCH(I907,数据元说明!C:C,0),2)</f>
        <v>003019</v>
      </c>
      <c r="K907" s="68" t="str">
        <f>INDEX(数据元说明!A:F,MATCH(I907,数据元说明!C:C,0),5)</f>
        <v>借据统一编号。</v>
      </c>
      <c r="L907" s="67" t="str">
        <f>INDEX(数据元说明!A:F,MATCH(I907,数据元说明!C:C,0),6)</f>
        <v>C..100</v>
      </c>
      <c r="M907" s="68" t="s">
        <v>2490</v>
      </c>
      <c r="N907" s="68" t="s">
        <v>1583</v>
      </c>
      <c r="O907" s="68" t="s">
        <v>1576</v>
      </c>
      <c r="P907" s="68" t="s">
        <v>1634</v>
      </c>
    </row>
    <row r="908" ht="39.95" hidden="1" customHeight="1" outlineLevel="1" spans="1:16">
      <c r="A908" s="70"/>
      <c r="B908" s="71"/>
      <c r="C908" s="59" t="s">
        <v>181</v>
      </c>
      <c r="D908" s="59" t="s">
        <v>2657</v>
      </c>
      <c r="E908" s="65">
        <v>510</v>
      </c>
      <c r="F908" s="67" t="s">
        <v>808</v>
      </c>
      <c r="G908" s="65">
        <v>51006</v>
      </c>
      <c r="H908" s="67" t="s">
        <v>2659</v>
      </c>
      <c r="I908" s="67" t="s">
        <v>808</v>
      </c>
      <c r="J908" s="67" t="str">
        <f>INDEX(数据元说明!A:F,MATCH(I908,数据元说明!C:C,0),2)</f>
        <v>005017</v>
      </c>
      <c r="K908" s="68" t="str">
        <f>INDEX(数据元说明!A:F,MATCH(I908,数据元说明!C:C,0),5)</f>
        <v>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v>
      </c>
      <c r="L908" s="67" t="str">
        <f>INDEX(数据元说明!A:F,MATCH(I908,数据元说明!C:C,0),6)</f>
        <v>C..60 </v>
      </c>
      <c r="M908" s="68" t="s">
        <v>2660</v>
      </c>
      <c r="N908" s="68" t="s">
        <v>1583</v>
      </c>
      <c r="O908" s="68" t="s">
        <v>1597</v>
      </c>
      <c r="P908" s="68"/>
    </row>
    <row r="909" ht="39.95" hidden="1" customHeight="1" outlineLevel="1" spans="1:16">
      <c r="A909" s="63"/>
      <c r="B909" s="64"/>
      <c r="C909" s="59" t="s">
        <v>181</v>
      </c>
      <c r="D909" s="59" t="s">
        <v>2657</v>
      </c>
      <c r="E909" s="65">
        <v>510</v>
      </c>
      <c r="F909" s="68" t="s">
        <v>642</v>
      </c>
      <c r="G909" s="65">
        <v>51007</v>
      </c>
      <c r="H909" s="67" t="s">
        <v>1914</v>
      </c>
      <c r="I909" s="68" t="s">
        <v>642</v>
      </c>
      <c r="J909" s="68" t="str">
        <f>INDEX(数据元说明!A:F,MATCH(I909,数据元说明!C:C,0),2)</f>
        <v>003010</v>
      </c>
      <c r="K909" s="68" t="str">
        <f>INDEX(数据元说明!A:F,MATCH(I909,数据元说明!C:C,0),5)</f>
        <v>遵循《GB/T 12406 表示货币和资金的代码》的字母代码，如CNY。上述文件所列币种无法涵盖的，允许银行自定义填报。多个币种合计折算为人民币（本外币合计）的，填报为BWB。</v>
      </c>
      <c r="L909" s="68" t="str">
        <f>INDEX(数据元说明!A:F,MATCH(I909,数据元说明!C:C,0),6)</f>
        <v>C3</v>
      </c>
      <c r="M909" s="68" t="s">
        <v>2661</v>
      </c>
      <c r="N909" s="68" t="s">
        <v>1601</v>
      </c>
      <c r="O909" s="68"/>
      <c r="P909" s="68"/>
    </row>
    <row r="910" ht="39.95" hidden="1" customHeight="1" outlineLevel="1" spans="1:16">
      <c r="A910" s="63"/>
      <c r="B910" s="64"/>
      <c r="C910" s="59" t="s">
        <v>181</v>
      </c>
      <c r="D910" s="59" t="s">
        <v>2657</v>
      </c>
      <c r="E910" s="65">
        <v>510</v>
      </c>
      <c r="F910" s="68" t="s">
        <v>2662</v>
      </c>
      <c r="G910" s="65">
        <v>51008</v>
      </c>
      <c r="H910" s="67" t="s">
        <v>2663</v>
      </c>
      <c r="I910" s="68" t="s">
        <v>634</v>
      </c>
      <c r="J910" s="68" t="str">
        <f>INDEX(数据元说明!A:F,MATCH(I910,数据元说明!C:C,0),2)</f>
        <v>003008</v>
      </c>
      <c r="K910" s="68" t="str">
        <f>INDEX(数据元说明!A:F,MATCH(I910,数据元说明!C:C,0),5)</f>
        <v>与币种相对应金额。</v>
      </c>
      <c r="L910" s="68" t="str">
        <f>INDEX(数据元说明!A:F,MATCH(I910,数据元说明!C:C,0),6)</f>
        <v>D20.2</v>
      </c>
      <c r="M910" s="68" t="s">
        <v>2664</v>
      </c>
      <c r="N910" s="68" t="s">
        <v>1601</v>
      </c>
      <c r="O910" s="68"/>
      <c r="P910" s="68"/>
    </row>
    <row r="911" ht="39.95" hidden="1" customHeight="1" outlineLevel="1" spans="1:16">
      <c r="A911" s="63"/>
      <c r="B911" s="64"/>
      <c r="C911" s="59" t="s">
        <v>181</v>
      </c>
      <c r="D911" s="59" t="s">
        <v>2657</v>
      </c>
      <c r="E911" s="65">
        <v>510</v>
      </c>
      <c r="F911" s="68" t="s">
        <v>2665</v>
      </c>
      <c r="G911" s="65">
        <v>51009</v>
      </c>
      <c r="H911" s="67" t="s">
        <v>2666</v>
      </c>
      <c r="I911" s="68" t="s">
        <v>345</v>
      </c>
      <c r="J911" s="68" t="str">
        <f>INDEX(数据元说明!A:F,MATCH(I911,数据元说明!C:C,0),2)</f>
        <v>001005</v>
      </c>
      <c r="K911" s="68" t="str">
        <f>INDEX(数据元说明!A:F,MATCH(I911,数据元说明!C:C,0),5)</f>
        <v>YYYYMMDD，默认值99991231。</v>
      </c>
      <c r="L911" s="68" t="str">
        <f>INDEX(数据元说明!A:F,MATCH(I911,数据元说明!C:C,0),6)</f>
        <v>C8</v>
      </c>
      <c r="M911" s="68" t="s">
        <v>2667</v>
      </c>
      <c r="N911" s="68" t="s">
        <v>1601</v>
      </c>
      <c r="O911" s="68"/>
      <c r="P911" s="68"/>
    </row>
    <row r="912" ht="39.95" hidden="1" customHeight="1" outlineLevel="1" spans="1:16">
      <c r="A912" s="63"/>
      <c r="B912" s="64"/>
      <c r="C912" s="59" t="s">
        <v>181</v>
      </c>
      <c r="D912" s="59" t="s">
        <v>2657</v>
      </c>
      <c r="E912" s="65">
        <v>510</v>
      </c>
      <c r="F912" s="68" t="s">
        <v>2668</v>
      </c>
      <c r="G912" s="65">
        <v>51010</v>
      </c>
      <c r="H912" s="67" t="s">
        <v>2669</v>
      </c>
      <c r="I912" s="68" t="s">
        <v>345</v>
      </c>
      <c r="J912" s="68" t="str">
        <f>INDEX(数据元说明!A:F,MATCH(I912,数据元说明!C:C,0),2)</f>
        <v>001005</v>
      </c>
      <c r="K912" s="68" t="str">
        <f>INDEX(数据元说明!A:F,MATCH(I912,数据元说明!C:C,0),5)</f>
        <v>YYYYMMDD，默认值99991231。</v>
      </c>
      <c r="L912" s="68" t="str">
        <f>INDEX(数据元说明!A:F,MATCH(I912,数据元说明!C:C,0),6)</f>
        <v>C8</v>
      </c>
      <c r="M912" s="68" t="s">
        <v>2670</v>
      </c>
      <c r="N912" s="68" t="s">
        <v>1601</v>
      </c>
      <c r="O912" s="68"/>
      <c r="P912" s="68"/>
    </row>
    <row r="913" ht="39.95" hidden="1" customHeight="1" outlineLevel="1" spans="1:16">
      <c r="A913" s="63"/>
      <c r="B913" s="64"/>
      <c r="C913" s="59" t="s">
        <v>181</v>
      </c>
      <c r="D913" s="59" t="s">
        <v>2657</v>
      </c>
      <c r="E913" s="65">
        <v>510</v>
      </c>
      <c r="F913" s="68" t="s">
        <v>2671</v>
      </c>
      <c r="G913" s="65">
        <v>51011</v>
      </c>
      <c r="H913" s="67" t="s">
        <v>2672</v>
      </c>
      <c r="I913" s="68" t="s">
        <v>325</v>
      </c>
      <c r="J913" s="68" t="str">
        <f>INDEX(数据元说明!A:F,MATCH(I913,数据元说明!C:C,0),2)</f>
        <v>001001</v>
      </c>
      <c r="K913" s="68" t="str">
        <f>INDEX(数据元说明!A:F,MATCH(I913,数据元说明!C:C,0),5)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13" s="68" t="str">
        <f>INDEX(数据元说明!A:F,MATCH(I913,数据元说明!C:C,0),6)</f>
        <v>C..450</v>
      </c>
      <c r="M913" s="68" t="s">
        <v>2673</v>
      </c>
      <c r="N913" s="68" t="s">
        <v>1601</v>
      </c>
      <c r="O913" s="68"/>
      <c r="P913" s="68"/>
    </row>
    <row r="914" ht="39.95" hidden="1" customHeight="1" outlineLevel="1" spans="1:16">
      <c r="A914" s="63"/>
      <c r="B914" s="64"/>
      <c r="C914" s="59" t="s">
        <v>181</v>
      </c>
      <c r="D914" s="59" t="s">
        <v>2657</v>
      </c>
      <c r="E914" s="65">
        <v>510</v>
      </c>
      <c r="F914" s="68" t="s">
        <v>2674</v>
      </c>
      <c r="G914" s="65">
        <v>51012</v>
      </c>
      <c r="H914" s="67" t="s">
        <v>2675</v>
      </c>
      <c r="I914" s="68" t="s">
        <v>325</v>
      </c>
      <c r="J914" s="68" t="str">
        <f>INDEX(数据元说明!A:F,MATCH(I914,数据元说明!C:C,0),2)</f>
        <v>001001</v>
      </c>
      <c r="K914" s="68" t="str">
        <f>INDEX(数据元说明!A:F,MATCH(I914,数据元说明!C:C,0),5)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14" s="68" t="str">
        <f>INDEX(数据元说明!A:F,MATCH(I914,数据元说明!C:C,0),6)</f>
        <v>C..450</v>
      </c>
      <c r="M914" s="68" t="s">
        <v>2676</v>
      </c>
      <c r="N914" s="68" t="s">
        <v>1601</v>
      </c>
      <c r="O914" s="68"/>
      <c r="P914" s="68"/>
    </row>
    <row r="915" ht="39.95" hidden="1" customHeight="1" outlineLevel="1" spans="1:16">
      <c r="A915" s="63"/>
      <c r="B915" s="64"/>
      <c r="C915" s="59" t="s">
        <v>181</v>
      </c>
      <c r="D915" s="59" t="s">
        <v>2657</v>
      </c>
      <c r="E915" s="65">
        <v>510</v>
      </c>
      <c r="F915" s="68" t="s">
        <v>2677</v>
      </c>
      <c r="G915" s="65">
        <v>51013</v>
      </c>
      <c r="H915" s="67" t="s">
        <v>2678</v>
      </c>
      <c r="I915" s="68" t="s">
        <v>325</v>
      </c>
      <c r="J915" s="68" t="str">
        <f>INDEX(数据元说明!A:F,MATCH(I915,数据元说明!C:C,0),2)</f>
        <v>001001</v>
      </c>
      <c r="K915" s="68" t="str">
        <f>INDEX(数据元说明!A:F,MATCH(I915,数据元说明!C:C,0),5)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15" s="68" t="str">
        <f>INDEX(数据元说明!A:F,MATCH(I915,数据元说明!C:C,0),6)</f>
        <v>C..450</v>
      </c>
      <c r="M915" s="68" t="s">
        <v>2679</v>
      </c>
      <c r="N915" s="68" t="s">
        <v>1601</v>
      </c>
      <c r="O915" s="68"/>
      <c r="P915" s="68"/>
    </row>
    <row r="916" ht="39.95" hidden="1" customHeight="1" outlineLevel="1" spans="1:16">
      <c r="A916" s="63"/>
      <c r="B916" s="64"/>
      <c r="C916" s="59" t="s">
        <v>181</v>
      </c>
      <c r="D916" s="59" t="s">
        <v>2657</v>
      </c>
      <c r="E916" s="65">
        <v>510</v>
      </c>
      <c r="F916" s="68" t="s">
        <v>2680</v>
      </c>
      <c r="G916" s="65">
        <v>51014</v>
      </c>
      <c r="H916" s="67" t="s">
        <v>2681</v>
      </c>
      <c r="I916" s="68" t="s">
        <v>937</v>
      </c>
      <c r="J916" s="68" t="str">
        <f>INDEX(数据元说明!A:F,MATCH(I916,数据元说明!C:C,0),2)</f>
        <v>005049</v>
      </c>
      <c r="K916" s="68" t="str">
        <f>INDEX(数据元说明!A:F,MATCH(I916,数据元说明!C:C,0),5)</f>
        <v>贸易交易内容、货品或服务的简述信息，银行自定义，应填写中文。</v>
      </c>
      <c r="L916" s="68" t="str">
        <f>INDEX(数据元说明!A:F,MATCH(I916,数据元说明!C:C,0),6)</f>
        <v>C..1500</v>
      </c>
      <c r="M916" s="68" t="s">
        <v>2682</v>
      </c>
      <c r="N916" s="68" t="s">
        <v>1601</v>
      </c>
      <c r="O916" s="68"/>
      <c r="P916" s="68"/>
    </row>
    <row r="917" ht="39.95" hidden="1" customHeight="1" outlineLevel="1" spans="1:16">
      <c r="A917" s="63"/>
      <c r="B917" s="64"/>
      <c r="C917" s="59" t="s">
        <v>181</v>
      </c>
      <c r="D917" s="59" t="s">
        <v>2657</v>
      </c>
      <c r="E917" s="65">
        <v>510</v>
      </c>
      <c r="F917" s="68" t="s">
        <v>2683</v>
      </c>
      <c r="G917" s="65">
        <v>51015</v>
      </c>
      <c r="H917" s="67" t="s">
        <v>2684</v>
      </c>
      <c r="I917" s="68" t="s">
        <v>325</v>
      </c>
      <c r="J917" s="68" t="str">
        <f>INDEX(数据元说明!A:F,MATCH(I917,数据元说明!C:C,0),2)</f>
        <v>001001</v>
      </c>
      <c r="K917" s="68" t="str">
        <f>INDEX(数据元说明!A:F,MATCH(I917,数据元说明!C:C,0),5)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17" s="68" t="str">
        <f>INDEX(数据元说明!A:F,MATCH(I917,数据元说明!C:C,0),6)</f>
        <v>C..450</v>
      </c>
      <c r="M917" s="68" t="s">
        <v>2685</v>
      </c>
      <c r="N917" s="68" t="s">
        <v>1601</v>
      </c>
      <c r="O917" s="68"/>
      <c r="P917" s="68"/>
    </row>
    <row r="918" ht="39.95" hidden="1" customHeight="1" outlineLevel="1" spans="1:16">
      <c r="A918" s="63"/>
      <c r="B918" s="64"/>
      <c r="C918" s="59" t="s">
        <v>181</v>
      </c>
      <c r="D918" s="59" t="s">
        <v>2657</v>
      </c>
      <c r="E918" s="65">
        <v>510</v>
      </c>
      <c r="F918" s="68" t="s">
        <v>2686</v>
      </c>
      <c r="G918" s="65">
        <v>51016</v>
      </c>
      <c r="H918" s="67" t="s">
        <v>2687</v>
      </c>
      <c r="I918" s="68" t="s">
        <v>325</v>
      </c>
      <c r="J918" s="68" t="str">
        <f>INDEX(数据元说明!A:F,MATCH(I918,数据元说明!C:C,0),2)</f>
        <v>001001</v>
      </c>
      <c r="K918" s="68" t="str">
        <f>INDEX(数据元说明!A:F,MATCH(I918,数据元说明!C:C,0),5)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18" s="68" t="str">
        <f>INDEX(数据元说明!A:F,MATCH(I918,数据元说明!C:C,0),6)</f>
        <v>C..450</v>
      </c>
      <c r="M918" s="68" t="s">
        <v>2688</v>
      </c>
      <c r="N918" s="68" t="s">
        <v>1601</v>
      </c>
      <c r="O918" s="68"/>
      <c r="P918" s="68"/>
    </row>
    <row r="919" ht="39.95" hidden="1" customHeight="1" outlineLevel="1" spans="1:16">
      <c r="A919" s="63"/>
      <c r="B919" s="64"/>
      <c r="C919" s="59" t="s">
        <v>181</v>
      </c>
      <c r="D919" s="59" t="s">
        <v>2657</v>
      </c>
      <c r="E919" s="65">
        <v>510</v>
      </c>
      <c r="F919" s="68" t="s">
        <v>2689</v>
      </c>
      <c r="G919" s="65">
        <v>51017</v>
      </c>
      <c r="H919" s="67" t="s">
        <v>2690</v>
      </c>
      <c r="I919" s="68" t="s">
        <v>642</v>
      </c>
      <c r="J919" s="68" t="str">
        <f>INDEX(数据元说明!A:F,MATCH(I919,数据元说明!C:C,0),2)</f>
        <v>003010</v>
      </c>
      <c r="K919" s="68" t="str">
        <f>INDEX(数据元说明!A:F,MATCH(I919,数据元说明!C:C,0),5)</f>
        <v>遵循《GB/T 12406 表示货币和资金的代码》的字母代码，如CNY。上述文件所列币种无法涵盖的，允许银行自定义填报。多个币种合计折算为人民币（本外币合计）的，填报为BWB。</v>
      </c>
      <c r="L919" s="68" t="str">
        <f>INDEX(数据元说明!A:F,MATCH(I919,数据元说明!C:C,0),6)</f>
        <v>C3</v>
      </c>
      <c r="M919" s="68" t="s">
        <v>2691</v>
      </c>
      <c r="N919" s="68"/>
      <c r="O919" s="68"/>
      <c r="P919" s="68"/>
    </row>
    <row r="920" ht="39.95" hidden="1" customHeight="1" outlineLevel="1" spans="1:16">
      <c r="A920" s="63"/>
      <c r="B920" s="64"/>
      <c r="C920" s="59" t="s">
        <v>181</v>
      </c>
      <c r="D920" s="59" t="s">
        <v>2657</v>
      </c>
      <c r="E920" s="65">
        <v>510</v>
      </c>
      <c r="F920" s="67" t="s">
        <v>2692</v>
      </c>
      <c r="G920" s="65">
        <v>51018</v>
      </c>
      <c r="H920" s="67" t="s">
        <v>2693</v>
      </c>
      <c r="I920" s="67" t="s">
        <v>634</v>
      </c>
      <c r="J920" s="68" t="str">
        <f>INDEX(数据元说明!A:F,MATCH(I920,数据元说明!C:C,0),2)</f>
        <v>003008</v>
      </c>
      <c r="K920" s="68" t="str">
        <f>INDEX(数据元说明!A:F,MATCH(I920,数据元说明!C:C,0),5)</f>
        <v>与币种相对应金额。</v>
      </c>
      <c r="L920" s="68" t="str">
        <f>INDEX(数据元说明!A:F,MATCH(I920,数据元说明!C:C,0),6)</f>
        <v>D20.2</v>
      </c>
      <c r="M920" s="68" t="s">
        <v>2694</v>
      </c>
      <c r="N920" s="68" t="s">
        <v>1601</v>
      </c>
      <c r="O920" s="68"/>
      <c r="P920" s="68"/>
    </row>
    <row r="921" ht="39.95" hidden="1" customHeight="1" outlineLevel="1" spans="1:16">
      <c r="A921" s="63"/>
      <c r="B921" s="64"/>
      <c r="C921" s="59" t="s">
        <v>181</v>
      </c>
      <c r="D921" s="59" t="s">
        <v>2657</v>
      </c>
      <c r="E921" s="65">
        <v>510</v>
      </c>
      <c r="F921" s="67" t="s">
        <v>2695</v>
      </c>
      <c r="G921" s="65">
        <v>51019</v>
      </c>
      <c r="H921" s="67" t="s">
        <v>2696</v>
      </c>
      <c r="I921" s="67" t="s">
        <v>335</v>
      </c>
      <c r="J921" s="68" t="str">
        <f>INDEX(数据元说明!A:F,MATCH(I921,数据元说明!C:C,0),2)</f>
        <v>001003</v>
      </c>
      <c r="K921" s="68" t="str">
        <f>INDEX(数据元说明!A:F,MATCH(I921,数据元说明!C:C,0),5)</f>
        <v>百分比为单位，即1/100，保留两位小数。如4.5%则填报为4.50。</v>
      </c>
      <c r="L921" s="68" t="str">
        <f>INDEX(数据元说明!A:F,MATCH(I921,数据元说明!C:C,0),6)</f>
        <v>D20.2</v>
      </c>
      <c r="M921" s="69" t="s">
        <v>2697</v>
      </c>
      <c r="N921" s="68" t="s">
        <v>1601</v>
      </c>
      <c r="O921" s="68"/>
      <c r="P921" s="68"/>
    </row>
    <row r="922" ht="39.95" hidden="1" customHeight="1" outlineLevel="1" spans="1:16">
      <c r="A922" s="63"/>
      <c r="B922" s="64"/>
      <c r="C922" s="59" t="s">
        <v>181</v>
      </c>
      <c r="D922" s="59" t="s">
        <v>2657</v>
      </c>
      <c r="E922" s="65">
        <v>510</v>
      </c>
      <c r="F922" s="67" t="s">
        <v>2698</v>
      </c>
      <c r="G922" s="65">
        <v>51020</v>
      </c>
      <c r="H922" s="67" t="s">
        <v>2699</v>
      </c>
      <c r="I922" s="67" t="s">
        <v>642</v>
      </c>
      <c r="J922" s="68" t="str">
        <f>INDEX(数据元说明!A:F,MATCH(I922,数据元说明!C:C,0),2)</f>
        <v>003010</v>
      </c>
      <c r="K922" s="68" t="str">
        <f>INDEX(数据元说明!A:F,MATCH(I922,数据元说明!C:C,0),5)</f>
        <v>遵循《GB/T 12406 表示货币和资金的代码》的字母代码，如CNY。上述文件所列币种无法涵盖的，允许银行自定义填报。多个币种合计折算为人民币（本外币合计）的，填报为BWB。</v>
      </c>
      <c r="L922" s="68" t="str">
        <f>INDEX(数据元说明!A:F,MATCH(I922,数据元说明!C:C,0),6)</f>
        <v>C3</v>
      </c>
      <c r="M922" s="68" t="s">
        <v>2700</v>
      </c>
      <c r="N922" s="68" t="s">
        <v>1601</v>
      </c>
      <c r="O922" s="68"/>
      <c r="P922" s="68"/>
    </row>
    <row r="923" ht="39.95" hidden="1" customHeight="1" outlineLevel="1" spans="1:16">
      <c r="A923" s="63"/>
      <c r="B923" s="64"/>
      <c r="C923" s="59" t="s">
        <v>181</v>
      </c>
      <c r="D923" s="59" t="s">
        <v>2657</v>
      </c>
      <c r="E923" s="65">
        <v>510</v>
      </c>
      <c r="F923" s="67" t="s">
        <v>2701</v>
      </c>
      <c r="G923" s="65">
        <v>51021</v>
      </c>
      <c r="H923" s="67" t="s">
        <v>2702</v>
      </c>
      <c r="I923" s="67" t="s">
        <v>634</v>
      </c>
      <c r="J923" s="68" t="str">
        <f>INDEX(数据元说明!A:F,MATCH(I923,数据元说明!C:C,0),2)</f>
        <v>003008</v>
      </c>
      <c r="K923" s="68" t="str">
        <f>INDEX(数据元说明!A:F,MATCH(I923,数据元说明!C:C,0),5)</f>
        <v>与币种相对应金额。</v>
      </c>
      <c r="L923" s="68" t="str">
        <f>INDEX(数据元说明!A:F,MATCH(I923,数据元说明!C:C,0),6)</f>
        <v>D20.2</v>
      </c>
      <c r="M923" s="68" t="s">
        <v>2703</v>
      </c>
      <c r="N923" s="68" t="s">
        <v>1601</v>
      </c>
      <c r="O923" s="68"/>
      <c r="P923" s="68"/>
    </row>
    <row r="924" ht="39.95" hidden="1" customHeight="1" outlineLevel="1" spans="1:16">
      <c r="A924" s="70"/>
      <c r="B924" s="71"/>
      <c r="C924" s="59" t="s">
        <v>181</v>
      </c>
      <c r="D924" s="59" t="s">
        <v>2657</v>
      </c>
      <c r="E924" s="65">
        <v>510</v>
      </c>
      <c r="F924" s="67" t="s">
        <v>2704</v>
      </c>
      <c r="G924" s="65">
        <v>51022</v>
      </c>
      <c r="H924" s="67" t="s">
        <v>2705</v>
      </c>
      <c r="I924" s="67" t="s">
        <v>704</v>
      </c>
      <c r="J924" s="67" t="str">
        <f>INDEX(数据元说明!A:F,MATCH(I924,数据元说明!C:C,0),2)</f>
        <v>003025</v>
      </c>
      <c r="K924" s="68" t="str">
        <f>INDEX(数据元说明!A:F,MATCH(I924,数据元说明!C:C,0),5)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924" s="67" t="str">
        <f>INDEX(数据元说明!A:F,MATCH(I924,数据元说明!C:C,0),6)</f>
        <v>C..60</v>
      </c>
      <c r="M924" s="69" t="s">
        <v>2706</v>
      </c>
      <c r="N924" s="68" t="s">
        <v>1583</v>
      </c>
      <c r="O924" s="68" t="s">
        <v>484</v>
      </c>
      <c r="P924" s="68"/>
    </row>
    <row r="925" ht="39.95" hidden="1" customHeight="1" outlineLevel="1" spans="1:16">
      <c r="A925" s="63"/>
      <c r="B925" s="64"/>
      <c r="C925" s="59" t="s">
        <v>181</v>
      </c>
      <c r="D925" s="59" t="s">
        <v>2657</v>
      </c>
      <c r="E925" s="65">
        <v>510</v>
      </c>
      <c r="F925" s="67" t="s">
        <v>832</v>
      </c>
      <c r="G925" s="65">
        <v>51023</v>
      </c>
      <c r="H925" s="67" t="s">
        <v>2278</v>
      </c>
      <c r="I925" s="67" t="s">
        <v>832</v>
      </c>
      <c r="J925" s="67" t="str">
        <f>INDEX(数据元说明!A:F,MATCH(I925,数据元说明!C:C,0),2)</f>
        <v>005023</v>
      </c>
      <c r="K925" s="68" t="str">
        <f>INDEX(数据元说明!A:F,MATCH(I925,数据元说明!C:C,0),5)</f>
        <v>正常、结清、逾期、核销、转让，其他-银行自定义。以枚举类型填报，如无法以枚举类型填报，则以“其他-XX”填报，其中“XX”为银行自定义状态。</v>
      </c>
      <c r="L925" s="67" t="str">
        <f>INDEX(数据元说明!A:F,MATCH(I925,数据元说明!C:C,0),6)</f>
        <v>C..30</v>
      </c>
      <c r="M925" s="68"/>
      <c r="N925" s="68" t="s">
        <v>1601</v>
      </c>
      <c r="O925" s="68"/>
      <c r="P925" s="68"/>
    </row>
    <row r="926" ht="39.95" hidden="1" customHeight="1" outlineLevel="1" spans="1:16">
      <c r="A926" s="63"/>
      <c r="B926" s="64"/>
      <c r="C926" s="59" t="s">
        <v>181</v>
      </c>
      <c r="D926" s="59" t="s">
        <v>2657</v>
      </c>
      <c r="E926" s="65">
        <v>510</v>
      </c>
      <c r="F926" s="67" t="s">
        <v>484</v>
      </c>
      <c r="G926" s="65">
        <v>51024</v>
      </c>
      <c r="H926" s="67" t="s">
        <v>1623</v>
      </c>
      <c r="I926" s="67" t="s">
        <v>484</v>
      </c>
      <c r="J926" s="67" t="str">
        <f>INDEX(数据元说明!A:F,MATCH(I926,数据元说明!C:C,0),2)</f>
        <v>001038</v>
      </c>
      <c r="K926" s="68" t="str">
        <f>INDEX(数据元说明!A:F,MATCH(I926,数据元说明!C:C,0),5)</f>
        <v>银行自定义。</v>
      </c>
      <c r="L926" s="67" t="str">
        <f>INDEX(数据元说明!A:F,MATCH(I926,数据元说明!C:C,0),6)</f>
        <v>C..600</v>
      </c>
      <c r="M926" s="68" t="s">
        <v>1624</v>
      </c>
      <c r="N926" s="68" t="s">
        <v>1601</v>
      </c>
      <c r="O926" s="68"/>
      <c r="P926" s="68"/>
    </row>
    <row r="927" ht="39.95" hidden="1" customHeight="1" outlineLevel="1" spans="1:16">
      <c r="A927" s="63"/>
      <c r="B927" s="64"/>
      <c r="C927" s="59" t="s">
        <v>181</v>
      </c>
      <c r="D927" s="59" t="s">
        <v>2657</v>
      </c>
      <c r="E927" s="65">
        <v>510</v>
      </c>
      <c r="F927" s="68" t="s">
        <v>1625</v>
      </c>
      <c r="G927" s="65">
        <v>51025</v>
      </c>
      <c r="H927" s="67" t="s">
        <v>1626</v>
      </c>
      <c r="I927" s="68" t="s">
        <v>345</v>
      </c>
      <c r="J927" s="68" t="str">
        <f>INDEX(数据元说明!A:F,MATCH(I927,数据元说明!C:C,0),2)</f>
        <v>001005</v>
      </c>
      <c r="K927" s="68" t="str">
        <f>INDEX(数据元说明!A:F,MATCH(I927,数据元说明!C:C,0),5)</f>
        <v>YYYYMMDD，默认值99991231。</v>
      </c>
      <c r="L927" s="68" t="str">
        <f>INDEX(数据元说明!A:F,MATCH(I927,数据元说明!C:C,0),6)</f>
        <v>C8</v>
      </c>
      <c r="M927" s="68" t="s">
        <v>1627</v>
      </c>
      <c r="N927" s="68"/>
      <c r="O927" s="68"/>
      <c r="P927" s="68"/>
    </row>
    <row r="928" ht="39.95" hidden="1" customHeight="1" collapsed="1" spans="1:16">
      <c r="A928" s="70"/>
      <c r="B928" s="71"/>
      <c r="C928" s="59" t="s">
        <v>185</v>
      </c>
      <c r="D928" s="59" t="s">
        <v>2707</v>
      </c>
      <c r="E928" s="65">
        <v>511</v>
      </c>
      <c r="F928" s="67"/>
      <c r="G928" s="65"/>
      <c r="H928" s="67"/>
      <c r="I928" s="67"/>
      <c r="J928" s="67"/>
      <c r="K928" s="68"/>
      <c r="L928" s="67"/>
      <c r="M928" s="68" t="str">
        <f>INDEX(表结构总览!D:G,MATCH(D928,表结构总览!D:D,0),4)</f>
        <v>填报机构与租赁公司合作，购买承租人指定租赁物件，与承租人签订租赁合同，待合同期满后租赁物资产所有权转移给承租人的一类业务。报送范围：参照1104报表G01_III[1.5融资租赁]填报口径。贷款状态为结清、核销、转让的，可在报送最终状态的次月不再报送。</v>
      </c>
      <c r="N928" s="68" t="s">
        <v>1601</v>
      </c>
      <c r="O928" s="68"/>
      <c r="P928" s="68"/>
    </row>
    <row r="929" ht="39.95" hidden="1" customHeight="1" outlineLevel="1" spans="1:16">
      <c r="A929" s="63"/>
      <c r="B929" s="64"/>
      <c r="C929" s="59" t="s">
        <v>185</v>
      </c>
      <c r="D929" s="59" t="s">
        <v>2707</v>
      </c>
      <c r="E929" s="65">
        <v>511</v>
      </c>
      <c r="F929" s="67" t="s">
        <v>373</v>
      </c>
      <c r="G929" s="65">
        <v>51101</v>
      </c>
      <c r="H929" s="67" t="s">
        <v>1588</v>
      </c>
      <c r="I929" s="67" t="s">
        <v>373</v>
      </c>
      <c r="J929" s="67" t="str">
        <f>INDEX(数据元说明!A:F,MATCH(I929,数据元说明!C:C,0),2)</f>
        <v>001011</v>
      </c>
      <c r="K929" s="68" t="str">
        <f>INDEX(数据元说明!A:F,MATCH(I929,数据元说明!C:C,0),5)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29" s="67" t="str">
        <f>INDEX(数据元说明!A:F,MATCH(I929,数据元说明!C:C,0),6)</f>
        <v>C..30</v>
      </c>
      <c r="M929" s="68" t="s">
        <v>2658</v>
      </c>
      <c r="N929" s="68" t="s">
        <v>1601</v>
      </c>
      <c r="O929" s="68"/>
      <c r="P929" s="68"/>
    </row>
    <row r="930" ht="39.95" hidden="1" customHeight="1" outlineLevel="1" spans="1:16">
      <c r="A930" s="63"/>
      <c r="B930" s="64"/>
      <c r="C930" s="59" t="s">
        <v>185</v>
      </c>
      <c r="D930" s="59" t="s">
        <v>2707</v>
      </c>
      <c r="E930" s="65">
        <v>511</v>
      </c>
      <c r="F930" s="68" t="s">
        <v>377</v>
      </c>
      <c r="G930" s="65">
        <v>51102</v>
      </c>
      <c r="H930" s="68" t="s">
        <v>1586</v>
      </c>
      <c r="I930" s="68" t="s">
        <v>377</v>
      </c>
      <c r="J930" s="68" t="str">
        <f>INDEX(数据元说明!A:F,MATCH(I930,数据元说明!C:C,0),2)</f>
        <v>001012</v>
      </c>
      <c r="K930" s="68" t="str">
        <f>INDEX(数据元说明!A:F,MATCH(I930,数据元说明!C:C,0),5)</f>
        <v>银行内部机构号。应具有标识机构的唯一性。</v>
      </c>
      <c r="L930" s="68" t="str">
        <f>INDEX(数据元说明!A:F,MATCH(I930,数据元说明!C:C,0),6)</f>
        <v>C..30</v>
      </c>
      <c r="M930" s="68" t="s">
        <v>2281</v>
      </c>
      <c r="N930" s="68" t="s">
        <v>1601</v>
      </c>
      <c r="O930" s="68"/>
      <c r="P930" s="68"/>
    </row>
    <row r="931" ht="39.95" hidden="1" customHeight="1" outlineLevel="1" spans="1:16">
      <c r="A931" s="63"/>
      <c r="B931" s="64"/>
      <c r="C931" s="59" t="s">
        <v>185</v>
      </c>
      <c r="D931" s="59" t="s">
        <v>2707</v>
      </c>
      <c r="E931" s="65">
        <v>511</v>
      </c>
      <c r="F931" s="68" t="s">
        <v>1592</v>
      </c>
      <c r="G931" s="65">
        <v>51103</v>
      </c>
      <c r="H931" s="68" t="s">
        <v>1593</v>
      </c>
      <c r="I931" s="68" t="s">
        <v>325</v>
      </c>
      <c r="J931" s="68" t="str">
        <f>INDEX(数据元说明!A:F,MATCH(I931,数据元说明!C:C,0),2)</f>
        <v>001001</v>
      </c>
      <c r="K931" s="68" t="str">
        <f>INDEX(数据元说明!A:F,MATCH(I931,数据元说明!C:C,0),5)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31" s="68" t="str">
        <f>INDEX(数据元说明!A:F,MATCH(I931,数据元说明!C:C,0),6)</f>
        <v>C..450</v>
      </c>
      <c r="M931" s="68" t="s">
        <v>2282</v>
      </c>
      <c r="N931" s="68" t="s">
        <v>1601</v>
      </c>
      <c r="O931" s="68"/>
      <c r="P931" s="68"/>
    </row>
    <row r="932" ht="39.95" hidden="1" customHeight="1" outlineLevel="1" spans="1:16">
      <c r="A932" s="70"/>
      <c r="B932" s="71"/>
      <c r="C932" s="59" t="s">
        <v>185</v>
      </c>
      <c r="D932" s="59" t="s">
        <v>2707</v>
      </c>
      <c r="E932" s="65">
        <v>511</v>
      </c>
      <c r="F932" s="67" t="s">
        <v>2257</v>
      </c>
      <c r="G932" s="65">
        <v>51104</v>
      </c>
      <c r="H932" s="67" t="s">
        <v>2258</v>
      </c>
      <c r="I932" s="67" t="s">
        <v>683</v>
      </c>
      <c r="J932" s="67" t="str">
        <f>INDEX(数据元说明!A:F,MATCH(I932,数据元说明!C:C,0),2)</f>
        <v>003020</v>
      </c>
      <c r="K932" s="68" t="str">
        <f>INDEX(数据元说明!A:F,MATCH(I932,数据元说明!C:C,0),5)</f>
        <v>合同号。</v>
      </c>
      <c r="L932" s="67" t="str">
        <f>INDEX(数据元说明!A:F,MATCH(I932,数据元说明!C:C,0),6)</f>
        <v>C..100</v>
      </c>
      <c r="M932" s="68" t="s">
        <v>2489</v>
      </c>
      <c r="N932" s="68" t="s">
        <v>1601</v>
      </c>
      <c r="O932" s="68"/>
      <c r="P932" s="68"/>
    </row>
    <row r="933" ht="39.95" hidden="1" customHeight="1" outlineLevel="1" spans="1:16">
      <c r="A933" s="70"/>
      <c r="B933" s="71"/>
      <c r="C933" s="59" t="s">
        <v>185</v>
      </c>
      <c r="D933" s="59" t="s">
        <v>2707</v>
      </c>
      <c r="E933" s="65">
        <v>511</v>
      </c>
      <c r="F933" s="67" t="s">
        <v>2260</v>
      </c>
      <c r="G933" s="65">
        <v>51105</v>
      </c>
      <c r="H933" s="67" t="s">
        <v>2261</v>
      </c>
      <c r="I933" s="67" t="s">
        <v>678</v>
      </c>
      <c r="J933" s="67" t="str">
        <f>INDEX(数据元说明!A:F,MATCH(I933,数据元说明!C:C,0),2)</f>
        <v>003019</v>
      </c>
      <c r="K933" s="68" t="str">
        <f>INDEX(数据元说明!A:F,MATCH(I933,数据元说明!C:C,0),5)</f>
        <v>借据统一编号。</v>
      </c>
      <c r="L933" s="67" t="str">
        <f>INDEX(数据元说明!A:F,MATCH(I933,数据元说明!C:C,0),6)</f>
        <v>C..100</v>
      </c>
      <c r="M933" s="68" t="s">
        <v>2490</v>
      </c>
      <c r="N933" s="68" t="s">
        <v>1601</v>
      </c>
      <c r="O933" s="68"/>
      <c r="P933" s="68"/>
    </row>
    <row r="934" ht="39.95" hidden="1" customHeight="1" outlineLevel="1" spans="1:16">
      <c r="A934" s="63"/>
      <c r="B934" s="64"/>
      <c r="C934" s="59" t="s">
        <v>185</v>
      </c>
      <c r="D934" s="59" t="s">
        <v>2707</v>
      </c>
      <c r="E934" s="65">
        <v>511</v>
      </c>
      <c r="F934" s="68" t="s">
        <v>924</v>
      </c>
      <c r="G934" s="65">
        <v>51106</v>
      </c>
      <c r="H934" s="68" t="s">
        <v>2708</v>
      </c>
      <c r="I934" s="68" t="s">
        <v>924</v>
      </c>
      <c r="J934" s="68" t="str">
        <f>INDEX(数据元说明!A:F,MATCH(I934,数据元说明!C:C,0),2)</f>
        <v>005046</v>
      </c>
      <c r="K934" s="68" t="str">
        <f>INDEX(数据元说明!A:F,MATCH(I934,数据元说明!C:C,0),5)</f>
        <v>经营性租赁，融资性租赁。</v>
      </c>
      <c r="L934" s="68" t="str">
        <f>INDEX(数据元说明!A:F,MATCH(I934,数据元说明!C:C,0),6)</f>
        <v>C..30</v>
      </c>
      <c r="M934" s="68" t="s">
        <v>2709</v>
      </c>
      <c r="N934" s="68" t="s">
        <v>1601</v>
      </c>
      <c r="O934" s="68"/>
      <c r="P934" s="68"/>
    </row>
    <row r="935" ht="39.95" hidden="1" customHeight="1" outlineLevel="1" spans="1:16">
      <c r="A935" s="63"/>
      <c r="B935" s="64"/>
      <c r="C935" s="59" t="s">
        <v>185</v>
      </c>
      <c r="D935" s="59" t="s">
        <v>2707</v>
      </c>
      <c r="E935" s="65">
        <v>511</v>
      </c>
      <c r="F935" s="68" t="s">
        <v>2710</v>
      </c>
      <c r="G935" s="65">
        <v>51107</v>
      </c>
      <c r="H935" s="68" t="s">
        <v>2711</v>
      </c>
      <c r="I935" s="68" t="s">
        <v>484</v>
      </c>
      <c r="J935" s="68" t="str">
        <f>INDEX(数据元说明!A:F,MATCH(I935,数据元说明!C:C,0),2)</f>
        <v>001038</v>
      </c>
      <c r="K935" s="68" t="str">
        <f>INDEX(数据元说明!A:F,MATCH(I935,数据元说明!C:C,0),5)</f>
        <v>银行自定义。</v>
      </c>
      <c r="L935" s="68" t="str">
        <f>INDEX(数据元说明!A:F,MATCH(I935,数据元说明!C:C,0),6)</f>
        <v>C..600</v>
      </c>
      <c r="M935" s="68" t="s">
        <v>2712</v>
      </c>
      <c r="N935" s="68" t="s">
        <v>1601</v>
      </c>
      <c r="O935" s="68"/>
      <c r="P935" s="68"/>
    </row>
    <row r="936" ht="39.95" hidden="1" customHeight="1" outlineLevel="1" spans="1:16">
      <c r="A936" s="63"/>
      <c r="B936" s="64"/>
      <c r="C936" s="59" t="s">
        <v>185</v>
      </c>
      <c r="D936" s="59" t="s">
        <v>2707</v>
      </c>
      <c r="E936" s="65">
        <v>511</v>
      </c>
      <c r="F936" s="68" t="s">
        <v>642</v>
      </c>
      <c r="G936" s="65">
        <v>51108</v>
      </c>
      <c r="H936" s="67" t="s">
        <v>2713</v>
      </c>
      <c r="I936" s="68" t="s">
        <v>642</v>
      </c>
      <c r="J936" s="68" t="str">
        <f>INDEX(数据元说明!A:F,MATCH(I936,数据元说明!C:C,0),2)</f>
        <v>003010</v>
      </c>
      <c r="K936" s="68" t="str">
        <f>INDEX(数据元说明!A:F,MATCH(I936,数据元说明!C:C,0),5)</f>
        <v>遵循《GB/T 12406 表示货币和资金的代码》的字母代码，如CNY。上述文件所列币种无法涵盖的，允许银行自定义填报。多个币种合计折算为人民币（本外币合计）的，填报为BWB。</v>
      </c>
      <c r="L936" s="68" t="str">
        <f>INDEX(数据元说明!A:F,MATCH(I936,数据元说明!C:C,0),6)</f>
        <v>C3</v>
      </c>
      <c r="M936" s="68" t="s">
        <v>2714</v>
      </c>
      <c r="N936" s="68" t="s">
        <v>1601</v>
      </c>
      <c r="O936" s="68"/>
      <c r="P936" s="68"/>
    </row>
    <row r="937" ht="39.95" hidden="1" customHeight="1" outlineLevel="1" spans="1:16">
      <c r="A937" s="63"/>
      <c r="B937" s="64"/>
      <c r="C937" s="59" t="s">
        <v>185</v>
      </c>
      <c r="D937" s="59" t="s">
        <v>2707</v>
      </c>
      <c r="E937" s="65">
        <v>511</v>
      </c>
      <c r="F937" s="68" t="s">
        <v>2309</v>
      </c>
      <c r="G937" s="65">
        <v>51109</v>
      </c>
      <c r="H937" s="67" t="s">
        <v>2715</v>
      </c>
      <c r="I937" s="68" t="s">
        <v>634</v>
      </c>
      <c r="J937" s="68" t="str">
        <f>INDEX(数据元说明!A:F,MATCH(I937,数据元说明!C:C,0),2)</f>
        <v>003008</v>
      </c>
      <c r="K937" s="68" t="str">
        <f>INDEX(数据元说明!A:F,MATCH(I937,数据元说明!C:C,0),5)</f>
        <v>与币种相对应金额。</v>
      </c>
      <c r="L937" s="68" t="str">
        <f>INDEX(数据元说明!A:F,MATCH(I937,数据元说明!C:C,0),6)</f>
        <v>D20.2</v>
      </c>
      <c r="M937" s="68"/>
      <c r="N937" s="68" t="s">
        <v>1601</v>
      </c>
      <c r="O937" s="68"/>
      <c r="P937" s="68"/>
    </row>
    <row r="938" ht="39.95" hidden="1" customHeight="1" outlineLevel="1" spans="1:16">
      <c r="A938" s="63"/>
      <c r="B938" s="64"/>
      <c r="C938" s="59" t="s">
        <v>185</v>
      </c>
      <c r="D938" s="59" t="s">
        <v>2707</v>
      </c>
      <c r="E938" s="65">
        <v>511</v>
      </c>
      <c r="F938" s="68" t="s">
        <v>2716</v>
      </c>
      <c r="G938" s="65">
        <v>51110</v>
      </c>
      <c r="H938" s="67" t="s">
        <v>2717</v>
      </c>
      <c r="I938" s="68" t="s">
        <v>634</v>
      </c>
      <c r="J938" s="68" t="str">
        <f>INDEX(数据元说明!A:F,MATCH(I938,数据元说明!C:C,0),2)</f>
        <v>003008</v>
      </c>
      <c r="K938" s="68" t="str">
        <f>INDEX(数据元说明!A:F,MATCH(I938,数据元说明!C:C,0),5)</f>
        <v>与币种相对应金额。</v>
      </c>
      <c r="L938" s="68" t="str">
        <f>INDEX(数据元说明!A:F,MATCH(I938,数据元说明!C:C,0),6)</f>
        <v>D20.2</v>
      </c>
      <c r="M938" s="68" t="s">
        <v>2718</v>
      </c>
      <c r="N938" s="68" t="s">
        <v>1601</v>
      </c>
      <c r="O938" s="68"/>
      <c r="P938" s="68"/>
    </row>
    <row r="939" ht="39.95" hidden="1" customHeight="1" outlineLevel="1" spans="1:16">
      <c r="A939" s="70"/>
      <c r="B939" s="71"/>
      <c r="C939" s="59" t="s">
        <v>185</v>
      </c>
      <c r="D939" s="59" t="s">
        <v>2707</v>
      </c>
      <c r="E939" s="65">
        <v>511</v>
      </c>
      <c r="F939" s="67" t="s">
        <v>2311</v>
      </c>
      <c r="G939" s="65">
        <v>51111</v>
      </c>
      <c r="H939" s="67" t="s">
        <v>2719</v>
      </c>
      <c r="I939" s="67" t="s">
        <v>345</v>
      </c>
      <c r="J939" s="67" t="str">
        <f>INDEX(数据元说明!A:F,MATCH(I939,数据元说明!C:C,0),2)</f>
        <v>001005</v>
      </c>
      <c r="K939" s="68" t="str">
        <f>INDEX(数据元说明!A:F,MATCH(I939,数据元说明!C:C,0),5)</f>
        <v>YYYYMMDD，默认值99991231。</v>
      </c>
      <c r="L939" s="67" t="str">
        <f>INDEX(数据元说明!A:F,MATCH(I939,数据元说明!C:C,0),6)</f>
        <v>C8</v>
      </c>
      <c r="M939" s="68" t="s">
        <v>2720</v>
      </c>
      <c r="N939" s="68" t="s">
        <v>1601</v>
      </c>
      <c r="O939" s="68"/>
      <c r="P939" s="68"/>
    </row>
    <row r="940" ht="39.95" hidden="1" customHeight="1" outlineLevel="1" spans="1:16">
      <c r="A940" s="70"/>
      <c r="B940" s="71"/>
      <c r="C940" s="59" t="s">
        <v>185</v>
      </c>
      <c r="D940" s="59" t="s">
        <v>2707</v>
      </c>
      <c r="E940" s="65">
        <v>511</v>
      </c>
      <c r="F940" s="67" t="s">
        <v>2314</v>
      </c>
      <c r="G940" s="65">
        <v>51112</v>
      </c>
      <c r="H940" s="67" t="s">
        <v>2315</v>
      </c>
      <c r="I940" s="67" t="s">
        <v>345</v>
      </c>
      <c r="J940" s="67" t="str">
        <f>INDEX(数据元说明!A:F,MATCH(I940,数据元说明!C:C,0),2)</f>
        <v>001005</v>
      </c>
      <c r="K940" s="68" t="str">
        <f>INDEX(数据元说明!A:F,MATCH(I940,数据元说明!C:C,0),5)</f>
        <v>YYYYMMDD，默认值99991231。</v>
      </c>
      <c r="L940" s="67" t="str">
        <f>INDEX(数据元说明!A:F,MATCH(I940,数据元说明!C:C,0),6)</f>
        <v>C8</v>
      </c>
      <c r="M940" s="68" t="s">
        <v>2721</v>
      </c>
      <c r="N940" s="68" t="s">
        <v>1601</v>
      </c>
      <c r="O940" s="68"/>
      <c r="P940" s="68"/>
    </row>
    <row r="941" ht="39.95" hidden="1" customHeight="1" outlineLevel="1" spans="1:16">
      <c r="A941" s="63"/>
      <c r="B941" s="64"/>
      <c r="C941" s="59" t="s">
        <v>185</v>
      </c>
      <c r="D941" s="59" t="s">
        <v>2707</v>
      </c>
      <c r="E941" s="65">
        <v>511</v>
      </c>
      <c r="F941" s="68" t="s">
        <v>2722</v>
      </c>
      <c r="G941" s="65">
        <v>51113</v>
      </c>
      <c r="H941" s="68" t="s">
        <v>2723</v>
      </c>
      <c r="I941" s="68" t="s">
        <v>488</v>
      </c>
      <c r="J941" s="68" t="str">
        <f>INDEX(数据元说明!A:F,MATCH(I941,数据元说明!C:C,0),2)</f>
        <v>002001</v>
      </c>
      <c r="K941" s="68" t="str">
        <f>INDEX(数据元说明!A:F,MATCH(I941,数据元说明!C:C,0),5)</f>
        <v>银行自定义的唯一识别客户的标识。供应链融资的填写供应链融资编码。</v>
      </c>
      <c r="L941" s="68" t="str">
        <f>INDEX(数据元说明!A:F,MATCH(I941,数据元说明!C:C,0),6)</f>
        <v>C..60</v>
      </c>
      <c r="M941" s="68" t="s">
        <v>2724</v>
      </c>
      <c r="N941" s="68" t="s">
        <v>1601</v>
      </c>
      <c r="O941" s="68"/>
      <c r="P941" s="68"/>
    </row>
    <row r="942" ht="39.95" hidden="1" customHeight="1" outlineLevel="1" spans="1:16">
      <c r="A942" s="63"/>
      <c r="B942" s="64"/>
      <c r="C942" s="59" t="s">
        <v>185</v>
      </c>
      <c r="D942" s="59" t="s">
        <v>2707</v>
      </c>
      <c r="E942" s="65">
        <v>511</v>
      </c>
      <c r="F942" s="68" t="s">
        <v>2725</v>
      </c>
      <c r="G942" s="65">
        <v>51114</v>
      </c>
      <c r="H942" s="68" t="s">
        <v>2726</v>
      </c>
      <c r="I942" s="68" t="s">
        <v>325</v>
      </c>
      <c r="J942" s="68" t="str">
        <f>INDEX(数据元说明!A:F,MATCH(I942,数据元说明!C:C,0),2)</f>
        <v>001001</v>
      </c>
      <c r="K942" s="68" t="str">
        <f>INDEX(数据元说明!A:F,MATCH(I942,数据元说明!C:C,0),5)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42" s="68" t="str">
        <f>INDEX(数据元说明!A:F,MATCH(I942,数据元说明!C:C,0),6)</f>
        <v>C..450</v>
      </c>
      <c r="M942" s="68" t="s">
        <v>2727</v>
      </c>
      <c r="N942" s="68" t="s">
        <v>1601</v>
      </c>
      <c r="O942" s="68"/>
      <c r="P942" s="68"/>
    </row>
    <row r="943" ht="39.95" hidden="1" customHeight="1" outlineLevel="1" spans="1:16">
      <c r="A943" s="63"/>
      <c r="B943" s="64"/>
      <c r="C943" s="59" t="s">
        <v>185</v>
      </c>
      <c r="D943" s="59" t="s">
        <v>2707</v>
      </c>
      <c r="E943" s="65">
        <v>511</v>
      </c>
      <c r="F943" s="68" t="s">
        <v>2728</v>
      </c>
      <c r="G943" s="65">
        <v>51115</v>
      </c>
      <c r="H943" s="67" t="s">
        <v>2729</v>
      </c>
      <c r="I943" s="67" t="s">
        <v>704</v>
      </c>
      <c r="J943" s="68" t="str">
        <f>INDEX(数据元说明!A:F,MATCH(I943,数据元说明!C:C,0),2)</f>
        <v>003025</v>
      </c>
      <c r="K943" s="68" t="str">
        <f>INDEX(数据元说明!A:F,MATCH(I943,数据元说明!C:C,0),5)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943" s="68" t="str">
        <f>INDEX(数据元说明!A:F,MATCH(I943,数据元说明!C:C,0),6)</f>
        <v>C..60</v>
      </c>
      <c r="M943" s="68"/>
      <c r="N943" s="68" t="s">
        <v>1601</v>
      </c>
      <c r="O943" s="68"/>
      <c r="P943" s="68"/>
    </row>
    <row r="944" ht="39.95" hidden="1" customHeight="1" outlineLevel="1" spans="1:16">
      <c r="A944" s="63"/>
      <c r="B944" s="64"/>
      <c r="C944" s="59" t="s">
        <v>185</v>
      </c>
      <c r="D944" s="59" t="s">
        <v>2707</v>
      </c>
      <c r="E944" s="65">
        <v>511</v>
      </c>
      <c r="F944" s="68" t="s">
        <v>2730</v>
      </c>
      <c r="G944" s="65">
        <v>51116</v>
      </c>
      <c r="H944" s="67" t="s">
        <v>2731</v>
      </c>
      <c r="I944" s="68" t="s">
        <v>325</v>
      </c>
      <c r="J944" s="68" t="str">
        <f>INDEX(数据元说明!A:F,MATCH(I944,数据元说明!C:C,0),2)</f>
        <v>001001</v>
      </c>
      <c r="K944" s="68" t="str">
        <f>INDEX(数据元说明!A:F,MATCH(I944,数据元说明!C:C,0),5)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44" s="68" t="str">
        <f>INDEX(数据元说明!A:F,MATCH(I944,数据元说明!C:C,0),6)</f>
        <v>C..450</v>
      </c>
      <c r="M944" s="68"/>
      <c r="N944" s="68" t="s">
        <v>1601</v>
      </c>
      <c r="O944" s="68"/>
      <c r="P944" s="68"/>
    </row>
    <row r="945" ht="39.95" hidden="1" customHeight="1" outlineLevel="1" spans="1:16">
      <c r="A945" s="63"/>
      <c r="B945" s="64"/>
      <c r="C945" s="59" t="s">
        <v>185</v>
      </c>
      <c r="D945" s="59" t="s">
        <v>2707</v>
      </c>
      <c r="E945" s="65">
        <v>511</v>
      </c>
      <c r="F945" s="68" t="s">
        <v>2732</v>
      </c>
      <c r="G945" s="65">
        <v>51117</v>
      </c>
      <c r="H945" s="68" t="s">
        <v>2733</v>
      </c>
      <c r="I945" s="68" t="s">
        <v>325</v>
      </c>
      <c r="J945" s="68" t="str">
        <f>INDEX(数据元说明!A:F,MATCH(I945,数据元说明!C:C,0),2)</f>
        <v>001001</v>
      </c>
      <c r="K945" s="68" t="str">
        <f>INDEX(数据元说明!A:F,MATCH(I945,数据元说明!C:C,0),5)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45" s="68" t="str">
        <f>INDEX(数据元说明!A:F,MATCH(I945,数据元说明!C:C,0),6)</f>
        <v>C..450</v>
      </c>
      <c r="M945" s="68" t="s">
        <v>2734</v>
      </c>
      <c r="N945" s="68" t="s">
        <v>1601</v>
      </c>
      <c r="O945" s="68"/>
      <c r="P945" s="68"/>
    </row>
    <row r="946" ht="39.95" hidden="1" customHeight="1" outlineLevel="1" spans="1:16">
      <c r="A946" s="63"/>
      <c r="B946" s="64"/>
      <c r="C946" s="59" t="s">
        <v>185</v>
      </c>
      <c r="D946" s="59" t="s">
        <v>2707</v>
      </c>
      <c r="E946" s="65">
        <v>511</v>
      </c>
      <c r="F946" s="68" t="s">
        <v>2735</v>
      </c>
      <c r="G946" s="65">
        <v>51118</v>
      </c>
      <c r="H946" s="68" t="s">
        <v>2736</v>
      </c>
      <c r="I946" s="68" t="s">
        <v>492</v>
      </c>
      <c r="J946" s="68" t="str">
        <f>INDEX(数据元说明!A:F,MATCH(I946,数据元说明!C:C,0),2)</f>
        <v>002002</v>
      </c>
      <c r="K946" s="68" t="str">
        <f>INDEX(数据元说明!A:F,MATCH(I946,数据元说明!C:C,0),5)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946" s="68" t="str">
        <f>INDEX(数据元说明!A:F,MATCH(I946,数据元说明!C:C,0),6)</f>
        <v>C..60</v>
      </c>
      <c r="M946" s="68"/>
      <c r="N946" s="68" t="s">
        <v>1601</v>
      </c>
      <c r="O946" s="68"/>
      <c r="P946" s="68"/>
    </row>
    <row r="947" ht="39.95" hidden="1" customHeight="1" outlineLevel="1" spans="1:16">
      <c r="A947" s="63"/>
      <c r="B947" s="64"/>
      <c r="C947" s="59" t="s">
        <v>185</v>
      </c>
      <c r="D947" s="59" t="s">
        <v>2707</v>
      </c>
      <c r="E947" s="65">
        <v>511</v>
      </c>
      <c r="F947" s="68" t="s">
        <v>2737</v>
      </c>
      <c r="G947" s="65">
        <v>51119</v>
      </c>
      <c r="H947" s="68" t="s">
        <v>2738</v>
      </c>
      <c r="I947" s="68" t="s">
        <v>496</v>
      </c>
      <c r="J947" s="68" t="str">
        <f>INDEX(数据元说明!A:F,MATCH(I947,数据元说明!C:C,0),2)</f>
        <v>002003</v>
      </c>
      <c r="K947" s="68" t="str">
        <f>INDEX(数据元说明!A:F,MATCH(I947,数据元说明!C:C,0),5)</f>
        <v>与证件类别对应的证件号码。涉及个人身份证件时需按照本规范给定规则进行脱敏处理。</v>
      </c>
      <c r="L947" s="68" t="str">
        <f>INDEX(数据元说明!A:F,MATCH(I947,数据元说明!C:C,0),6)</f>
        <v>C..70</v>
      </c>
      <c r="M947" s="68"/>
      <c r="N947" s="68" t="s">
        <v>1601</v>
      </c>
      <c r="O947" s="68"/>
      <c r="P947" s="68"/>
    </row>
    <row r="948" ht="39.95" hidden="1" customHeight="1" outlineLevel="1" spans="1:16">
      <c r="A948" s="63"/>
      <c r="B948" s="64"/>
      <c r="C948" s="59" t="s">
        <v>185</v>
      </c>
      <c r="D948" s="59" t="s">
        <v>2707</v>
      </c>
      <c r="E948" s="65">
        <v>511</v>
      </c>
      <c r="F948" s="68" t="s">
        <v>2689</v>
      </c>
      <c r="G948" s="65">
        <v>51120</v>
      </c>
      <c r="H948" s="68" t="s">
        <v>2690</v>
      </c>
      <c r="I948" s="68" t="s">
        <v>642</v>
      </c>
      <c r="J948" s="68" t="str">
        <f>INDEX(数据元说明!A:F,MATCH(I948,数据元说明!C:C,0),2)</f>
        <v>003010</v>
      </c>
      <c r="K948" s="68" t="str">
        <f>INDEX(数据元说明!A:F,MATCH(I948,数据元说明!C:C,0),5)</f>
        <v>遵循《GB/T 12406 表示货币和资金的代码》的字母代码，如CNY。上述文件所列币种无法涵盖的，允许银行自定义填报。多个币种合计折算为人民币（本外币合计）的，填报为BWB。</v>
      </c>
      <c r="L948" s="68" t="str">
        <f>INDEX(数据元说明!A:F,MATCH(I948,数据元说明!C:C,0),6)</f>
        <v>C3</v>
      </c>
      <c r="M948" s="68" t="s">
        <v>2739</v>
      </c>
      <c r="N948" s="68" t="s">
        <v>1601</v>
      </c>
      <c r="O948" s="68"/>
      <c r="P948" s="68"/>
    </row>
    <row r="949" ht="39.95" hidden="1" customHeight="1" outlineLevel="1" spans="1:16">
      <c r="A949" s="63"/>
      <c r="B949" s="64"/>
      <c r="C949" s="59" t="s">
        <v>185</v>
      </c>
      <c r="D949" s="59" t="s">
        <v>2707</v>
      </c>
      <c r="E949" s="65">
        <v>511</v>
      </c>
      <c r="F949" s="67" t="s">
        <v>2692</v>
      </c>
      <c r="G949" s="65">
        <v>51121</v>
      </c>
      <c r="H949" s="67" t="s">
        <v>2693</v>
      </c>
      <c r="I949" s="67" t="s">
        <v>634</v>
      </c>
      <c r="J949" s="68" t="str">
        <f>INDEX(数据元说明!A:F,MATCH(I949,数据元说明!C:C,0),2)</f>
        <v>003008</v>
      </c>
      <c r="K949" s="68" t="str">
        <f>INDEX(数据元说明!A:F,MATCH(I949,数据元说明!C:C,0),5)</f>
        <v>与币种相对应金额。</v>
      </c>
      <c r="L949" s="68" t="str">
        <f>INDEX(数据元说明!A:F,MATCH(I949,数据元说明!C:C,0),6)</f>
        <v>D20.2</v>
      </c>
      <c r="M949" s="68" t="s">
        <v>2694</v>
      </c>
      <c r="N949" s="68" t="s">
        <v>1601</v>
      </c>
      <c r="O949" s="68"/>
      <c r="P949" s="68"/>
    </row>
    <row r="950" ht="39.95" hidden="1" customHeight="1" outlineLevel="1" spans="1:16">
      <c r="A950" s="63"/>
      <c r="B950" s="64"/>
      <c r="C950" s="59" t="s">
        <v>185</v>
      </c>
      <c r="D950" s="59" t="s">
        <v>2707</v>
      </c>
      <c r="E950" s="65">
        <v>511</v>
      </c>
      <c r="F950" s="68" t="s">
        <v>2695</v>
      </c>
      <c r="G950" s="65">
        <v>51122</v>
      </c>
      <c r="H950" s="68" t="s">
        <v>2696</v>
      </c>
      <c r="I950" s="68" t="s">
        <v>335</v>
      </c>
      <c r="J950" s="68" t="str">
        <f>INDEX(数据元说明!A:F,MATCH(I950,数据元说明!C:C,0),2)</f>
        <v>001003</v>
      </c>
      <c r="K950" s="68" t="str">
        <f>INDEX(数据元说明!A:F,MATCH(I950,数据元说明!C:C,0),5)</f>
        <v>百分比为单位，即1/100，保留两位小数。如4.5%则填报为4.50。</v>
      </c>
      <c r="L950" s="68" t="str">
        <f>INDEX(数据元说明!A:F,MATCH(I950,数据元说明!C:C,0),6)</f>
        <v>D20.2</v>
      </c>
      <c r="M950" s="68" t="s">
        <v>2740</v>
      </c>
      <c r="N950" s="68" t="s">
        <v>1601</v>
      </c>
      <c r="O950" s="68"/>
      <c r="P950" s="68"/>
    </row>
    <row r="951" ht="39.95" hidden="1" customHeight="1" outlineLevel="1" spans="1:16">
      <c r="A951" s="63"/>
      <c r="B951" s="64"/>
      <c r="C951" s="59" t="s">
        <v>185</v>
      </c>
      <c r="D951" s="59" t="s">
        <v>2707</v>
      </c>
      <c r="E951" s="65">
        <v>511</v>
      </c>
      <c r="F951" s="68" t="s">
        <v>2698</v>
      </c>
      <c r="G951" s="65">
        <v>51123</v>
      </c>
      <c r="H951" s="68" t="s">
        <v>2699</v>
      </c>
      <c r="I951" s="68" t="s">
        <v>642</v>
      </c>
      <c r="J951" s="68" t="str">
        <f>INDEX(数据元说明!A:F,MATCH(I951,数据元说明!C:C,0),2)</f>
        <v>003010</v>
      </c>
      <c r="K951" s="68" t="str">
        <f>INDEX(数据元说明!A:F,MATCH(I951,数据元说明!C:C,0),5)</f>
        <v>遵循《GB/T 12406 表示货币和资金的代码》的字母代码，如CNY。上述文件所列币种无法涵盖的，允许银行自定义填报。多个币种合计折算为人民币（本外币合计）的，填报为BWB。</v>
      </c>
      <c r="L951" s="68" t="str">
        <f>INDEX(数据元说明!A:F,MATCH(I951,数据元说明!C:C,0),6)</f>
        <v>C3</v>
      </c>
      <c r="M951" s="68" t="s">
        <v>2741</v>
      </c>
      <c r="N951" s="68" t="s">
        <v>1601</v>
      </c>
      <c r="O951" s="68"/>
      <c r="P951" s="68"/>
    </row>
    <row r="952" ht="39.95" hidden="1" customHeight="1" outlineLevel="1" spans="1:16">
      <c r="A952" s="63"/>
      <c r="B952" s="64"/>
      <c r="C952" s="59" t="s">
        <v>185</v>
      </c>
      <c r="D952" s="59" t="s">
        <v>2707</v>
      </c>
      <c r="E952" s="65">
        <v>511</v>
      </c>
      <c r="F952" s="68" t="s">
        <v>2701</v>
      </c>
      <c r="G952" s="65">
        <v>51124</v>
      </c>
      <c r="H952" s="68" t="s">
        <v>2702</v>
      </c>
      <c r="I952" s="68" t="s">
        <v>634</v>
      </c>
      <c r="J952" s="68" t="str">
        <f>INDEX(数据元说明!A:F,MATCH(I952,数据元说明!C:C,0),2)</f>
        <v>003008</v>
      </c>
      <c r="K952" s="68" t="str">
        <f>INDEX(数据元说明!A:F,MATCH(I952,数据元说明!C:C,0),5)</f>
        <v>与币种相对应金额。</v>
      </c>
      <c r="L952" s="68" t="str">
        <f>INDEX(数据元说明!A:F,MATCH(I952,数据元说明!C:C,0),6)</f>
        <v>D20.2</v>
      </c>
      <c r="M952" s="68" t="s">
        <v>2742</v>
      </c>
      <c r="N952" s="68" t="s">
        <v>1601</v>
      </c>
      <c r="O952" s="68"/>
      <c r="P952" s="68"/>
    </row>
    <row r="953" ht="39.95" hidden="1" customHeight="1" outlineLevel="1" spans="1:16">
      <c r="A953" s="70"/>
      <c r="B953" s="71"/>
      <c r="C953" s="59" t="s">
        <v>185</v>
      </c>
      <c r="D953" s="59" t="s">
        <v>2707</v>
      </c>
      <c r="E953" s="65">
        <v>511</v>
      </c>
      <c r="F953" s="67" t="s">
        <v>2704</v>
      </c>
      <c r="G953" s="65">
        <v>51125</v>
      </c>
      <c r="H953" s="67" t="s">
        <v>2705</v>
      </c>
      <c r="I953" s="67" t="s">
        <v>704</v>
      </c>
      <c r="J953" s="67" t="str">
        <f>INDEX(数据元说明!A:F,MATCH(I953,数据元说明!C:C,0),2)</f>
        <v>003025</v>
      </c>
      <c r="K953" s="68" t="str">
        <f>INDEX(数据元说明!A:F,MATCH(I953,数据元说明!C:C,0),5)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953" s="67" t="str">
        <f>INDEX(数据元说明!A:F,MATCH(I953,数据元说明!C:C,0),6)</f>
        <v>C..60</v>
      </c>
      <c r="M953" s="68" t="s">
        <v>2743</v>
      </c>
      <c r="N953" s="68" t="s">
        <v>1601</v>
      </c>
      <c r="O953" s="68"/>
      <c r="P953" s="68"/>
    </row>
    <row r="954" ht="39.95" hidden="1" customHeight="1" outlineLevel="1" spans="1:16">
      <c r="A954" s="63"/>
      <c r="B954" s="64"/>
      <c r="C954" s="59" t="s">
        <v>185</v>
      </c>
      <c r="D954" s="59" t="s">
        <v>2707</v>
      </c>
      <c r="E954" s="65">
        <v>511</v>
      </c>
      <c r="F954" s="67" t="s">
        <v>832</v>
      </c>
      <c r="G954" s="65">
        <v>51126</v>
      </c>
      <c r="H954" s="67" t="s">
        <v>2278</v>
      </c>
      <c r="I954" s="67" t="s">
        <v>832</v>
      </c>
      <c r="J954" s="67" t="str">
        <f>INDEX(数据元说明!A:F,MATCH(I954,数据元说明!C:C,0),2)</f>
        <v>005023</v>
      </c>
      <c r="K954" s="68" t="str">
        <f>INDEX(数据元说明!A:F,MATCH(I954,数据元说明!C:C,0),5)</f>
        <v>正常、结清、逾期、核销、转让，其他-银行自定义。以枚举类型填报，如无法以枚举类型填报，则以“其他-XX”填报，其中“XX”为银行自定义状态。</v>
      </c>
      <c r="L954" s="67" t="str">
        <f>INDEX(数据元说明!A:F,MATCH(I954,数据元说明!C:C,0),6)</f>
        <v>C..30</v>
      </c>
      <c r="M954" s="68"/>
      <c r="N954" s="68" t="s">
        <v>1601</v>
      </c>
      <c r="O954" s="68"/>
      <c r="P954" s="68"/>
    </row>
    <row r="955" ht="39.95" hidden="1" customHeight="1" outlineLevel="1" spans="1:16">
      <c r="A955" s="63"/>
      <c r="B955" s="64"/>
      <c r="C955" s="59" t="s">
        <v>185</v>
      </c>
      <c r="D955" s="59" t="s">
        <v>2707</v>
      </c>
      <c r="E955" s="65">
        <v>511</v>
      </c>
      <c r="F955" s="67" t="s">
        <v>484</v>
      </c>
      <c r="G955" s="65">
        <v>51127</v>
      </c>
      <c r="H955" s="67" t="s">
        <v>1623</v>
      </c>
      <c r="I955" s="67" t="s">
        <v>484</v>
      </c>
      <c r="J955" s="67" t="str">
        <f>INDEX(数据元说明!A:F,MATCH(I955,数据元说明!C:C,0),2)</f>
        <v>001038</v>
      </c>
      <c r="K955" s="68" t="str">
        <f>INDEX(数据元说明!A:F,MATCH(I955,数据元说明!C:C,0),5)</f>
        <v>银行自定义。</v>
      </c>
      <c r="L955" s="67" t="str">
        <f>INDEX(数据元说明!A:F,MATCH(I955,数据元说明!C:C,0),6)</f>
        <v>C..600</v>
      </c>
      <c r="M955" s="68" t="s">
        <v>1624</v>
      </c>
      <c r="N955" s="68" t="s">
        <v>1601</v>
      </c>
      <c r="O955" s="68"/>
      <c r="P955" s="68"/>
    </row>
    <row r="956" ht="39.95" hidden="1" customHeight="1" outlineLevel="1" spans="1:16">
      <c r="A956" s="63"/>
      <c r="B956" s="64"/>
      <c r="C956" s="59" t="s">
        <v>185</v>
      </c>
      <c r="D956" s="59" t="s">
        <v>2707</v>
      </c>
      <c r="E956" s="65">
        <v>511</v>
      </c>
      <c r="F956" s="68" t="s">
        <v>1625</v>
      </c>
      <c r="G956" s="65">
        <v>51128</v>
      </c>
      <c r="H956" s="68" t="s">
        <v>1626</v>
      </c>
      <c r="I956" s="68" t="s">
        <v>345</v>
      </c>
      <c r="J956" s="68" t="str">
        <f>INDEX(数据元说明!A:F,MATCH(I956,数据元说明!C:C,0),2)</f>
        <v>001005</v>
      </c>
      <c r="K956" s="68" t="str">
        <f>INDEX(数据元说明!A:F,MATCH(I956,数据元说明!C:C,0),5)</f>
        <v>YYYYMMDD，默认值99991231。</v>
      </c>
      <c r="L956" s="68" t="str">
        <f>INDEX(数据元说明!A:F,MATCH(I956,数据元说明!C:C,0),6)</f>
        <v>C8</v>
      </c>
      <c r="M956" s="68" t="s">
        <v>1627</v>
      </c>
      <c r="N956" s="68" t="s">
        <v>1601</v>
      </c>
      <c r="O956" s="68"/>
      <c r="P956" s="68"/>
    </row>
    <row r="957" ht="39.95" hidden="1" customHeight="1" collapsed="1" spans="1:16">
      <c r="A957" s="63"/>
      <c r="B957" s="64"/>
      <c r="C957" s="59" t="s">
        <v>189</v>
      </c>
      <c r="D957" s="59" t="s">
        <v>2744</v>
      </c>
      <c r="E957" s="65">
        <v>512</v>
      </c>
      <c r="F957" s="67"/>
      <c r="G957" s="65"/>
      <c r="H957" s="67"/>
      <c r="I957" s="67"/>
      <c r="J957" s="67"/>
      <c r="K957" s="68"/>
      <c r="L957" s="67"/>
      <c r="M957" s="68" t="str">
        <f>INDEX(表结构总览!D:G,MATCH(D957,表结构总览!D:D,0),4)</f>
        <v>填报信用证、承兑汇票、保函、贵金属租赁等业务产生的各项垫款信息，相关业务定义参照1104报表《各项垫款情况表》。垫款状态为“结清”、“转让”、“核销”的，在报送最后状态的次月可不再报送。</v>
      </c>
      <c r="N957" s="68" t="s">
        <v>1601</v>
      </c>
      <c r="O957" s="68"/>
      <c r="P957" s="69"/>
    </row>
    <row r="958" ht="39.95" hidden="1" customHeight="1" outlineLevel="1" spans="1:16">
      <c r="A958" s="63"/>
      <c r="B958" s="64"/>
      <c r="C958" s="59" t="s">
        <v>189</v>
      </c>
      <c r="D958" s="59" t="s">
        <v>2744</v>
      </c>
      <c r="E958" s="65">
        <v>512</v>
      </c>
      <c r="F958" s="67" t="s">
        <v>373</v>
      </c>
      <c r="G958" s="65">
        <v>51201</v>
      </c>
      <c r="H958" s="67" t="s">
        <v>1588</v>
      </c>
      <c r="I958" s="67" t="s">
        <v>373</v>
      </c>
      <c r="J958" s="67" t="str">
        <f>INDEX(数据元说明!A:F,MATCH(I958,数据元说明!C:C,0),2)</f>
        <v>001011</v>
      </c>
      <c r="K958" s="68" t="str">
        <f>INDEX(数据元说明!A:F,MATCH(I958,数据元说明!C:C,0),5)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58" s="67" t="str">
        <f>INDEX(数据元说明!A:F,MATCH(I958,数据元说明!C:C,0),6)</f>
        <v>C..30</v>
      </c>
      <c r="M958" s="68" t="s">
        <v>2488</v>
      </c>
      <c r="N958" s="68" t="s">
        <v>1601</v>
      </c>
      <c r="O958" s="68"/>
      <c r="P958" s="68"/>
    </row>
    <row r="959" ht="39.95" hidden="1" customHeight="1" outlineLevel="1" spans="1:16">
      <c r="A959" s="63"/>
      <c r="B959" s="64"/>
      <c r="C959" s="59" t="s">
        <v>189</v>
      </c>
      <c r="D959" s="59" t="s">
        <v>2744</v>
      </c>
      <c r="E959" s="65">
        <v>512</v>
      </c>
      <c r="F959" s="67" t="s">
        <v>377</v>
      </c>
      <c r="G959" s="65">
        <v>51202</v>
      </c>
      <c r="H959" s="67" t="s">
        <v>1586</v>
      </c>
      <c r="I959" s="67" t="s">
        <v>377</v>
      </c>
      <c r="J959" s="67" t="str">
        <f>INDEX(数据元说明!A:F,MATCH(I959,数据元说明!C:C,0),2)</f>
        <v>001012</v>
      </c>
      <c r="K959" s="68" t="str">
        <f>INDEX(数据元说明!A:F,MATCH(I959,数据元说明!C:C,0),5)</f>
        <v>银行内部机构号。应具有标识机构的唯一性。</v>
      </c>
      <c r="L959" s="67" t="str">
        <f>INDEX(数据元说明!A:F,MATCH(I959,数据元说明!C:C,0),6)</f>
        <v>C..30</v>
      </c>
      <c r="M959" s="68" t="s">
        <v>2745</v>
      </c>
      <c r="N959" s="68" t="s">
        <v>1601</v>
      </c>
      <c r="O959" s="68"/>
      <c r="P959" s="69"/>
    </row>
    <row r="960" ht="39.95" hidden="1" customHeight="1" outlineLevel="1" spans="1:16">
      <c r="A960" s="63"/>
      <c r="B960" s="64"/>
      <c r="C960" s="59" t="s">
        <v>189</v>
      </c>
      <c r="D960" s="59" t="s">
        <v>2744</v>
      </c>
      <c r="E960" s="65">
        <v>512</v>
      </c>
      <c r="F960" s="67" t="s">
        <v>1592</v>
      </c>
      <c r="G960" s="65">
        <v>51203</v>
      </c>
      <c r="H960" s="67" t="s">
        <v>1593</v>
      </c>
      <c r="I960" s="67" t="s">
        <v>325</v>
      </c>
      <c r="J960" s="67" t="str">
        <f>INDEX(数据元说明!A:F,MATCH(I960,数据元说明!C:C,0),2)</f>
        <v>001001</v>
      </c>
      <c r="K960" s="68" t="str">
        <f>INDEX(数据元说明!A:F,MATCH(I960,数据元说明!C:C,0),5)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60" s="67" t="str">
        <f>INDEX(数据元说明!A:F,MATCH(I960,数据元说明!C:C,0),6)</f>
        <v>C..450</v>
      </c>
      <c r="M960" s="68" t="s">
        <v>2746</v>
      </c>
      <c r="N960" s="68" t="s">
        <v>1601</v>
      </c>
      <c r="O960" s="68"/>
      <c r="P960" s="69"/>
    </row>
    <row r="961" ht="39.95" hidden="1" customHeight="1" outlineLevel="1" spans="1:16">
      <c r="A961" s="70"/>
      <c r="B961" s="71"/>
      <c r="C961" s="59" t="s">
        <v>189</v>
      </c>
      <c r="D961" s="59" t="s">
        <v>2744</v>
      </c>
      <c r="E961" s="65">
        <v>512</v>
      </c>
      <c r="F961" s="67" t="s">
        <v>2257</v>
      </c>
      <c r="G961" s="65">
        <v>51204</v>
      </c>
      <c r="H961" s="67" t="s">
        <v>2258</v>
      </c>
      <c r="I961" s="67" t="s">
        <v>683</v>
      </c>
      <c r="J961" s="67" t="str">
        <f>INDEX(数据元说明!A:F,MATCH(I961,数据元说明!C:C,0),2)</f>
        <v>003020</v>
      </c>
      <c r="K961" s="68" t="str">
        <f>INDEX(数据元说明!A:F,MATCH(I961,数据元说明!C:C,0),5)</f>
        <v>合同号。</v>
      </c>
      <c r="L961" s="67" t="str">
        <f>INDEX(数据元说明!A:F,MATCH(I961,数据元说明!C:C,0),6)</f>
        <v>C..100</v>
      </c>
      <c r="M961" s="68" t="s">
        <v>2489</v>
      </c>
      <c r="N961" s="68" t="s">
        <v>1601</v>
      </c>
      <c r="O961" s="68"/>
      <c r="P961" s="68"/>
    </row>
    <row r="962" ht="39.95" hidden="1" customHeight="1" outlineLevel="1" spans="1:16">
      <c r="A962" s="70"/>
      <c r="B962" s="71"/>
      <c r="C962" s="59" t="s">
        <v>189</v>
      </c>
      <c r="D962" s="59" t="s">
        <v>2744</v>
      </c>
      <c r="E962" s="65">
        <v>512</v>
      </c>
      <c r="F962" s="67" t="s">
        <v>2260</v>
      </c>
      <c r="G962" s="65">
        <v>51205</v>
      </c>
      <c r="H962" s="67" t="s">
        <v>2261</v>
      </c>
      <c r="I962" s="67" t="s">
        <v>678</v>
      </c>
      <c r="J962" s="67" t="str">
        <f>INDEX(数据元说明!A:F,MATCH(I962,数据元说明!C:C,0),2)</f>
        <v>003019</v>
      </c>
      <c r="K962" s="68" t="str">
        <f>INDEX(数据元说明!A:F,MATCH(I962,数据元说明!C:C,0),5)</f>
        <v>借据统一编号。</v>
      </c>
      <c r="L962" s="67" t="str">
        <f>INDEX(数据元说明!A:F,MATCH(I962,数据元说明!C:C,0),6)</f>
        <v>C..100</v>
      </c>
      <c r="M962" s="68" t="s">
        <v>2490</v>
      </c>
      <c r="N962" s="68" t="s">
        <v>1601</v>
      </c>
      <c r="O962" s="68"/>
      <c r="P962" s="68"/>
    </row>
    <row r="963" ht="39.95" hidden="1" customHeight="1" outlineLevel="1" spans="1:16">
      <c r="A963" s="63"/>
      <c r="B963" s="64"/>
      <c r="C963" s="59" t="s">
        <v>189</v>
      </c>
      <c r="D963" s="59" t="s">
        <v>2744</v>
      </c>
      <c r="E963" s="65">
        <v>512</v>
      </c>
      <c r="F963" s="67" t="s">
        <v>1079</v>
      </c>
      <c r="G963" s="65">
        <v>51206</v>
      </c>
      <c r="H963" s="67" t="s">
        <v>2747</v>
      </c>
      <c r="I963" s="67" t="s">
        <v>1079</v>
      </c>
      <c r="J963" s="67" t="str">
        <f>INDEX(数据元说明!A:F,MATCH(I963,数据元说明!C:C,0),2)</f>
        <v>007017</v>
      </c>
      <c r="K963" s="68" t="str">
        <f>INDEX(数据元说明!A:F,MATCH(I963,数据元说明!C:C,0),5)</f>
        <v>与1104报表G01_Ⅵ《各项垫款情况表》一致。即分为（按序号+名称填报）：1.1承兑汇票，1.2融资性保函，1.3其他等同于贷款的授信业务， 2.1非融资性保函， 2.2其他与交易相关的或有项目，3.1跟单信用证，3.2其他与贸易相关的或有项目。</v>
      </c>
      <c r="L963" s="67" t="str">
        <f>INDEX(数据元说明!A:F,MATCH(I963,数据元说明!C:C,0),6)</f>
        <v>C..60</v>
      </c>
      <c r="M963" s="68" t="s">
        <v>2748</v>
      </c>
      <c r="N963" s="68" t="s">
        <v>1601</v>
      </c>
      <c r="O963" s="68"/>
      <c r="P963" s="69"/>
    </row>
    <row r="964" ht="39.95" hidden="1" customHeight="1" outlineLevel="1" spans="1:16">
      <c r="A964" s="63"/>
      <c r="B964" s="64"/>
      <c r="C964" s="59" t="s">
        <v>189</v>
      </c>
      <c r="D964" s="59" t="s">
        <v>2744</v>
      </c>
      <c r="E964" s="65">
        <v>512</v>
      </c>
      <c r="F964" s="67" t="s">
        <v>2749</v>
      </c>
      <c r="G964" s="65">
        <v>51207</v>
      </c>
      <c r="H964" s="67" t="s">
        <v>2750</v>
      </c>
      <c r="I964" s="67" t="s">
        <v>683</v>
      </c>
      <c r="J964" s="67" t="str">
        <f>INDEX(数据元说明!A:F,MATCH(I964,数据元说明!C:C,0),2)</f>
        <v>003020</v>
      </c>
      <c r="K964" s="68" t="str">
        <f>INDEX(数据元说明!A:F,MATCH(I964,数据元说明!C:C,0),5)</f>
        <v>合同号。</v>
      </c>
      <c r="L964" s="67" t="str">
        <f>INDEX(数据元说明!A:F,MATCH(I964,数据元说明!C:C,0),6)</f>
        <v>C..100</v>
      </c>
      <c r="M964" s="68" t="s">
        <v>2751</v>
      </c>
      <c r="N964" s="68" t="s">
        <v>1601</v>
      </c>
      <c r="O964" s="68"/>
      <c r="P964" s="69"/>
    </row>
    <row r="965" ht="39.95" hidden="1" customHeight="1" outlineLevel="1" spans="1:16">
      <c r="A965" s="63"/>
      <c r="B965" s="64"/>
      <c r="C965" s="59" t="s">
        <v>189</v>
      </c>
      <c r="D965" s="59" t="s">
        <v>2744</v>
      </c>
      <c r="E965" s="65">
        <v>512</v>
      </c>
      <c r="F965" s="67" t="s">
        <v>642</v>
      </c>
      <c r="G965" s="65">
        <v>51208</v>
      </c>
      <c r="H965" s="67" t="s">
        <v>1914</v>
      </c>
      <c r="I965" s="67" t="s">
        <v>642</v>
      </c>
      <c r="J965" s="67" t="str">
        <f>INDEX(数据元说明!A:F,MATCH(I965,数据元说明!C:C,0),2)</f>
        <v>003010</v>
      </c>
      <c r="K965" s="68" t="str">
        <f>INDEX(数据元说明!A:F,MATCH(I965,数据元说明!C:C,0),5)</f>
        <v>遵循《GB/T 12406 表示货币和资金的代码》的字母代码，如CNY。上述文件所列币种无法涵盖的，允许银行自定义填报。多个币种合计折算为人民币（本外币合计）的，填报为BWB。</v>
      </c>
      <c r="L965" s="67" t="str">
        <f>INDEX(数据元说明!A:F,MATCH(I965,数据元说明!C:C,0),6)</f>
        <v>C3</v>
      </c>
      <c r="M965" s="68" t="s">
        <v>2752</v>
      </c>
      <c r="N965" s="68" t="s">
        <v>1601</v>
      </c>
      <c r="O965" s="68"/>
      <c r="P965" s="69"/>
    </row>
    <row r="966" ht="39.95" hidden="1" customHeight="1" outlineLevel="1" spans="1:16">
      <c r="A966" s="63"/>
      <c r="B966" s="64"/>
      <c r="C966" s="59" t="s">
        <v>189</v>
      </c>
      <c r="D966" s="59" t="s">
        <v>2744</v>
      </c>
      <c r="E966" s="65">
        <v>512</v>
      </c>
      <c r="F966" s="67" t="s">
        <v>2753</v>
      </c>
      <c r="G966" s="65">
        <v>51209</v>
      </c>
      <c r="H966" s="67" t="s">
        <v>2267</v>
      </c>
      <c r="I966" s="67" t="s">
        <v>634</v>
      </c>
      <c r="J966" s="67" t="str">
        <f>INDEX(数据元说明!A:F,MATCH(I966,数据元说明!C:C,0),2)</f>
        <v>003008</v>
      </c>
      <c r="K966" s="68" t="str">
        <f>INDEX(数据元说明!A:F,MATCH(I966,数据元说明!C:C,0),5)</f>
        <v>与币种相对应金额。</v>
      </c>
      <c r="L966" s="67" t="str">
        <f>INDEX(数据元说明!A:F,MATCH(I966,数据元说明!C:C,0),6)</f>
        <v>D20.2</v>
      </c>
      <c r="M966" s="68" t="s">
        <v>2754</v>
      </c>
      <c r="N966" s="68" t="s">
        <v>1601</v>
      </c>
      <c r="O966" s="68"/>
      <c r="P966" s="69"/>
    </row>
    <row r="967" ht="39.95" hidden="1" customHeight="1" outlineLevel="1" spans="1:16">
      <c r="A967" s="63"/>
      <c r="B967" s="64"/>
      <c r="C967" s="59" t="s">
        <v>189</v>
      </c>
      <c r="D967" s="59" t="s">
        <v>2744</v>
      </c>
      <c r="E967" s="65">
        <v>512</v>
      </c>
      <c r="F967" s="67" t="s">
        <v>2755</v>
      </c>
      <c r="G967" s="65">
        <v>51210</v>
      </c>
      <c r="H967" s="67" t="s">
        <v>2270</v>
      </c>
      <c r="I967" s="67" t="s">
        <v>638</v>
      </c>
      <c r="J967" s="67" t="str">
        <f>INDEX(数据元说明!A:F,MATCH(I967,数据元说明!C:C,0),2)</f>
        <v>003009</v>
      </c>
      <c r="K967" s="68" t="str">
        <f>INDEX(数据元说明!A:F,MATCH(I967,数据元说明!C:C,0),5)</f>
        <v>与币种相对应金额。(以正数填列。如信贷分户账，某客户初次获得贷款1万元，此时余额为10000；如活期存款明细，某客户初次开户存入10000元，此时余额为10000）</v>
      </c>
      <c r="L967" s="67" t="str">
        <f>INDEX(数据元说明!A:F,MATCH(I967,数据元说明!C:C,0),6)</f>
        <v>D20.2</v>
      </c>
      <c r="M967" s="68" t="s">
        <v>2756</v>
      </c>
      <c r="N967" s="68" t="s">
        <v>1601</v>
      </c>
      <c r="O967" s="68"/>
      <c r="P967" s="69"/>
    </row>
    <row r="968" ht="39.95" hidden="1" customHeight="1" outlineLevel="1" spans="1:16">
      <c r="A968" s="63"/>
      <c r="B968" s="64"/>
      <c r="C968" s="59" t="s">
        <v>189</v>
      </c>
      <c r="D968" s="59" t="s">
        <v>2744</v>
      </c>
      <c r="E968" s="65">
        <v>512</v>
      </c>
      <c r="F968" s="67" t="s">
        <v>488</v>
      </c>
      <c r="G968" s="65">
        <v>51211</v>
      </c>
      <c r="H968" s="67" t="s">
        <v>1699</v>
      </c>
      <c r="I968" s="67" t="s">
        <v>488</v>
      </c>
      <c r="J968" s="67" t="str">
        <f>INDEX(数据元说明!A:F,MATCH(I968,数据元说明!C:C,0),2)</f>
        <v>002001</v>
      </c>
      <c r="K968" s="68" t="str">
        <f>INDEX(数据元说明!A:F,MATCH(I968,数据元说明!C:C,0),5)</f>
        <v>银行自定义的唯一识别客户的标识。供应链融资的填写供应链融资编码。</v>
      </c>
      <c r="L968" s="67" t="str">
        <f>INDEX(数据元说明!A:F,MATCH(I968,数据元说明!C:C,0),6)</f>
        <v>C..60</v>
      </c>
      <c r="M968" s="68" t="s">
        <v>1679</v>
      </c>
      <c r="N968" s="68" t="s">
        <v>1601</v>
      </c>
      <c r="O968" s="68"/>
      <c r="P968" s="69"/>
    </row>
    <row r="969" ht="39.95" hidden="1" customHeight="1" outlineLevel="1" spans="1:16">
      <c r="A969" s="63"/>
      <c r="B969" s="64"/>
      <c r="C969" s="59" t="s">
        <v>189</v>
      </c>
      <c r="D969" s="59" t="s">
        <v>2744</v>
      </c>
      <c r="E969" s="65">
        <v>512</v>
      </c>
      <c r="F969" s="67" t="s">
        <v>1837</v>
      </c>
      <c r="G969" s="65">
        <v>51212</v>
      </c>
      <c r="H969" s="67" t="s">
        <v>1838</v>
      </c>
      <c r="I969" s="67" t="s">
        <v>325</v>
      </c>
      <c r="J969" s="67" t="str">
        <f>INDEX(数据元说明!A:F,MATCH(I969,数据元说明!C:C,0),2)</f>
        <v>001001</v>
      </c>
      <c r="K969" s="68" t="str">
        <f>INDEX(数据元说明!A:F,MATCH(I969,数据元说明!C:C,0),5)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69" s="67" t="str">
        <f>INDEX(数据元说明!A:F,MATCH(I969,数据元说明!C:C,0),6)</f>
        <v>C..450</v>
      </c>
      <c r="M969" s="68" t="s">
        <v>2757</v>
      </c>
      <c r="N969" s="68" t="s">
        <v>1601</v>
      </c>
      <c r="O969" s="68"/>
      <c r="P969" s="69"/>
    </row>
    <row r="970" ht="39.95" hidden="1" customHeight="1" outlineLevel="1" spans="1:16">
      <c r="A970" s="63"/>
      <c r="B970" s="64"/>
      <c r="C970" s="59" t="s">
        <v>189</v>
      </c>
      <c r="D970" s="59" t="s">
        <v>2744</v>
      </c>
      <c r="E970" s="65">
        <v>512</v>
      </c>
      <c r="F970" s="67" t="s">
        <v>2758</v>
      </c>
      <c r="G970" s="65">
        <v>51213</v>
      </c>
      <c r="H970" s="67" t="s">
        <v>2759</v>
      </c>
      <c r="I970" s="67" t="s">
        <v>345</v>
      </c>
      <c r="J970" s="67" t="str">
        <f>INDEX(数据元说明!A:F,MATCH(I970,数据元说明!C:C,0),2)</f>
        <v>001005</v>
      </c>
      <c r="K970" s="68" t="str">
        <f>INDEX(数据元说明!A:F,MATCH(I970,数据元说明!C:C,0),5)</f>
        <v>YYYYMMDD，默认值99991231。</v>
      </c>
      <c r="L970" s="67" t="str">
        <f>INDEX(数据元说明!A:F,MATCH(I970,数据元说明!C:C,0),6)</f>
        <v>C8</v>
      </c>
      <c r="M970" s="68"/>
      <c r="N970" s="68" t="s">
        <v>1601</v>
      </c>
      <c r="O970" s="68"/>
      <c r="P970" s="69"/>
    </row>
    <row r="971" ht="39.95" hidden="1" customHeight="1" outlineLevel="1" spans="1:16">
      <c r="A971" s="63"/>
      <c r="B971" s="64"/>
      <c r="C971" s="59" t="s">
        <v>189</v>
      </c>
      <c r="D971" s="59" t="s">
        <v>2744</v>
      </c>
      <c r="E971" s="65">
        <v>512</v>
      </c>
      <c r="F971" s="67" t="s">
        <v>1083</v>
      </c>
      <c r="G971" s="65">
        <v>51214</v>
      </c>
      <c r="H971" s="67" t="s">
        <v>2278</v>
      </c>
      <c r="I971" s="67" t="s">
        <v>1083</v>
      </c>
      <c r="J971" s="67" t="str">
        <f>INDEX(数据元说明!A:F,MATCH(I971,数据元说明!C:C,0),2)</f>
        <v>007018</v>
      </c>
      <c r="K971" s="68" t="str">
        <f>INDEX(数据元说明!A:F,MATCH(I971,数据元说明!C:C,0),5)</f>
        <v>未结清，已结清，转让，核销。无法以枚举类型填报的，以“其他-XX”填报，其中“XX”为银行自定义垫款状态。</v>
      </c>
      <c r="L971" s="67" t="str">
        <f>INDEX(数据元说明!A:F,MATCH(I971,数据元说明!C:C,0),6)</f>
        <v>C..30</v>
      </c>
      <c r="M971" s="68"/>
      <c r="N971" s="68" t="s">
        <v>1601</v>
      </c>
      <c r="O971" s="68"/>
      <c r="P971" s="69"/>
    </row>
    <row r="972" ht="39.95" hidden="1" customHeight="1" outlineLevel="1" spans="1:16">
      <c r="A972" s="63"/>
      <c r="B972" s="64"/>
      <c r="C972" s="59" t="s">
        <v>189</v>
      </c>
      <c r="D972" s="59" t="s">
        <v>2744</v>
      </c>
      <c r="E972" s="65">
        <v>512</v>
      </c>
      <c r="F972" s="67" t="s">
        <v>484</v>
      </c>
      <c r="G972" s="65">
        <v>51215</v>
      </c>
      <c r="H972" s="67" t="s">
        <v>1623</v>
      </c>
      <c r="I972" s="67" t="s">
        <v>484</v>
      </c>
      <c r="J972" s="67" t="str">
        <f>INDEX(数据元说明!A:F,MATCH(I972,数据元说明!C:C,0),2)</f>
        <v>001038</v>
      </c>
      <c r="K972" s="68" t="str">
        <f>INDEX(数据元说明!A:F,MATCH(I972,数据元说明!C:C,0),5)</f>
        <v>银行自定义。</v>
      </c>
      <c r="L972" s="67" t="str">
        <f>INDEX(数据元说明!A:F,MATCH(I972,数据元说明!C:C,0),6)</f>
        <v>C..600</v>
      </c>
      <c r="M972" s="68" t="s">
        <v>1624</v>
      </c>
      <c r="N972" s="68" t="s">
        <v>1601</v>
      </c>
      <c r="O972" s="68"/>
      <c r="P972" s="68"/>
    </row>
    <row r="973" ht="39.95" hidden="1" customHeight="1" outlineLevel="1" spans="1:16">
      <c r="A973" s="63"/>
      <c r="B973" s="64"/>
      <c r="C973" s="59" t="s">
        <v>189</v>
      </c>
      <c r="D973" s="59" t="s">
        <v>2744</v>
      </c>
      <c r="E973" s="65">
        <v>512</v>
      </c>
      <c r="F973" s="67" t="s">
        <v>1625</v>
      </c>
      <c r="G973" s="65">
        <v>51216</v>
      </c>
      <c r="H973" s="67" t="s">
        <v>1626</v>
      </c>
      <c r="I973" s="67" t="s">
        <v>345</v>
      </c>
      <c r="J973" s="67" t="str">
        <f>INDEX(数据元说明!A:F,MATCH(I973,数据元说明!C:C,0),2)</f>
        <v>001005</v>
      </c>
      <c r="K973" s="68" t="str">
        <f>INDEX(数据元说明!A:F,MATCH(I973,数据元说明!C:C,0),5)</f>
        <v>YYYYMMDD，默认值99991231。</v>
      </c>
      <c r="L973" s="67" t="str">
        <f>INDEX(数据元说明!A:F,MATCH(I973,数据元说明!C:C,0),6)</f>
        <v>C8</v>
      </c>
      <c r="M973" s="68" t="s">
        <v>1627</v>
      </c>
      <c r="N973" s="68" t="s">
        <v>1601</v>
      </c>
      <c r="O973" s="68"/>
      <c r="P973" s="69"/>
    </row>
    <row r="974" ht="39.95" hidden="1" customHeight="1" outlineLevel="1" spans="1:16">
      <c r="A974" s="63"/>
      <c r="B974" s="82"/>
      <c r="C974" s="59" t="s">
        <v>193</v>
      </c>
      <c r="D974" s="59" t="s">
        <v>2760</v>
      </c>
      <c r="E974" s="65">
        <v>513</v>
      </c>
      <c r="F974" s="82"/>
      <c r="G974" s="83"/>
      <c r="H974" s="82"/>
      <c r="I974" s="82"/>
      <c r="J974" s="82"/>
      <c r="K974" s="68"/>
      <c r="L974" s="67"/>
      <c r="M974" s="68" t="str">
        <f>INDEX(表结构总览!D:G,MATCH(D974,表结构总览!D:D,0),4)</f>
        <v>本表报送机构与合作方签订的互联网贷款合作协议信息。互联网贷款的认定参照《商业银行互联网贷款管理暂行办法》。已终止的合作协议于报送协议最后状态的次月不再报送。</v>
      </c>
      <c r="N974" s="68" t="s">
        <v>1601</v>
      </c>
      <c r="O974" s="68"/>
      <c r="P974" s="69"/>
    </row>
    <row r="975" ht="39.95" hidden="1" customHeight="1" outlineLevel="1" spans="1:16">
      <c r="A975" s="63"/>
      <c r="B975" s="64"/>
      <c r="C975" s="59" t="s">
        <v>193</v>
      </c>
      <c r="D975" s="59" t="s">
        <v>2760</v>
      </c>
      <c r="E975" s="65">
        <v>513</v>
      </c>
      <c r="F975" s="67" t="s">
        <v>373</v>
      </c>
      <c r="G975" s="65">
        <v>51301</v>
      </c>
      <c r="H975" s="67" t="s">
        <v>1588</v>
      </c>
      <c r="I975" s="67" t="s">
        <v>373</v>
      </c>
      <c r="J975" s="67" t="str">
        <f>INDEX(数据元说明!A:F,MATCH(I975,数据元说明!C:C,0),2)</f>
        <v>001011</v>
      </c>
      <c r="K975" s="68" t="str">
        <f>INDEX(数据元说明!A:F,MATCH(I975,数据元说明!C:C,0),5)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75" s="67" t="str">
        <f>INDEX(数据元说明!A:F,MATCH(I975,数据元说明!C:C,0),6)</f>
        <v>C..30</v>
      </c>
      <c r="M975" s="68" t="s">
        <v>2761</v>
      </c>
      <c r="N975" s="68" t="s">
        <v>1583</v>
      </c>
      <c r="O975" s="68" t="s">
        <v>484</v>
      </c>
      <c r="P975" s="68"/>
    </row>
    <row r="976" ht="39.95" hidden="1" customHeight="1" outlineLevel="1" spans="1:16">
      <c r="A976" s="63"/>
      <c r="B976" s="64"/>
      <c r="C976" s="59" t="s">
        <v>193</v>
      </c>
      <c r="D976" s="59" t="s">
        <v>2760</v>
      </c>
      <c r="E976" s="65">
        <v>513</v>
      </c>
      <c r="F976" s="67" t="s">
        <v>377</v>
      </c>
      <c r="G976" s="65">
        <v>51302</v>
      </c>
      <c r="H976" s="67" t="s">
        <v>1586</v>
      </c>
      <c r="I976" s="67" t="s">
        <v>377</v>
      </c>
      <c r="J976" s="67" t="str">
        <f>INDEX(数据元说明!A:F,MATCH(I976,数据元说明!C:C,0),2)</f>
        <v>001012</v>
      </c>
      <c r="K976" s="68" t="str">
        <f>INDEX(数据元说明!A:F,MATCH(I976,数据元说明!C:C,0),5)</f>
        <v>银行内部机构号。应具有标识机构的唯一性。</v>
      </c>
      <c r="L976" s="67" t="str">
        <f>INDEX(数据元说明!A:F,MATCH(I976,数据元说明!C:C,0),6)</f>
        <v>C..30</v>
      </c>
      <c r="M976" s="68" t="s">
        <v>2762</v>
      </c>
      <c r="N976" s="68"/>
      <c r="O976" s="68"/>
      <c r="P976" s="68"/>
    </row>
    <row r="977" ht="39.95" hidden="1" customHeight="1" outlineLevel="1" spans="1:16">
      <c r="A977" s="63"/>
      <c r="B977" s="64"/>
      <c r="C977" s="59" t="s">
        <v>193</v>
      </c>
      <c r="D977" s="59" t="s">
        <v>2760</v>
      </c>
      <c r="E977" s="65">
        <v>513</v>
      </c>
      <c r="F977" s="67" t="s">
        <v>1592</v>
      </c>
      <c r="G977" s="65">
        <v>51303</v>
      </c>
      <c r="H977" s="67" t="s">
        <v>1593</v>
      </c>
      <c r="I977" s="67" t="s">
        <v>325</v>
      </c>
      <c r="J977" s="67" t="str">
        <f>INDEX(数据元说明!A:F,MATCH(I977,数据元说明!C:C,0),2)</f>
        <v>001001</v>
      </c>
      <c r="K977" s="68" t="str">
        <f>INDEX(数据元说明!A:F,MATCH(I977,数据元说明!C:C,0),5)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77" s="67" t="str">
        <f>INDEX(数据元说明!A:F,MATCH(I977,数据元说明!C:C,0),6)</f>
        <v>C..450</v>
      </c>
      <c r="M977" s="68" t="s">
        <v>2763</v>
      </c>
      <c r="N977" s="68" t="s">
        <v>1583</v>
      </c>
      <c r="O977" s="68" t="s">
        <v>322</v>
      </c>
      <c r="P977" s="68" t="s">
        <v>1634</v>
      </c>
    </row>
    <row r="978" ht="39.95" hidden="1" customHeight="1" outlineLevel="1" spans="1:16">
      <c r="A978" s="63"/>
      <c r="B978" s="64"/>
      <c r="C978" s="59" t="s">
        <v>193</v>
      </c>
      <c r="D978" s="59" t="s">
        <v>2760</v>
      </c>
      <c r="E978" s="65">
        <v>513</v>
      </c>
      <c r="F978" s="67" t="s">
        <v>2331</v>
      </c>
      <c r="G978" s="65">
        <v>51304</v>
      </c>
      <c r="H978" s="67" t="s">
        <v>2332</v>
      </c>
      <c r="I978" s="67" t="s">
        <v>1095</v>
      </c>
      <c r="J978" s="67" t="str">
        <f>INDEX(数据元说明!A:F,MATCH(I978,数据元说明!C:C,0),2)</f>
        <v>007021</v>
      </c>
      <c r="K978" s="68" t="str">
        <f>INDEX(数据元说明!A:F,MATCH(I978,数据元说明!C:C,0),5)</f>
        <v>填报互联网贷款合作协议编号。没有编号的，填可唯一标识的银行自定义内容。</v>
      </c>
      <c r="L978" s="67" t="str">
        <f>INDEX(数据元说明!A:F,MATCH(I978,数据元说明!C:C,0),6)</f>
        <v>C..200</v>
      </c>
      <c r="M978" s="68" t="s">
        <v>1679</v>
      </c>
      <c r="N978" s="68" t="s">
        <v>1601</v>
      </c>
      <c r="O978" s="68"/>
      <c r="P978" s="69"/>
    </row>
    <row r="979" ht="39.95" hidden="1" customHeight="1" outlineLevel="1" spans="1:16">
      <c r="A979" s="63"/>
      <c r="B979" s="64"/>
      <c r="C979" s="59" t="s">
        <v>193</v>
      </c>
      <c r="D979" s="59" t="s">
        <v>2760</v>
      </c>
      <c r="E979" s="65">
        <v>513</v>
      </c>
      <c r="F979" s="67" t="s">
        <v>2764</v>
      </c>
      <c r="G979" s="65">
        <v>51305</v>
      </c>
      <c r="H979" s="67" t="s">
        <v>2765</v>
      </c>
      <c r="I979" s="67" t="s">
        <v>325</v>
      </c>
      <c r="J979" s="67" t="str">
        <f>INDEX(数据元说明!A:F,MATCH(I979,数据元说明!C:C,0),2)</f>
        <v>001001</v>
      </c>
      <c r="K979" s="68" t="str">
        <f>INDEX(数据元说明!A:F,MATCH(I979,数据元说明!C:C,0),5)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979" s="67" t="str">
        <f>INDEX(数据元说明!A:F,MATCH(I979,数据元说明!C:C,0),6)</f>
        <v>C..450</v>
      </c>
      <c r="M979" s="68" t="s">
        <v>2766</v>
      </c>
      <c r="N979" s="68" t="s">
        <v>1601</v>
      </c>
      <c r="O979" s="68"/>
      <c r="P979" s="69"/>
    </row>
    <row r="980" ht="39.95" hidden="1" customHeight="1" outlineLevel="1" spans="1:16">
      <c r="A980" s="63"/>
      <c r="B980" s="64"/>
      <c r="C980" s="59" t="s">
        <v>193</v>
      </c>
      <c r="D980" s="59" t="s">
        <v>2760</v>
      </c>
      <c r="E980" s="65">
        <v>513</v>
      </c>
      <c r="F980" s="67" t="s">
        <v>2767</v>
      </c>
      <c r="G980" s="65">
        <v>51306</v>
      </c>
      <c r="H980" s="67" t="s">
        <v>2768</v>
      </c>
      <c r="I980" s="67" t="s">
        <v>492</v>
      </c>
      <c r="J980" s="67" t="str">
        <f>INDEX(数据元说明!A:F,MATCH(I980,数据元说明!C:C,0),2)</f>
        <v>002002</v>
      </c>
      <c r="K980" s="68" t="str">
        <f>INDEX(数据元说明!A:F,MATCH(I980,数据元说明!C:C,0),5)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980" s="67" t="str">
        <f>INDEX(数据元说明!A:F,MATCH(I980,数据元说明!C:C,0),6)</f>
        <v>C..60</v>
      </c>
      <c r="M980" s="68" t="s">
        <v>2769</v>
      </c>
      <c r="N980" s="68" t="s">
        <v>1601</v>
      </c>
      <c r="O980" s="68"/>
      <c r="P980" s="69"/>
    </row>
    <row r="981" ht="39.95" hidden="1" customHeight="1" outlineLevel="1" spans="1:16">
      <c r="A981" s="63"/>
      <c r="B981" s="64"/>
      <c r="C981" s="59" t="s">
        <v>193</v>
      </c>
      <c r="D981" s="59" t="s">
        <v>2760</v>
      </c>
      <c r="E981" s="65">
        <v>513</v>
      </c>
      <c r="F981" s="67" t="s">
        <v>2770</v>
      </c>
      <c r="G981" s="65">
        <v>51307</v>
      </c>
      <c r="H981" s="67" t="s">
        <v>2771</v>
      </c>
      <c r="I981" s="67" t="s">
        <v>496</v>
      </c>
      <c r="J981" s="67" t="str">
        <f>INDEX(数据元说明!A:F,MATCH(I981,数据元说明!C:C,0),2)</f>
        <v>002003</v>
      </c>
      <c r="K981" s="68" t="str">
        <f>INDEX(数据元说明!A:F,MATCH(I981,数据元说明!C:C,0),5)</f>
        <v>与证件类别对应的证件号码。涉及个人身份证件时需按照本规范给定规则进行脱敏处理。</v>
      </c>
      <c r="L981" s="67" t="str">
        <f>INDEX(数据元说明!A:F,MATCH(I981,数据元说明!C:C,0),6)</f>
        <v>C..70</v>
      </c>
      <c r="M981" s="68" t="s">
        <v>2772</v>
      </c>
      <c r="N981" s="68" t="s">
        <v>1601</v>
      </c>
      <c r="O981" s="68"/>
      <c r="P981" s="69"/>
    </row>
    <row r="982" ht="39.95" hidden="1" customHeight="1" outlineLevel="1" spans="1:16">
      <c r="A982" s="63"/>
      <c r="B982" s="64"/>
      <c r="C982" s="59" t="s">
        <v>193</v>
      </c>
      <c r="D982" s="59" t="s">
        <v>2760</v>
      </c>
      <c r="E982" s="65">
        <v>513</v>
      </c>
      <c r="F982" s="67" t="s">
        <v>2773</v>
      </c>
      <c r="G982" s="65">
        <v>51308</v>
      </c>
      <c r="H982" s="67" t="s">
        <v>2774</v>
      </c>
      <c r="I982" s="72" t="s">
        <v>1103</v>
      </c>
      <c r="J982" s="67" t="str">
        <f>INDEX(数据元说明!A:F,MATCH(I982,数据元说明!C:C,0),2)</f>
        <v>007023</v>
      </c>
      <c r="K982" s="68" t="str">
        <f>INDEX(数据元说明!A:F,MATCH(I982,数据元说明!C:C,0),5)</f>
        <v>银行业金融机构、保险公司、小额贷款公司、融资担保公司、电子商务公司、非银行支付机构、信息科技公司、其他-银行自定义。</v>
      </c>
      <c r="L982" s="67" t="str">
        <f>INDEX(数据元说明!A:F,MATCH(I982,数据元说明!C:C,0),6)</f>
        <v>C..150</v>
      </c>
      <c r="M982" s="68"/>
      <c r="N982" s="68" t="s">
        <v>1601</v>
      </c>
      <c r="O982" s="68"/>
      <c r="P982" s="69"/>
    </row>
    <row r="983" ht="39.95" hidden="1" customHeight="1" outlineLevel="1" spans="1:16">
      <c r="A983" s="63"/>
      <c r="B983" s="64"/>
      <c r="C983" s="59" t="s">
        <v>193</v>
      </c>
      <c r="D983" s="59" t="s">
        <v>2760</v>
      </c>
      <c r="E983" s="65">
        <v>513</v>
      </c>
      <c r="F983" s="67" t="s">
        <v>2775</v>
      </c>
      <c r="G983" s="65">
        <v>51309</v>
      </c>
      <c r="H983" s="67" t="s">
        <v>2776</v>
      </c>
      <c r="I983" s="67" t="s">
        <v>1107</v>
      </c>
      <c r="J983" s="67" t="str">
        <f>INDEX(数据元说明!A:F,MATCH(I983,数据元说明!C:C,0),2)</f>
        <v>007024</v>
      </c>
      <c r="K983" s="68" t="str">
        <f>INDEX(数据元说明!A:F,MATCH(I983,数据元说明!C:C,0),5)</f>
        <v>营销获客、联合贷款、支付结算、风险分担、担保增信、信息科技、逾期清收、其他-银行自定义。</v>
      </c>
      <c r="L983" s="67" t="str">
        <f>INDEX(数据元说明!A:F,MATCH(I983,数据元说明!C:C,0),6)</f>
        <v>C..150</v>
      </c>
      <c r="M983" s="68"/>
      <c r="N983" s="68" t="s">
        <v>1601</v>
      </c>
      <c r="O983" s="68"/>
      <c r="P983" s="69"/>
    </row>
    <row r="984" ht="39.95" hidden="1" customHeight="1" outlineLevel="1" spans="1:16">
      <c r="A984" s="63"/>
      <c r="B984" s="64"/>
      <c r="C984" s="59" t="s">
        <v>193</v>
      </c>
      <c r="D984" s="59" t="s">
        <v>2760</v>
      </c>
      <c r="E984" s="65">
        <v>513</v>
      </c>
      <c r="F984" s="67" t="s">
        <v>2777</v>
      </c>
      <c r="G984" s="65">
        <v>51310</v>
      </c>
      <c r="H984" s="67" t="s">
        <v>2778</v>
      </c>
      <c r="I984" s="67" t="s">
        <v>345</v>
      </c>
      <c r="J984" s="67" t="str">
        <f>INDEX(数据元说明!A:F,MATCH(I984,数据元说明!C:C,0),2)</f>
        <v>001005</v>
      </c>
      <c r="K984" s="68" t="str">
        <f>INDEX(数据元说明!A:F,MATCH(I984,数据元说明!C:C,0),5)</f>
        <v>YYYYMMDD，默认值99991231。</v>
      </c>
      <c r="L984" s="67" t="str">
        <f>INDEX(数据元说明!A:F,MATCH(I984,数据元说明!C:C,0),6)</f>
        <v>C8</v>
      </c>
      <c r="M984" s="68" t="s">
        <v>2779</v>
      </c>
      <c r="N984" s="68" t="s">
        <v>1601</v>
      </c>
      <c r="O984" s="68"/>
      <c r="P984" s="69"/>
    </row>
    <row r="985" ht="39.95" hidden="1" customHeight="1" outlineLevel="1" spans="1:16">
      <c r="A985" s="63"/>
      <c r="B985" s="64"/>
      <c r="C985" s="59" t="s">
        <v>193</v>
      </c>
      <c r="D985" s="59" t="s">
        <v>2760</v>
      </c>
      <c r="E985" s="65">
        <v>513</v>
      </c>
      <c r="F985" s="67" t="s">
        <v>2780</v>
      </c>
      <c r="G985" s="65">
        <v>51311</v>
      </c>
      <c r="H985" s="67" t="s">
        <v>2781</v>
      </c>
      <c r="I985" s="67" t="s">
        <v>345</v>
      </c>
      <c r="J985" s="67" t="str">
        <f>INDEX(数据元说明!A:F,MATCH(I985,数据元说明!C:C,0),2)</f>
        <v>001005</v>
      </c>
      <c r="K985" s="68" t="str">
        <f>INDEX(数据元说明!A:F,MATCH(I985,数据元说明!C:C,0),5)</f>
        <v>YYYYMMDD，默认值99991231。</v>
      </c>
      <c r="L985" s="67" t="str">
        <f>INDEX(数据元说明!A:F,MATCH(I985,数据元说明!C:C,0),6)</f>
        <v>C8</v>
      </c>
      <c r="M985" s="68" t="s">
        <v>2782</v>
      </c>
      <c r="N985" s="68" t="s">
        <v>1601</v>
      </c>
      <c r="O985" s="68"/>
      <c r="P985" s="69"/>
    </row>
    <row r="986" ht="39.95" hidden="1" customHeight="1" outlineLevel="1" spans="1:16">
      <c r="A986" s="63"/>
      <c r="B986" s="64"/>
      <c r="C986" s="59" t="s">
        <v>193</v>
      </c>
      <c r="D986" s="59" t="s">
        <v>2760</v>
      </c>
      <c r="E986" s="65">
        <v>513</v>
      </c>
      <c r="F986" s="67" t="s">
        <v>2783</v>
      </c>
      <c r="G986" s="65">
        <v>51312</v>
      </c>
      <c r="H986" s="67" t="s">
        <v>2784</v>
      </c>
      <c r="I986" s="67" t="s">
        <v>345</v>
      </c>
      <c r="J986" s="67" t="str">
        <f>INDEX(数据元说明!A:F,MATCH(I986,数据元说明!C:C,0),2)</f>
        <v>001005</v>
      </c>
      <c r="K986" s="68" t="str">
        <f>INDEX(数据元说明!A:F,MATCH(I986,数据元说明!C:C,0),5)</f>
        <v>YYYYMMDD，默认值99991231。</v>
      </c>
      <c r="L986" s="67" t="str">
        <f>INDEX(数据元说明!A:F,MATCH(I986,数据元说明!C:C,0),6)</f>
        <v>C8</v>
      </c>
      <c r="M986" s="68" t="s">
        <v>2785</v>
      </c>
      <c r="N986" s="68" t="s">
        <v>1601</v>
      </c>
      <c r="O986" s="68"/>
      <c r="P986" s="69"/>
    </row>
    <row r="987" ht="39.95" hidden="1" customHeight="1" outlineLevel="1" spans="1:16">
      <c r="A987" s="63"/>
      <c r="B987" s="64"/>
      <c r="C987" s="59" t="s">
        <v>193</v>
      </c>
      <c r="D987" s="59" t="s">
        <v>2760</v>
      </c>
      <c r="E987" s="65">
        <v>513</v>
      </c>
      <c r="F987" s="67" t="s">
        <v>2786</v>
      </c>
      <c r="G987" s="65">
        <v>51313</v>
      </c>
      <c r="H987" s="67" t="s">
        <v>1599</v>
      </c>
      <c r="I987" s="67" t="s">
        <v>440</v>
      </c>
      <c r="J987" s="67" t="str">
        <f>INDEX(数据元说明!A:F,MATCH(I987,数据元说明!C:C,0),2)</f>
        <v>001028</v>
      </c>
      <c r="K987" s="68" t="str">
        <f>INDEX(数据元说明!A:F,MATCH(I987,数据元说明!C:C,0),5)</f>
        <v>境内地区参照《GB/T 2260 中华人民共和国行政区划代码》填写国内行政区划代码，填写至二级分类，如110100。境外地区参照《GB/T 2659 世界各国和地区名称代码》定义的三字符代码，如USA。</v>
      </c>
      <c r="L987" s="67" t="str">
        <f>INDEX(数据元说明!A:F,MATCH(I987,数据元说明!C:C,0),6)</f>
        <v>C..6</v>
      </c>
      <c r="M987" s="68" t="s">
        <v>2787</v>
      </c>
      <c r="N987" s="68" t="s">
        <v>1601</v>
      </c>
      <c r="O987" s="68"/>
      <c r="P987" s="69"/>
    </row>
    <row r="988" ht="39.95" hidden="1" customHeight="1" outlineLevel="1" spans="1:16">
      <c r="A988" s="63"/>
      <c r="B988" s="64"/>
      <c r="C988" s="59" t="s">
        <v>193</v>
      </c>
      <c r="D988" s="59" t="s">
        <v>2760</v>
      </c>
      <c r="E988" s="65">
        <v>513</v>
      </c>
      <c r="F988" s="67" t="s">
        <v>2788</v>
      </c>
      <c r="G988" s="65">
        <v>51314</v>
      </c>
      <c r="H988" s="67" t="s">
        <v>2189</v>
      </c>
      <c r="I988" s="67" t="s">
        <v>330</v>
      </c>
      <c r="J988" s="67" t="str">
        <f>INDEX(数据元说明!A:F,MATCH(I988,数据元说明!C:C,0),2)</f>
        <v>001002</v>
      </c>
      <c r="K988" s="68" t="str">
        <f>INDEX(数据元说明!A:F,MATCH(I988,数据元说明!C:C,0),5)</f>
        <v>是，否。</v>
      </c>
      <c r="L988" s="67" t="str">
        <f>INDEX(数据元说明!A:F,MATCH(I988,数据元说明!C:C,0),6)</f>
        <v>C3</v>
      </c>
      <c r="M988" s="68" t="s">
        <v>2789</v>
      </c>
      <c r="N988" s="68" t="s">
        <v>1601</v>
      </c>
      <c r="O988" s="68"/>
      <c r="P988" s="69"/>
    </row>
    <row r="989" ht="39.95" hidden="1" customHeight="1" outlineLevel="1" spans="1:16">
      <c r="A989" s="63"/>
      <c r="B989" s="64"/>
      <c r="C989" s="59" t="s">
        <v>193</v>
      </c>
      <c r="D989" s="59" t="s">
        <v>2760</v>
      </c>
      <c r="E989" s="65">
        <v>513</v>
      </c>
      <c r="F989" s="67" t="s">
        <v>2790</v>
      </c>
      <c r="G989" s="65">
        <v>51315</v>
      </c>
      <c r="H989" s="67" t="s">
        <v>2791</v>
      </c>
      <c r="I989" s="67" t="s">
        <v>1111</v>
      </c>
      <c r="J989" s="67" t="str">
        <f>INDEX(数据元说明!A:F,MATCH(I989,数据元说明!C:C,0),2)</f>
        <v>007025</v>
      </c>
      <c r="K989" s="68" t="str">
        <f>INDEX(数据元说明!A:F,MATCH(I989,数据元说明!C:C,0),5)</f>
        <v>有效，撤销，终结，其他-银行自定义。无法以枚举类型填报的，以“其他-XX”填报，其中“XX”为银行自定义状态。</v>
      </c>
      <c r="L989" s="67" t="str">
        <f>INDEX(数据元说明!A:F,MATCH(I989,数据元说明!C:C,0),6)</f>
        <v>C..30</v>
      </c>
      <c r="M989" s="68"/>
      <c r="N989" s="68" t="s">
        <v>1601</v>
      </c>
      <c r="O989" s="68"/>
      <c r="P989" s="69"/>
    </row>
    <row r="990" ht="39.95" hidden="1" customHeight="1" outlineLevel="1" spans="1:16">
      <c r="A990" s="77"/>
      <c r="B990" s="64"/>
      <c r="C990" s="59" t="s">
        <v>193</v>
      </c>
      <c r="D990" s="59" t="s">
        <v>2760</v>
      </c>
      <c r="E990" s="65">
        <v>513</v>
      </c>
      <c r="F990" s="67" t="s">
        <v>484</v>
      </c>
      <c r="G990" s="65">
        <v>51316</v>
      </c>
      <c r="H990" s="67" t="s">
        <v>1623</v>
      </c>
      <c r="I990" s="67" t="s">
        <v>484</v>
      </c>
      <c r="J990" s="67" t="str">
        <f>INDEX(数据元说明!A:F,MATCH(I990,数据元说明!C:C,0),2)</f>
        <v>001038</v>
      </c>
      <c r="K990" s="68" t="str">
        <f>INDEX(数据元说明!A:F,MATCH(I990,数据元说明!C:C,0),5)</f>
        <v>银行自定义。</v>
      </c>
      <c r="L990" s="67" t="str">
        <f>INDEX(数据元说明!A:F,MATCH(I990,数据元说明!C:C,0),6)</f>
        <v>C..600</v>
      </c>
      <c r="M990" s="68" t="s">
        <v>1624</v>
      </c>
      <c r="N990" s="68" t="s">
        <v>1601</v>
      </c>
      <c r="O990" s="68"/>
      <c r="P990" s="68"/>
    </row>
    <row r="991" ht="39.95" hidden="1" customHeight="1" outlineLevel="1" spans="1:16">
      <c r="A991" s="63"/>
      <c r="B991" s="64"/>
      <c r="C991" s="59" t="s">
        <v>193</v>
      </c>
      <c r="D991" s="59" t="s">
        <v>2760</v>
      </c>
      <c r="E991" s="65">
        <v>513</v>
      </c>
      <c r="F991" s="67" t="s">
        <v>1625</v>
      </c>
      <c r="G991" s="65">
        <v>51317</v>
      </c>
      <c r="H991" s="67" t="s">
        <v>1626</v>
      </c>
      <c r="I991" s="67" t="s">
        <v>345</v>
      </c>
      <c r="J991" s="67" t="str">
        <f>INDEX(数据元说明!A:F,MATCH(I991,数据元说明!C:C,0),2)</f>
        <v>001005</v>
      </c>
      <c r="K991" s="68" t="str">
        <f>INDEX(数据元说明!A:F,MATCH(I991,数据元说明!C:C,0),5)</f>
        <v>YYYYMMDD，默认值99991231。</v>
      </c>
      <c r="L991" s="67" t="str">
        <f>INDEX(数据元说明!A:F,MATCH(I991,数据元说明!C:C,0),6)</f>
        <v>C8</v>
      </c>
      <c r="M991" s="68" t="s">
        <v>1627</v>
      </c>
      <c r="N991" s="68" t="s">
        <v>1601</v>
      </c>
      <c r="O991" s="68"/>
      <c r="P991" s="69"/>
    </row>
    <row r="992" ht="39.95" hidden="1" customHeight="1" collapsed="1" spans="1:16">
      <c r="A992" s="63" t="s">
        <v>2792</v>
      </c>
      <c r="B992" s="64" t="s">
        <v>198</v>
      </c>
      <c r="C992" s="74"/>
      <c r="D992" s="74"/>
      <c r="E992" s="75"/>
      <c r="F992" s="67"/>
      <c r="G992" s="65"/>
      <c r="H992" s="67"/>
      <c r="I992" s="67"/>
      <c r="J992" s="67"/>
      <c r="K992" s="68"/>
      <c r="L992" s="67"/>
      <c r="M992" s="68"/>
      <c r="N992" s="68"/>
      <c r="O992" s="68"/>
      <c r="P992" s="68"/>
    </row>
    <row r="993" ht="39.95" hidden="1" customHeight="1" spans="1:16">
      <c r="A993" s="70"/>
      <c r="B993" s="71"/>
      <c r="C993" s="59" t="s">
        <v>199</v>
      </c>
      <c r="D993" s="59" t="s">
        <v>2793</v>
      </c>
      <c r="E993" s="65">
        <v>601</v>
      </c>
      <c r="F993" s="67"/>
      <c r="G993" s="65"/>
      <c r="H993" s="67"/>
      <c r="I993" s="67"/>
      <c r="J993" s="67"/>
      <c r="K993" s="68"/>
      <c r="L993" s="67"/>
      <c r="M993" s="68" t="str">
        <f>INDEX(表结构总览!D:G,MATCH(D993,表结构总览!D:D,0),4)</f>
        <v>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v>
      </c>
      <c r="N993" s="68" t="s">
        <v>1583</v>
      </c>
      <c r="O993" s="68"/>
      <c r="P993" s="69"/>
    </row>
    <row r="994" ht="39.95" hidden="1" customHeight="1" outlineLevel="1" spans="1:16">
      <c r="A994" s="63"/>
      <c r="B994" s="64"/>
      <c r="C994" s="59" t="s">
        <v>199</v>
      </c>
      <c r="D994" s="59" t="s">
        <v>2793</v>
      </c>
      <c r="E994" s="65">
        <v>601</v>
      </c>
      <c r="F994" s="67" t="s">
        <v>373</v>
      </c>
      <c r="G994" s="65">
        <v>60101</v>
      </c>
      <c r="H994" s="67" t="s">
        <v>1588</v>
      </c>
      <c r="I994" s="67" t="s">
        <v>373</v>
      </c>
      <c r="J994" s="67" t="str">
        <f>INDEX(数据元说明!A:F,MATCH(I994,数据元说明!C:C,0),2)</f>
        <v>001011</v>
      </c>
      <c r="K994" s="68" t="str">
        <f>INDEX(数据元说明!A:F,MATCH(I994,数据元说明!C:C,0),5)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94" s="67" t="str">
        <f>INDEX(数据元说明!A:F,MATCH(I994,数据元说明!C:C,0),6)</f>
        <v>C..30</v>
      </c>
      <c r="M994" s="68" t="s">
        <v>2488</v>
      </c>
      <c r="N994" s="68"/>
      <c r="O994" s="68"/>
      <c r="P994" s="68"/>
    </row>
    <row r="995" ht="39.95" hidden="1" customHeight="1" outlineLevel="1" spans="1:16">
      <c r="A995" s="70"/>
      <c r="B995" s="71"/>
      <c r="C995" s="59" t="s">
        <v>199</v>
      </c>
      <c r="D995" s="59" t="s">
        <v>2793</v>
      </c>
      <c r="E995" s="65">
        <v>601</v>
      </c>
      <c r="F995" s="67" t="s">
        <v>377</v>
      </c>
      <c r="G995" s="65">
        <v>60102</v>
      </c>
      <c r="H995" s="67" t="s">
        <v>1586</v>
      </c>
      <c r="I995" s="67" t="s">
        <v>377</v>
      </c>
      <c r="J995" s="67" t="str">
        <f>INDEX(数据元说明!A:F,MATCH(I995,数据元说明!C:C,0),2)</f>
        <v>001012</v>
      </c>
      <c r="K995" s="68" t="str">
        <f>INDEX(数据元说明!A:F,MATCH(I995,数据元说明!C:C,0),5)</f>
        <v>银行内部机构号。应具有标识机构的唯一性。</v>
      </c>
      <c r="L995" s="67" t="str">
        <f>INDEX(数据元说明!A:F,MATCH(I995,数据元说明!C:C,0),6)</f>
        <v>C..30</v>
      </c>
      <c r="M995" s="68" t="s">
        <v>1820</v>
      </c>
      <c r="N995" s="68"/>
      <c r="O995" s="68"/>
      <c r="P995" s="69"/>
    </row>
    <row r="996" ht="39.95" hidden="1" customHeight="1" outlineLevel="1" spans="1:16">
      <c r="A996" s="70"/>
      <c r="B996" s="71"/>
      <c r="C996" s="59" t="s">
        <v>199</v>
      </c>
      <c r="D996" s="59" t="s">
        <v>2793</v>
      </c>
      <c r="E996" s="65">
        <v>601</v>
      </c>
      <c r="F996" s="67" t="s">
        <v>2794</v>
      </c>
      <c r="G996" s="65">
        <v>60103</v>
      </c>
      <c r="H996" s="67" t="s">
        <v>2795</v>
      </c>
      <c r="I996" s="67" t="s">
        <v>683</v>
      </c>
      <c r="J996" s="67" t="str">
        <f>INDEX(数据元说明!A:F,MATCH(I996,数据元说明!C:C,0),2)</f>
        <v>003020</v>
      </c>
      <c r="K996" s="68" t="str">
        <f>INDEX(数据元说明!A:F,MATCH(I996,数据元说明!C:C,0),5)</f>
        <v>合同号。</v>
      </c>
      <c r="L996" s="67" t="str">
        <f>INDEX(数据元说明!A:F,MATCH(I996,数据元说明!C:C,0),6)</f>
        <v>C..100</v>
      </c>
      <c r="M996" s="68" t="s">
        <v>2796</v>
      </c>
      <c r="N996" s="68" t="s">
        <v>1583</v>
      </c>
      <c r="O996" s="68" t="s">
        <v>484</v>
      </c>
      <c r="P996" s="69" t="s">
        <v>1634</v>
      </c>
    </row>
    <row r="997" ht="39.95" hidden="1" customHeight="1" outlineLevel="1" spans="1:16">
      <c r="A997" s="70"/>
      <c r="B997" s="71"/>
      <c r="C997" s="59" t="s">
        <v>199</v>
      </c>
      <c r="D997" s="59" t="s">
        <v>2793</v>
      </c>
      <c r="E997" s="65">
        <v>601</v>
      </c>
      <c r="F997" s="67" t="s">
        <v>840</v>
      </c>
      <c r="G997" s="65">
        <v>60104</v>
      </c>
      <c r="H997" s="67" t="s">
        <v>2797</v>
      </c>
      <c r="I997" s="67" t="s">
        <v>840</v>
      </c>
      <c r="J997" s="67" t="str">
        <f>INDEX(数据元说明!A:F,MATCH(I997,数据元说明!C:C,0),2)</f>
        <v>005025</v>
      </c>
      <c r="K997" s="68" t="str">
        <f>INDEX(数据元说明!A:F,MATCH(I997,数据元说明!C:C,0),5)</f>
        <v>表内信贷，承兑汇票，保函，信用证，贷款承诺，委托贷款，自营投资，其他-银行自定义。若无法以枚举类型填写，则以“其他-XX”填报，其中“XX”为银行自定义类型。</v>
      </c>
      <c r="L997" s="67" t="str">
        <f>INDEX(数据元说明!A:F,MATCH(I997,数据元说明!C:C,0),6)</f>
        <v>C..30</v>
      </c>
      <c r="M997" s="68"/>
      <c r="N997" s="68" t="s">
        <v>1601</v>
      </c>
      <c r="O997" s="68"/>
      <c r="P997" s="69"/>
    </row>
    <row r="998" ht="39.95" hidden="1" customHeight="1" outlineLevel="1" spans="1:16">
      <c r="A998" s="70"/>
      <c r="B998" s="71"/>
      <c r="C998" s="59" t="s">
        <v>199</v>
      </c>
      <c r="D998" s="59" t="s">
        <v>2793</v>
      </c>
      <c r="E998" s="65">
        <v>601</v>
      </c>
      <c r="F998" s="67" t="s">
        <v>2798</v>
      </c>
      <c r="G998" s="65">
        <v>60105</v>
      </c>
      <c r="H998" s="67" t="s">
        <v>2799</v>
      </c>
      <c r="I998" s="67" t="s">
        <v>683</v>
      </c>
      <c r="J998" s="67" t="str">
        <f>INDEX(数据元说明!A:F,MATCH(I998,数据元说明!C:C,0),2)</f>
        <v>003020</v>
      </c>
      <c r="K998" s="68" t="str">
        <f>INDEX(数据元说明!A:F,MATCH(I998,数据元说明!C:C,0),5)</f>
        <v>合同号。</v>
      </c>
      <c r="L998" s="67" t="str">
        <f>INDEX(数据元说明!A:F,MATCH(I998,数据元说明!C:C,0),6)</f>
        <v>C..100</v>
      </c>
      <c r="M998" s="68" t="s">
        <v>2800</v>
      </c>
      <c r="N998" s="68" t="s">
        <v>1583</v>
      </c>
      <c r="O998" s="68" t="s">
        <v>484</v>
      </c>
      <c r="P998" s="69" t="s">
        <v>1634</v>
      </c>
    </row>
    <row r="999" ht="39.95" hidden="1" customHeight="1" outlineLevel="1" spans="1:16">
      <c r="A999" s="63"/>
      <c r="B999" s="64"/>
      <c r="C999" s="59" t="s">
        <v>199</v>
      </c>
      <c r="D999" s="59" t="s">
        <v>2793</v>
      </c>
      <c r="E999" s="65">
        <v>601</v>
      </c>
      <c r="F999" s="67" t="s">
        <v>848</v>
      </c>
      <c r="G999" s="65">
        <v>60106</v>
      </c>
      <c r="H999" s="67" t="s">
        <v>2801</v>
      </c>
      <c r="I999" s="67" t="s">
        <v>848</v>
      </c>
      <c r="J999" s="67" t="str">
        <f>INDEX(数据元说明!A:F,MATCH(I999,数据元说明!C:C,0),2)</f>
        <v>005027</v>
      </c>
      <c r="K999" s="68" t="str">
        <f>INDEX(数据元说明!A:F,MATCH(I999,数据元说明!C:C,0),5)</f>
        <v>一般担保合同，最高额担保合同。</v>
      </c>
      <c r="L999" s="67" t="str">
        <f>INDEX(数据元说明!A:F,MATCH(I999,数据元说明!C:C,0),6)</f>
        <v>C..30</v>
      </c>
      <c r="M999" s="68"/>
      <c r="N999" s="68"/>
      <c r="O999" s="68"/>
      <c r="P999" s="69"/>
    </row>
    <row r="1000" ht="39.95" hidden="1" customHeight="1" outlineLevel="1" spans="1:16">
      <c r="A1000" s="70"/>
      <c r="B1000" s="71"/>
      <c r="C1000" s="59" t="s">
        <v>199</v>
      </c>
      <c r="D1000" s="59" t="s">
        <v>2793</v>
      </c>
      <c r="E1000" s="65">
        <v>601</v>
      </c>
      <c r="F1000" s="67" t="s">
        <v>844</v>
      </c>
      <c r="G1000" s="65">
        <v>60107</v>
      </c>
      <c r="H1000" s="67" t="s">
        <v>2317</v>
      </c>
      <c r="I1000" s="67" t="s">
        <v>844</v>
      </c>
      <c r="J1000" s="67" t="str">
        <f>INDEX(数据元说明!A:F,MATCH(I1000,数据元说明!C:C,0),2)</f>
        <v>005026</v>
      </c>
      <c r="K1000" s="68" t="str">
        <f>INDEX(数据元说明!A:F,MATCH(I1000,数据元说明!C:C,0),5)</f>
        <v>抵押，质押，保证，信用，混合，其他-银行自定义。若无法以枚举类型填写，则以“其他-XX”填报，其中“XX”为银行自定义类型。</v>
      </c>
      <c r="L1000" s="67" t="str">
        <f>INDEX(数据元说明!A:F,MATCH(I1000,数据元说明!C:C,0),6)</f>
        <v>C..60</v>
      </c>
      <c r="M1000" s="68"/>
      <c r="N1000" s="68"/>
      <c r="O1000" s="68"/>
      <c r="P1000" s="69"/>
    </row>
    <row r="1001" ht="39.95" hidden="1" customHeight="1" outlineLevel="1" spans="1:16">
      <c r="A1001" s="63"/>
      <c r="B1001" s="64"/>
      <c r="C1001" s="59" t="s">
        <v>199</v>
      </c>
      <c r="D1001" s="59" t="s">
        <v>2793</v>
      </c>
      <c r="E1001" s="65">
        <v>601</v>
      </c>
      <c r="F1001" s="67" t="s">
        <v>2802</v>
      </c>
      <c r="G1001" s="65">
        <v>60108</v>
      </c>
      <c r="H1001" s="67" t="s">
        <v>2803</v>
      </c>
      <c r="I1001" s="67" t="s">
        <v>642</v>
      </c>
      <c r="J1001" s="67" t="str">
        <f>INDEX(数据元说明!A:F,MATCH(I1001,数据元说明!C:C,0),2)</f>
        <v>003010</v>
      </c>
      <c r="K1001" s="68" t="str">
        <f>INDEX(数据元说明!A:F,MATCH(I1001,数据元说明!C:C,0),5)</f>
        <v>遵循《GB/T 12406 表示货币和资金的代码》的字母代码，如CNY。上述文件所列币种无法涵盖的，允许银行自定义填报。多个币种合计折算为人民币（本外币合计）的，填报为BWB。</v>
      </c>
      <c r="L1001" s="67" t="str">
        <f>INDEX(数据元说明!A:F,MATCH(I1001,数据元说明!C:C,0),6)</f>
        <v>C3</v>
      </c>
      <c r="M1001" s="68" t="s">
        <v>2804</v>
      </c>
      <c r="N1001" s="68" t="s">
        <v>1601</v>
      </c>
      <c r="O1001" s="68"/>
      <c r="P1001" s="69"/>
    </row>
    <row r="1002" ht="39.95" hidden="1" customHeight="1" outlineLevel="1" spans="1:16">
      <c r="A1002" s="70"/>
      <c r="B1002" s="71"/>
      <c r="C1002" s="59" t="s">
        <v>199</v>
      </c>
      <c r="D1002" s="59" t="s">
        <v>2793</v>
      </c>
      <c r="E1002" s="65">
        <v>601</v>
      </c>
      <c r="F1002" s="67" t="s">
        <v>2805</v>
      </c>
      <c r="G1002" s="65">
        <v>60109</v>
      </c>
      <c r="H1002" s="67" t="s">
        <v>2806</v>
      </c>
      <c r="I1002" s="67" t="s">
        <v>634</v>
      </c>
      <c r="J1002" s="67" t="str">
        <f>INDEX(数据元说明!A:F,MATCH(I1002,数据元说明!C:C,0),2)</f>
        <v>003008</v>
      </c>
      <c r="K1002" s="68" t="str">
        <f>INDEX(数据元说明!A:F,MATCH(I1002,数据元说明!C:C,0),5)</f>
        <v>与币种相对应金额。</v>
      </c>
      <c r="L1002" s="67" t="str">
        <f>INDEX(数据元说明!A:F,MATCH(I1002,数据元说明!C:C,0),6)</f>
        <v>D20.2</v>
      </c>
      <c r="M1002" s="68" t="s">
        <v>2807</v>
      </c>
      <c r="N1002" s="68" t="s">
        <v>1583</v>
      </c>
      <c r="O1002" s="68" t="s">
        <v>484</v>
      </c>
      <c r="P1002" s="69"/>
    </row>
    <row r="1003" ht="39.95" hidden="1" customHeight="1" outlineLevel="1" spans="1:16">
      <c r="A1003" s="70"/>
      <c r="B1003" s="71"/>
      <c r="C1003" s="59" t="s">
        <v>199</v>
      </c>
      <c r="D1003" s="59" t="s">
        <v>2793</v>
      </c>
      <c r="E1003" s="65">
        <v>601</v>
      </c>
      <c r="F1003" s="67" t="s">
        <v>2808</v>
      </c>
      <c r="G1003" s="65">
        <v>60110</v>
      </c>
      <c r="H1003" s="67" t="s">
        <v>2809</v>
      </c>
      <c r="I1003" s="67" t="s">
        <v>345</v>
      </c>
      <c r="J1003" s="67" t="str">
        <f>INDEX(数据元说明!A:F,MATCH(I1003,数据元说明!C:C,0),2)</f>
        <v>001005</v>
      </c>
      <c r="K1003" s="68" t="str">
        <f>INDEX(数据元说明!A:F,MATCH(I1003,数据元说明!C:C,0),5)</f>
        <v>YYYYMMDD，默认值99991231。</v>
      </c>
      <c r="L1003" s="67" t="str">
        <f>INDEX(数据元说明!A:F,MATCH(I1003,数据元说明!C:C,0),6)</f>
        <v>C8</v>
      </c>
      <c r="M1003" s="68" t="s">
        <v>2810</v>
      </c>
      <c r="N1003" s="68"/>
      <c r="O1003" s="68"/>
      <c r="P1003" s="69"/>
    </row>
    <row r="1004" ht="39.95" hidden="1" customHeight="1" outlineLevel="1" spans="1:16">
      <c r="A1004" s="70"/>
      <c r="B1004" s="71"/>
      <c r="C1004" s="59" t="s">
        <v>199</v>
      </c>
      <c r="D1004" s="59" t="s">
        <v>2793</v>
      </c>
      <c r="E1004" s="65">
        <v>601</v>
      </c>
      <c r="F1004" s="67" t="s">
        <v>2811</v>
      </c>
      <c r="G1004" s="65">
        <v>60111</v>
      </c>
      <c r="H1004" s="67" t="s">
        <v>2812</v>
      </c>
      <c r="I1004" s="67" t="s">
        <v>345</v>
      </c>
      <c r="J1004" s="67" t="str">
        <f>INDEX(数据元说明!A:F,MATCH(I1004,数据元说明!C:C,0),2)</f>
        <v>001005</v>
      </c>
      <c r="K1004" s="68" t="str">
        <f>INDEX(数据元说明!A:F,MATCH(I1004,数据元说明!C:C,0),5)</f>
        <v>YYYYMMDD，默认值99991231。</v>
      </c>
      <c r="L1004" s="67" t="str">
        <f>INDEX(数据元说明!A:F,MATCH(I1004,数据元说明!C:C,0),6)</f>
        <v>C8</v>
      </c>
      <c r="M1004" s="68" t="s">
        <v>2813</v>
      </c>
      <c r="N1004" s="68"/>
      <c r="O1004" s="68"/>
      <c r="P1004" s="69"/>
    </row>
    <row r="1005" ht="39.95" hidden="1" customHeight="1" outlineLevel="1" spans="1:16">
      <c r="A1005" s="70"/>
      <c r="B1005" s="71"/>
      <c r="C1005" s="59" t="s">
        <v>199</v>
      </c>
      <c r="D1005" s="59" t="s">
        <v>2793</v>
      </c>
      <c r="E1005" s="65">
        <v>601</v>
      </c>
      <c r="F1005" s="67" t="s">
        <v>2814</v>
      </c>
      <c r="G1005" s="65">
        <v>60112</v>
      </c>
      <c r="H1005" s="67" t="s">
        <v>2815</v>
      </c>
      <c r="I1005" s="67" t="s">
        <v>389</v>
      </c>
      <c r="J1005" s="67" t="str">
        <f>INDEX(数据元说明!A:F,MATCH(I1005,数据元说明!C:C,0),2)</f>
        <v>001015</v>
      </c>
      <c r="K1005" s="68" t="str">
        <f>INDEX(数据元说明!A:F,MATCH(I1005,数据元说明!C:C,0),5)</f>
        <v>工号，银行自定义。</v>
      </c>
      <c r="L1005" s="67" t="str">
        <f>INDEX(数据元说明!A:F,MATCH(I1005,数据元说明!C:C,0),6)</f>
        <v>C..30</v>
      </c>
      <c r="M1005" s="68" t="s">
        <v>2816</v>
      </c>
      <c r="N1005" s="68" t="s">
        <v>1583</v>
      </c>
      <c r="O1005" s="68" t="s">
        <v>2102</v>
      </c>
      <c r="P1005" s="69"/>
    </row>
    <row r="1006" ht="39.95" hidden="1" customHeight="1" outlineLevel="1" spans="1:16">
      <c r="A1006" s="63"/>
      <c r="B1006" s="64"/>
      <c r="C1006" s="59" t="s">
        <v>199</v>
      </c>
      <c r="D1006" s="59" t="s">
        <v>2793</v>
      </c>
      <c r="E1006" s="65">
        <v>601</v>
      </c>
      <c r="F1006" s="67" t="s">
        <v>856</v>
      </c>
      <c r="G1006" s="65">
        <v>60113</v>
      </c>
      <c r="H1006" s="67" t="s">
        <v>2817</v>
      </c>
      <c r="I1006" s="67" t="s">
        <v>856</v>
      </c>
      <c r="J1006" s="67" t="str">
        <f>INDEX(数据元说明!A:F,MATCH(I1006,数据元说明!C:C,0),2)</f>
        <v>005029</v>
      </c>
      <c r="K1006" s="68" t="str">
        <f>INDEX(数据元说明!A:F,MATCH(I1006,数据元说明!C:C,0),5)</f>
        <v>有效，失效。</v>
      </c>
      <c r="L1006" s="67" t="str">
        <f>INDEX(数据元说明!A:F,MATCH(I1006,数据元说明!C:C,0),6)</f>
        <v>C6</v>
      </c>
      <c r="M1006" s="69"/>
      <c r="N1006" s="69" t="s">
        <v>1583</v>
      </c>
      <c r="O1006" s="69" t="s">
        <v>2818</v>
      </c>
      <c r="P1006" s="69"/>
    </row>
    <row r="1007" ht="39.95" hidden="1" customHeight="1" outlineLevel="1" spans="1:16">
      <c r="A1007" s="63"/>
      <c r="B1007" s="64"/>
      <c r="C1007" s="59" t="s">
        <v>199</v>
      </c>
      <c r="D1007" s="59" t="s">
        <v>2793</v>
      </c>
      <c r="E1007" s="65">
        <v>601</v>
      </c>
      <c r="F1007" s="67" t="s">
        <v>484</v>
      </c>
      <c r="G1007" s="65">
        <v>60114</v>
      </c>
      <c r="H1007" s="67" t="s">
        <v>1623</v>
      </c>
      <c r="I1007" s="67" t="s">
        <v>484</v>
      </c>
      <c r="J1007" s="67" t="str">
        <f>INDEX(数据元说明!A:F,MATCH(I1007,数据元说明!C:C,0),2)</f>
        <v>001038</v>
      </c>
      <c r="K1007" s="68" t="str">
        <f>INDEX(数据元说明!A:F,MATCH(I1007,数据元说明!C:C,0),5)</f>
        <v>银行自定义。</v>
      </c>
      <c r="L1007" s="67" t="str">
        <f>INDEX(数据元说明!A:F,MATCH(I1007,数据元说明!C:C,0),6)</f>
        <v>C..600</v>
      </c>
      <c r="M1007" s="68" t="s">
        <v>1624</v>
      </c>
      <c r="N1007" s="68" t="s">
        <v>1601</v>
      </c>
      <c r="O1007" s="68"/>
      <c r="P1007" s="68"/>
    </row>
    <row r="1008" ht="39.95" hidden="1" customHeight="1" outlineLevel="1" spans="1:16">
      <c r="A1008" s="63"/>
      <c r="B1008" s="64"/>
      <c r="C1008" s="59" t="s">
        <v>199</v>
      </c>
      <c r="D1008" s="59" t="s">
        <v>2793</v>
      </c>
      <c r="E1008" s="65">
        <v>601</v>
      </c>
      <c r="F1008" s="67" t="s">
        <v>1625</v>
      </c>
      <c r="G1008" s="65">
        <v>60115</v>
      </c>
      <c r="H1008" s="67" t="s">
        <v>1626</v>
      </c>
      <c r="I1008" s="67" t="s">
        <v>345</v>
      </c>
      <c r="J1008" s="67" t="str">
        <f>INDEX(数据元说明!A:F,MATCH(I1008,数据元说明!C:C,0),2)</f>
        <v>001005</v>
      </c>
      <c r="K1008" s="68" t="str">
        <f>INDEX(数据元说明!A:F,MATCH(I1008,数据元说明!C:C,0),5)</f>
        <v>YYYYMMDD，默认值99991231。</v>
      </c>
      <c r="L1008" s="67" t="str">
        <f>INDEX(数据元说明!A:F,MATCH(I1008,数据元说明!C:C,0),6)</f>
        <v>C8</v>
      </c>
      <c r="M1008" s="68" t="s">
        <v>1627</v>
      </c>
      <c r="N1008" s="68"/>
      <c r="O1008" s="68"/>
      <c r="P1008" s="69"/>
    </row>
    <row r="1009" ht="39.95" hidden="1" customHeight="1" collapsed="1" spans="1:16">
      <c r="A1009" s="70"/>
      <c r="B1009" s="71"/>
      <c r="C1009" s="59" t="s">
        <v>203</v>
      </c>
      <c r="D1009" s="59" t="s">
        <v>2819</v>
      </c>
      <c r="E1009" s="65">
        <v>602</v>
      </c>
      <c r="F1009" s="67"/>
      <c r="G1009" s="65"/>
      <c r="H1009" s="67"/>
      <c r="I1009" s="67"/>
      <c r="J1009" s="67"/>
      <c r="K1009" s="68"/>
      <c r="L1009" s="67"/>
      <c r="M1009" s="68" t="str">
        <f>INDEX(表结构总览!D:G,MATCH(D1009,表结构总览!D:D,0),4)</f>
        <v>担保合同中约定的担保人信息。同一份担保合同有多个担保人的，每个担保人填写一条记录。失效担保合同的担保人于次月不再报送。</v>
      </c>
      <c r="N1009" s="69" t="s">
        <v>1583</v>
      </c>
      <c r="O1009" s="69" t="s">
        <v>1572</v>
      </c>
      <c r="P1009" s="68"/>
    </row>
    <row r="1010" ht="39.95" hidden="1" customHeight="1" outlineLevel="1" spans="1:16">
      <c r="A1010" s="63"/>
      <c r="B1010" s="64"/>
      <c r="C1010" s="59" t="s">
        <v>203</v>
      </c>
      <c r="D1010" s="59" t="s">
        <v>2819</v>
      </c>
      <c r="E1010" s="65">
        <v>602</v>
      </c>
      <c r="F1010" s="67" t="s">
        <v>373</v>
      </c>
      <c r="G1010" s="65">
        <v>60201</v>
      </c>
      <c r="H1010" s="67" t="s">
        <v>1588</v>
      </c>
      <c r="I1010" s="67" t="s">
        <v>373</v>
      </c>
      <c r="J1010" s="67" t="str">
        <f>INDEX(数据元说明!A:F,MATCH(I1010,数据元说明!C:C,0),2)</f>
        <v>001011</v>
      </c>
      <c r="K1010" s="68" t="str">
        <f>INDEX(数据元说明!A:F,MATCH(I1010,数据元说明!C:C,0),5)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10" s="67" t="str">
        <f>INDEX(数据元说明!A:F,MATCH(I1010,数据元说明!C:C,0),6)</f>
        <v>C..30</v>
      </c>
      <c r="M1010" s="68" t="s">
        <v>2488</v>
      </c>
      <c r="N1010" s="68"/>
      <c r="O1010" s="68"/>
      <c r="P1010" s="68"/>
    </row>
    <row r="1011" ht="39.95" hidden="1" customHeight="1" outlineLevel="1" spans="1:16">
      <c r="A1011" s="70"/>
      <c r="B1011" s="71"/>
      <c r="C1011" s="59" t="s">
        <v>203</v>
      </c>
      <c r="D1011" s="59" t="s">
        <v>2819</v>
      </c>
      <c r="E1011" s="65">
        <v>602</v>
      </c>
      <c r="F1011" s="67" t="s">
        <v>377</v>
      </c>
      <c r="G1011" s="65">
        <v>60202</v>
      </c>
      <c r="H1011" s="67" t="s">
        <v>1586</v>
      </c>
      <c r="I1011" s="67" t="s">
        <v>377</v>
      </c>
      <c r="J1011" s="67" t="str">
        <f>INDEX(数据元说明!A:F,MATCH(I1011,数据元说明!C:C,0),2)</f>
        <v>001012</v>
      </c>
      <c r="K1011" s="68" t="str">
        <f>INDEX(数据元说明!A:F,MATCH(I1011,数据元说明!C:C,0),5)</f>
        <v>银行内部机构号。应具有标识机构的唯一性。</v>
      </c>
      <c r="L1011" s="67" t="str">
        <f>INDEX(数据元说明!A:F,MATCH(I1011,数据元说明!C:C,0),6)</f>
        <v>C..30</v>
      </c>
      <c r="M1011" s="68" t="s">
        <v>1820</v>
      </c>
      <c r="N1011" s="68"/>
      <c r="O1011" s="68"/>
      <c r="P1011" s="69"/>
    </row>
    <row r="1012" ht="39.95" hidden="1" customHeight="1" outlineLevel="1" spans="1:16">
      <c r="A1012" s="70"/>
      <c r="B1012" s="71"/>
      <c r="C1012" s="59" t="s">
        <v>203</v>
      </c>
      <c r="D1012" s="59" t="s">
        <v>2819</v>
      </c>
      <c r="E1012" s="65">
        <v>602</v>
      </c>
      <c r="F1012" s="67" t="s">
        <v>2798</v>
      </c>
      <c r="G1012" s="65">
        <v>60203</v>
      </c>
      <c r="H1012" s="67" t="s">
        <v>2799</v>
      </c>
      <c r="I1012" s="67" t="s">
        <v>683</v>
      </c>
      <c r="J1012" s="67" t="str">
        <f>INDEX(数据元说明!A:F,MATCH(I1012,数据元说明!C:C,0),2)</f>
        <v>003020</v>
      </c>
      <c r="K1012" s="68" t="str">
        <f>INDEX(数据元说明!A:F,MATCH(I1012,数据元说明!C:C,0),5)</f>
        <v>合同号。</v>
      </c>
      <c r="L1012" s="67" t="str">
        <f>INDEX(数据元说明!A:F,MATCH(I1012,数据元说明!C:C,0),6)</f>
        <v>C..100</v>
      </c>
      <c r="M1012" s="68" t="s">
        <v>2820</v>
      </c>
      <c r="N1012" s="68" t="s">
        <v>1583</v>
      </c>
      <c r="O1012" s="69" t="s">
        <v>484</v>
      </c>
      <c r="P1012" s="69" t="s">
        <v>1634</v>
      </c>
    </row>
    <row r="1013" ht="39.95" hidden="1" customHeight="1" outlineLevel="1" spans="1:16">
      <c r="A1013" s="63"/>
      <c r="B1013" s="64"/>
      <c r="C1013" s="59" t="s">
        <v>203</v>
      </c>
      <c r="D1013" s="59" t="s">
        <v>2819</v>
      </c>
      <c r="E1013" s="65">
        <v>602</v>
      </c>
      <c r="F1013" s="67" t="s">
        <v>852</v>
      </c>
      <c r="G1013" s="65">
        <v>60204</v>
      </c>
      <c r="H1013" s="67" t="s">
        <v>2821</v>
      </c>
      <c r="I1013" s="67" t="s">
        <v>852</v>
      </c>
      <c r="J1013" s="67" t="str">
        <f>INDEX(数据元说明!A:F,MATCH(I1013,数据元说明!C:C,0),2)</f>
        <v>005028</v>
      </c>
      <c r="K1013" s="68" t="str">
        <f>INDEX(数据元说明!A:F,MATCH(I1013,数据元说明!C:C,0),5)</f>
        <v>对公，个人。</v>
      </c>
      <c r="L1013" s="67" t="str">
        <f>INDEX(数据元说明!A:F,MATCH(I1013,数据元说明!C:C,0),6)</f>
        <v>C6</v>
      </c>
      <c r="M1013" s="68"/>
      <c r="N1013" s="69" t="s">
        <v>1583</v>
      </c>
      <c r="O1013" s="69" t="s">
        <v>2818</v>
      </c>
      <c r="P1013" s="69"/>
    </row>
    <row r="1014" ht="39.95" hidden="1" customHeight="1" outlineLevel="1" spans="1:16">
      <c r="A1014" s="63"/>
      <c r="B1014" s="64"/>
      <c r="C1014" s="59" t="s">
        <v>203</v>
      </c>
      <c r="D1014" s="59" t="s">
        <v>2819</v>
      </c>
      <c r="E1014" s="65">
        <v>602</v>
      </c>
      <c r="F1014" s="67" t="s">
        <v>2822</v>
      </c>
      <c r="G1014" s="65">
        <v>60205</v>
      </c>
      <c r="H1014" s="67" t="s">
        <v>2823</v>
      </c>
      <c r="I1014" s="67" t="s">
        <v>325</v>
      </c>
      <c r="J1014" s="67" t="str">
        <f>INDEX(数据元说明!A:F,MATCH(I1014,数据元说明!C:C,0),2)</f>
        <v>001001</v>
      </c>
      <c r="K1014" s="68" t="str">
        <f>INDEX(数据元说明!A:F,MATCH(I1014,数据元说明!C:C,0),5)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014" s="67" t="str">
        <f>INDEX(数据元说明!A:F,MATCH(I1014,数据元说明!C:C,0),6)</f>
        <v>C..450</v>
      </c>
      <c r="M1014" s="68" t="s">
        <v>2824</v>
      </c>
      <c r="N1014" s="68" t="s">
        <v>1583</v>
      </c>
      <c r="O1014" s="68" t="s">
        <v>1660</v>
      </c>
      <c r="P1014" s="69"/>
    </row>
    <row r="1015" ht="39.95" hidden="1" customHeight="1" outlineLevel="1" spans="1:16">
      <c r="A1015" s="63"/>
      <c r="B1015" s="64"/>
      <c r="C1015" s="59" t="s">
        <v>203</v>
      </c>
      <c r="D1015" s="59" t="s">
        <v>2819</v>
      </c>
      <c r="E1015" s="65">
        <v>602</v>
      </c>
      <c r="F1015" s="67" t="s">
        <v>2825</v>
      </c>
      <c r="G1015" s="65">
        <v>60206</v>
      </c>
      <c r="H1015" s="67" t="s">
        <v>2201</v>
      </c>
      <c r="I1015" s="67" t="s">
        <v>492</v>
      </c>
      <c r="J1015" s="67" t="str">
        <f>INDEX(数据元说明!A:F,MATCH(I1015,数据元说明!C:C,0),2)</f>
        <v>002002</v>
      </c>
      <c r="K1015" s="68" t="str">
        <f>INDEX(数据元说明!A:F,MATCH(I1015,数据元说明!C:C,0),5)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015" s="67" t="str">
        <f>INDEX(数据元说明!A:F,MATCH(I1015,数据元说明!C:C,0),6)</f>
        <v>C..60</v>
      </c>
      <c r="M1015" s="68" t="s">
        <v>2826</v>
      </c>
      <c r="N1015" s="68" t="s">
        <v>1583</v>
      </c>
      <c r="O1015" s="68" t="s">
        <v>322</v>
      </c>
      <c r="P1015" s="69"/>
    </row>
    <row r="1016" ht="39.95" hidden="1" customHeight="1" outlineLevel="1" spans="1:16">
      <c r="A1016" s="63"/>
      <c r="B1016" s="64"/>
      <c r="C1016" s="59" t="s">
        <v>203</v>
      </c>
      <c r="D1016" s="59" t="s">
        <v>2819</v>
      </c>
      <c r="E1016" s="65">
        <v>602</v>
      </c>
      <c r="F1016" s="67" t="s">
        <v>2827</v>
      </c>
      <c r="G1016" s="65">
        <v>60207</v>
      </c>
      <c r="H1016" s="67" t="s">
        <v>2204</v>
      </c>
      <c r="I1016" s="67" t="s">
        <v>496</v>
      </c>
      <c r="J1016" s="67" t="str">
        <f>INDEX(数据元说明!A:F,MATCH(I1016,数据元说明!C:C,0),2)</f>
        <v>002003</v>
      </c>
      <c r="K1016" s="68" t="str">
        <f>INDEX(数据元说明!A:F,MATCH(I1016,数据元说明!C:C,0),5)</f>
        <v>与证件类别对应的证件号码。涉及个人身份证件时需按照本规范给定规则进行脱敏处理。</v>
      </c>
      <c r="L1016" s="67" t="str">
        <f>INDEX(数据元说明!A:F,MATCH(I1016,数据元说明!C:C,0),6)</f>
        <v>C..70</v>
      </c>
      <c r="M1016" s="68" t="s">
        <v>2161</v>
      </c>
      <c r="N1016" s="68" t="s">
        <v>1583</v>
      </c>
      <c r="O1016" s="68" t="s">
        <v>322</v>
      </c>
      <c r="P1016" s="69"/>
    </row>
    <row r="1017" ht="39.95" hidden="1" customHeight="1" outlineLevel="1" spans="1:16">
      <c r="A1017" s="63"/>
      <c r="B1017" s="64"/>
      <c r="C1017" s="59" t="s">
        <v>203</v>
      </c>
      <c r="D1017" s="59" t="s">
        <v>2819</v>
      </c>
      <c r="E1017" s="65">
        <v>602</v>
      </c>
      <c r="F1017" s="67" t="s">
        <v>2828</v>
      </c>
      <c r="G1017" s="65">
        <v>60208</v>
      </c>
      <c r="H1017" s="67" t="s">
        <v>2829</v>
      </c>
      <c r="I1017" s="67" t="s">
        <v>642</v>
      </c>
      <c r="J1017" s="67" t="str">
        <f>INDEX(数据元说明!A:F,MATCH(I1017,数据元说明!C:C,0),2)</f>
        <v>003010</v>
      </c>
      <c r="K1017" s="68" t="str">
        <f>INDEX(数据元说明!A:F,MATCH(I1017,数据元说明!C:C,0),5)</f>
        <v>遵循《GB/T 12406 表示货币和资金的代码》的字母代码，如CNY。上述文件所列币种无法涵盖的，允许银行自定义填报。多个币种合计折算为人民币（本外币合计）的，填报为BWB。</v>
      </c>
      <c r="L1017" s="67" t="str">
        <f>INDEX(数据元说明!A:F,MATCH(I1017,数据元说明!C:C,0),6)</f>
        <v>C3</v>
      </c>
      <c r="M1017" s="68" t="s">
        <v>2830</v>
      </c>
      <c r="N1017" s="68" t="s">
        <v>1601</v>
      </c>
      <c r="O1017" s="68"/>
      <c r="P1017" s="69"/>
    </row>
    <row r="1018" ht="39.95" hidden="1" customHeight="1" outlineLevel="1" spans="1:16">
      <c r="A1018" s="63"/>
      <c r="B1018" s="64"/>
      <c r="C1018" s="59" t="s">
        <v>203</v>
      </c>
      <c r="D1018" s="59" t="s">
        <v>2819</v>
      </c>
      <c r="E1018" s="65">
        <v>602</v>
      </c>
      <c r="F1018" s="67" t="s">
        <v>2831</v>
      </c>
      <c r="G1018" s="65">
        <v>60209</v>
      </c>
      <c r="H1018" s="67" t="s">
        <v>2832</v>
      </c>
      <c r="I1018" s="67" t="s">
        <v>634</v>
      </c>
      <c r="J1018" s="67" t="str">
        <f>INDEX(数据元说明!A:F,MATCH(I1018,数据元说明!C:C,0),2)</f>
        <v>003008</v>
      </c>
      <c r="K1018" s="68" t="str">
        <f>INDEX(数据元说明!A:F,MATCH(I1018,数据元说明!C:C,0),5)</f>
        <v>与币种相对应金额。</v>
      </c>
      <c r="L1018" s="67" t="str">
        <f>INDEX(数据元说明!A:F,MATCH(I1018,数据元说明!C:C,0),6)</f>
        <v>D20.2</v>
      </c>
      <c r="M1018" s="68" t="s">
        <v>2830</v>
      </c>
      <c r="N1018" s="68" t="s">
        <v>1583</v>
      </c>
      <c r="O1018" s="68"/>
      <c r="P1018" s="69"/>
    </row>
    <row r="1019" ht="39.95" hidden="1" customHeight="1" outlineLevel="1" spans="1:16">
      <c r="A1019" s="63"/>
      <c r="B1019" s="64"/>
      <c r="C1019" s="59" t="s">
        <v>203</v>
      </c>
      <c r="D1019" s="59" t="s">
        <v>2819</v>
      </c>
      <c r="E1019" s="65">
        <v>602</v>
      </c>
      <c r="F1019" s="67" t="s">
        <v>856</v>
      </c>
      <c r="G1019" s="65">
        <v>60210</v>
      </c>
      <c r="H1019" s="67" t="s">
        <v>2817</v>
      </c>
      <c r="I1019" s="67" t="s">
        <v>856</v>
      </c>
      <c r="J1019" s="67" t="str">
        <f>INDEX(数据元说明!A:F,MATCH(I1019,数据元说明!C:C,0),2)</f>
        <v>005029</v>
      </c>
      <c r="K1019" s="68" t="str">
        <f>INDEX(数据元说明!A:F,MATCH(I1019,数据元说明!C:C,0),5)</f>
        <v>有效，失效。</v>
      </c>
      <c r="L1019" s="67" t="str">
        <f>INDEX(数据元说明!A:F,MATCH(I1019,数据元说明!C:C,0),6)</f>
        <v>C6</v>
      </c>
      <c r="M1019" s="69"/>
      <c r="N1019" s="69" t="s">
        <v>1583</v>
      </c>
      <c r="O1019" s="69" t="s">
        <v>321</v>
      </c>
      <c r="P1019" s="69"/>
    </row>
    <row r="1020" ht="39.95" hidden="1" customHeight="1" outlineLevel="1" spans="1:16">
      <c r="A1020" s="63"/>
      <c r="B1020" s="64"/>
      <c r="C1020" s="59" t="s">
        <v>203</v>
      </c>
      <c r="D1020" s="59" t="s">
        <v>2819</v>
      </c>
      <c r="E1020" s="65">
        <v>602</v>
      </c>
      <c r="F1020" s="67" t="s">
        <v>484</v>
      </c>
      <c r="G1020" s="65">
        <v>60211</v>
      </c>
      <c r="H1020" s="67" t="s">
        <v>1623</v>
      </c>
      <c r="I1020" s="67" t="s">
        <v>484</v>
      </c>
      <c r="J1020" s="67" t="str">
        <f>INDEX(数据元说明!A:F,MATCH(I1020,数据元说明!C:C,0),2)</f>
        <v>001038</v>
      </c>
      <c r="K1020" s="68" t="str">
        <f>INDEX(数据元说明!A:F,MATCH(I1020,数据元说明!C:C,0),5)</f>
        <v>银行自定义。</v>
      </c>
      <c r="L1020" s="67" t="str">
        <f>INDEX(数据元说明!A:F,MATCH(I1020,数据元说明!C:C,0),6)</f>
        <v>C..600</v>
      </c>
      <c r="M1020" s="68" t="s">
        <v>1624</v>
      </c>
      <c r="N1020" s="68" t="s">
        <v>1601</v>
      </c>
      <c r="O1020" s="68"/>
      <c r="P1020" s="68"/>
    </row>
    <row r="1021" ht="39.95" hidden="1" customHeight="1" outlineLevel="1" spans="1:16">
      <c r="A1021" s="63"/>
      <c r="B1021" s="64"/>
      <c r="C1021" s="59" t="s">
        <v>203</v>
      </c>
      <c r="D1021" s="59" t="s">
        <v>2819</v>
      </c>
      <c r="E1021" s="65">
        <v>602</v>
      </c>
      <c r="F1021" s="67" t="s">
        <v>1625</v>
      </c>
      <c r="G1021" s="65">
        <v>60212</v>
      </c>
      <c r="H1021" s="67" t="s">
        <v>1626</v>
      </c>
      <c r="I1021" s="67" t="s">
        <v>345</v>
      </c>
      <c r="J1021" s="67" t="str">
        <f>INDEX(数据元说明!A:F,MATCH(I1021,数据元说明!C:C,0),2)</f>
        <v>001005</v>
      </c>
      <c r="K1021" s="68" t="str">
        <f>INDEX(数据元说明!A:F,MATCH(I1021,数据元说明!C:C,0),5)</f>
        <v>YYYYMMDD，默认值99991231。</v>
      </c>
      <c r="L1021" s="67" t="str">
        <f>INDEX(数据元说明!A:F,MATCH(I1021,数据元说明!C:C,0),6)</f>
        <v>C8</v>
      </c>
      <c r="M1021" s="68" t="s">
        <v>1627</v>
      </c>
      <c r="N1021" s="68"/>
      <c r="O1021" s="68"/>
      <c r="P1021" s="69"/>
    </row>
    <row r="1022" ht="39.95" hidden="1" customHeight="1" collapsed="1" spans="1:16">
      <c r="A1022" s="70"/>
      <c r="B1022" s="71"/>
      <c r="C1022" s="59" t="s">
        <v>207</v>
      </c>
      <c r="D1022" s="59" t="s">
        <v>2833</v>
      </c>
      <c r="E1022" s="65">
        <v>603</v>
      </c>
      <c r="F1022" s="67"/>
      <c r="G1022" s="65"/>
      <c r="H1022" s="67"/>
      <c r="I1022" s="67"/>
      <c r="J1022" s="67"/>
      <c r="K1022" s="68"/>
      <c r="L1022" s="67"/>
      <c r="M1022" s="68" t="str">
        <f>INDEX(表结构总览!D:G,MATCH(D1022,表结构总览!D:D,0),4)</f>
        <v>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v>
      </c>
      <c r="N1022" s="68" t="s">
        <v>1583</v>
      </c>
      <c r="O1022" s="68" t="s">
        <v>484</v>
      </c>
      <c r="P1022" s="69"/>
    </row>
    <row r="1023" ht="39.95" hidden="1" customHeight="1" outlineLevel="1" spans="1:16">
      <c r="A1023" s="63"/>
      <c r="B1023" s="64"/>
      <c r="C1023" s="59" t="s">
        <v>207</v>
      </c>
      <c r="D1023" s="59" t="s">
        <v>2833</v>
      </c>
      <c r="E1023" s="65">
        <v>603</v>
      </c>
      <c r="F1023" s="67" t="s">
        <v>373</v>
      </c>
      <c r="G1023" s="65">
        <v>60301</v>
      </c>
      <c r="H1023" s="67" t="s">
        <v>1588</v>
      </c>
      <c r="I1023" s="67" t="s">
        <v>373</v>
      </c>
      <c r="J1023" s="67" t="str">
        <f>INDEX(数据元说明!A:F,MATCH(I1023,数据元说明!C:C,0),2)</f>
        <v>001011</v>
      </c>
      <c r="K1023" s="68" t="str">
        <f>INDEX(数据元说明!A:F,MATCH(I1023,数据元说明!C:C,0),5)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23" s="67" t="str">
        <f>INDEX(数据元说明!A:F,MATCH(I1023,数据元说明!C:C,0),6)</f>
        <v>C..30</v>
      </c>
      <c r="M1023" s="68" t="s">
        <v>2488</v>
      </c>
      <c r="N1023" s="68"/>
      <c r="O1023" s="68"/>
      <c r="P1023" s="68"/>
    </row>
    <row r="1024" ht="39.95" hidden="1" customHeight="1" outlineLevel="1" spans="1:16">
      <c r="A1024" s="63"/>
      <c r="B1024" s="64"/>
      <c r="C1024" s="59" t="s">
        <v>207</v>
      </c>
      <c r="D1024" s="59" t="s">
        <v>2833</v>
      </c>
      <c r="E1024" s="65">
        <v>603</v>
      </c>
      <c r="F1024" s="67" t="s">
        <v>377</v>
      </c>
      <c r="G1024" s="65">
        <v>60302</v>
      </c>
      <c r="H1024" s="67" t="s">
        <v>1586</v>
      </c>
      <c r="I1024" s="67" t="s">
        <v>377</v>
      </c>
      <c r="J1024" s="67" t="str">
        <f>INDEX(数据元说明!A:F,MATCH(I1024,数据元说明!C:C,0),2)</f>
        <v>001012</v>
      </c>
      <c r="K1024" s="68" t="str">
        <f>INDEX(数据元说明!A:F,MATCH(I1024,数据元说明!C:C,0),5)</f>
        <v>银行内部机构号。应具有标识机构的唯一性。</v>
      </c>
      <c r="L1024" s="67" t="str">
        <f>INDEX(数据元说明!A:F,MATCH(I1024,数据元说明!C:C,0),6)</f>
        <v>C..30</v>
      </c>
      <c r="M1024" s="68" t="s">
        <v>1820</v>
      </c>
      <c r="N1024" s="68"/>
      <c r="O1024" s="68"/>
      <c r="P1024" s="69"/>
    </row>
    <row r="1025" ht="39.95" hidden="1" customHeight="1" outlineLevel="1" spans="1:16">
      <c r="A1025" s="70"/>
      <c r="B1025" s="71"/>
      <c r="C1025" s="59" t="s">
        <v>207</v>
      </c>
      <c r="D1025" s="59" t="s">
        <v>2833</v>
      </c>
      <c r="E1025" s="65">
        <v>603</v>
      </c>
      <c r="F1025" s="67" t="s">
        <v>2798</v>
      </c>
      <c r="G1025" s="65">
        <v>60303</v>
      </c>
      <c r="H1025" s="67" t="s">
        <v>2799</v>
      </c>
      <c r="I1025" s="67" t="s">
        <v>683</v>
      </c>
      <c r="J1025" s="67" t="str">
        <f>INDEX(数据元说明!A:F,MATCH(I1025,数据元说明!C:C,0),2)</f>
        <v>003020</v>
      </c>
      <c r="K1025" s="68" t="str">
        <f>INDEX(数据元说明!A:F,MATCH(I1025,数据元说明!C:C,0),5)</f>
        <v>合同号。</v>
      </c>
      <c r="L1025" s="67" t="str">
        <f>INDEX(数据元说明!A:F,MATCH(I1025,数据元说明!C:C,0),6)</f>
        <v>C..100</v>
      </c>
      <c r="M1025" s="68" t="s">
        <v>2834</v>
      </c>
      <c r="N1025" s="68" t="s">
        <v>1583</v>
      </c>
      <c r="O1025" s="68" t="s">
        <v>484</v>
      </c>
      <c r="P1025" s="69" t="s">
        <v>1634</v>
      </c>
    </row>
    <row r="1026" ht="39.95" hidden="1" customHeight="1" outlineLevel="1" spans="1:16">
      <c r="A1026" s="70"/>
      <c r="B1026" s="71"/>
      <c r="C1026" s="59" t="s">
        <v>207</v>
      </c>
      <c r="D1026" s="59" t="s">
        <v>2833</v>
      </c>
      <c r="E1026" s="65">
        <v>603</v>
      </c>
      <c r="F1026" s="67" t="s">
        <v>2835</v>
      </c>
      <c r="G1026" s="65">
        <v>60304</v>
      </c>
      <c r="H1026" s="67" t="s">
        <v>2836</v>
      </c>
      <c r="I1026" s="67" t="s">
        <v>860</v>
      </c>
      <c r="J1026" s="67" t="str">
        <f>INDEX(数据元说明!A:F,MATCH(I1026,数据元说明!C:C,0),2)</f>
        <v>005030</v>
      </c>
      <c r="K1026" s="68" t="str">
        <f>INDEX(数据元说明!A:F,MATCH(I1026,数据元说明!C:C,0),5)</f>
        <v>能唯一识别该押品的编号，银行自定义。</v>
      </c>
      <c r="L1026" s="67" t="str">
        <f>INDEX(数据元说明!A:F,MATCH(I1026,数据元说明!C:C,0),6)</f>
        <v>C..60</v>
      </c>
      <c r="M1026" s="68" t="s">
        <v>1679</v>
      </c>
      <c r="N1026" s="68" t="s">
        <v>1583</v>
      </c>
      <c r="O1026" s="68" t="s">
        <v>484</v>
      </c>
      <c r="P1026" s="69" t="s">
        <v>1634</v>
      </c>
    </row>
    <row r="1027" ht="39.95" hidden="1" customHeight="1" outlineLevel="1" spans="1:16">
      <c r="A1027" s="63"/>
      <c r="B1027" s="64"/>
      <c r="C1027" s="59" t="s">
        <v>207</v>
      </c>
      <c r="D1027" s="59" t="s">
        <v>2833</v>
      </c>
      <c r="E1027" s="65">
        <v>603</v>
      </c>
      <c r="F1027" s="67" t="s">
        <v>2837</v>
      </c>
      <c r="G1027" s="65">
        <v>60305</v>
      </c>
      <c r="H1027" s="67" t="s">
        <v>2838</v>
      </c>
      <c r="I1027" s="67" t="s">
        <v>868</v>
      </c>
      <c r="J1027" s="67" t="str">
        <f>INDEX(数据元说明!A:F,MATCH(I1027,数据元说明!C:C,0),2)</f>
        <v>005032</v>
      </c>
      <c r="K1027" s="68" t="str">
        <f>INDEX(数据元说明!A:F,MATCH(I1027,数据元说明!C:C,0),5)</f>
        <v>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v>
      </c>
      <c r="L1027" s="67" t="str">
        <f>INDEX(数据元说明!A:F,MATCH(I1027,数据元说明!C:C,0),6)</f>
        <v>C..60</v>
      </c>
      <c r="M1027" s="68" t="s">
        <v>2839</v>
      </c>
      <c r="N1027" s="68" t="s">
        <v>1583</v>
      </c>
      <c r="O1027" s="68" t="s">
        <v>321</v>
      </c>
      <c r="P1027" s="69"/>
    </row>
    <row r="1028" ht="39.95" hidden="1" customHeight="1" outlineLevel="1" spans="1:16">
      <c r="A1028" s="63"/>
      <c r="B1028" s="64"/>
      <c r="C1028" s="59" t="s">
        <v>207</v>
      </c>
      <c r="D1028" s="59" t="s">
        <v>2833</v>
      </c>
      <c r="E1028" s="65">
        <v>603</v>
      </c>
      <c r="F1028" s="67" t="s">
        <v>2840</v>
      </c>
      <c r="G1028" s="65">
        <v>60306</v>
      </c>
      <c r="H1028" s="67" t="s">
        <v>2841</v>
      </c>
      <c r="I1028" s="67" t="s">
        <v>864</v>
      </c>
      <c r="J1028" s="67" t="str">
        <f>INDEX(数据元说明!A:F,MATCH(I1028,数据元说明!C:C,0),2)</f>
        <v>005031</v>
      </c>
      <c r="K1028" s="68" t="str">
        <f>INDEX(数据元说明!A:F,MATCH(I1028,数据元说明!C:C,0),5)</f>
        <v>因信贷业务而成为抵质押物的名称，银行自定义。</v>
      </c>
      <c r="L1028" s="67" t="str">
        <f>INDEX(数据元说明!A:F,MATCH(I1028,数据元说明!C:C,0),6)</f>
        <v>C..1500</v>
      </c>
      <c r="M1028" s="68"/>
      <c r="N1028" s="68" t="s">
        <v>1583</v>
      </c>
      <c r="O1028" s="68" t="s">
        <v>321</v>
      </c>
      <c r="P1028" s="69"/>
    </row>
    <row r="1029" ht="39.95" hidden="1" customHeight="1" outlineLevel="1" spans="1:16">
      <c r="A1029" s="63"/>
      <c r="B1029" s="64"/>
      <c r="C1029" s="59" t="s">
        <v>207</v>
      </c>
      <c r="D1029" s="59" t="s">
        <v>2833</v>
      </c>
      <c r="E1029" s="65">
        <v>603</v>
      </c>
      <c r="F1029" s="67" t="s">
        <v>892</v>
      </c>
      <c r="G1029" s="65">
        <v>60307</v>
      </c>
      <c r="H1029" s="67" t="s">
        <v>2842</v>
      </c>
      <c r="I1029" s="67" t="s">
        <v>892</v>
      </c>
      <c r="J1029" s="67" t="str">
        <f>INDEX(数据元说明!A:F,MATCH(I1029,数据元说明!C:C,0),2)</f>
        <v>005038</v>
      </c>
      <c r="K1029" s="68" t="str">
        <f>INDEX(数据元说明!A:F,MATCH(I1029,数据元说明!C:C,0),5)</f>
        <v>正常，冻结，查封，扣押，其他-银行自定义。无法以枚举类型填报的，以“其他-XX”填报，其中“XX”为银行自定义抵质押物状态。</v>
      </c>
      <c r="L1029" s="67" t="str">
        <f>INDEX(数据元说明!A:F,MATCH(I1029,数据元说明!C:C,0),6)</f>
        <v>C..30</v>
      </c>
      <c r="M1029" s="68"/>
      <c r="N1029" s="68" t="s">
        <v>1583</v>
      </c>
      <c r="O1029" s="68" t="s">
        <v>321</v>
      </c>
      <c r="P1029" s="69"/>
    </row>
    <row r="1030" ht="39.95" hidden="1" customHeight="1" outlineLevel="1" spans="1:16">
      <c r="A1030" s="63"/>
      <c r="B1030" s="64"/>
      <c r="C1030" s="59" t="s">
        <v>207</v>
      </c>
      <c r="D1030" s="59" t="s">
        <v>2833</v>
      </c>
      <c r="E1030" s="65">
        <v>603</v>
      </c>
      <c r="F1030" s="67" t="s">
        <v>642</v>
      </c>
      <c r="G1030" s="65">
        <v>60308</v>
      </c>
      <c r="H1030" s="67" t="s">
        <v>1914</v>
      </c>
      <c r="I1030" s="67" t="s">
        <v>642</v>
      </c>
      <c r="J1030" s="67" t="str">
        <f>INDEX(数据元说明!A:F,MATCH(I1030,数据元说明!C:C,0),2)</f>
        <v>003010</v>
      </c>
      <c r="K1030" s="68" t="str">
        <f>INDEX(数据元说明!A:F,MATCH(I1030,数据元说明!C:C,0),5)</f>
        <v>遵循《GB/T 12406 表示货币和资金的代码》的字母代码，如CNY。上述文件所列币种无法涵盖的，允许银行自定义填报。多个币种合计折算为人民币（本外币合计）的，填报为BWB。</v>
      </c>
      <c r="L1030" s="67" t="str">
        <f>INDEX(数据元说明!A:F,MATCH(I1030,数据元说明!C:C,0),6)</f>
        <v>C3</v>
      </c>
      <c r="M1030" s="68"/>
      <c r="N1030" s="68"/>
      <c r="O1030" s="68"/>
      <c r="P1030" s="69"/>
    </row>
    <row r="1031" ht="39.95" hidden="1" customHeight="1" outlineLevel="1" spans="1:16">
      <c r="A1031" s="63"/>
      <c r="B1031" s="64"/>
      <c r="C1031" s="59" t="s">
        <v>207</v>
      </c>
      <c r="D1031" s="59" t="s">
        <v>2833</v>
      </c>
      <c r="E1031" s="65">
        <v>603</v>
      </c>
      <c r="F1031" s="67" t="s">
        <v>2843</v>
      </c>
      <c r="G1031" s="65">
        <v>60309</v>
      </c>
      <c r="H1031" s="67" t="s">
        <v>2844</v>
      </c>
      <c r="I1031" s="67" t="s">
        <v>634</v>
      </c>
      <c r="J1031" s="67" t="str">
        <f>INDEX(数据元说明!A:F,MATCH(I1031,数据元说明!C:C,0),2)</f>
        <v>003008</v>
      </c>
      <c r="K1031" s="68" t="str">
        <f>INDEX(数据元说明!A:F,MATCH(I1031,数据元说明!C:C,0),5)</f>
        <v>与币种相对应金额。</v>
      </c>
      <c r="L1031" s="67" t="str">
        <f>INDEX(数据元说明!A:F,MATCH(I1031,数据元说明!C:C,0),6)</f>
        <v>D20.2</v>
      </c>
      <c r="M1031" s="68" t="s">
        <v>2845</v>
      </c>
      <c r="N1031" s="68" t="s">
        <v>1583</v>
      </c>
      <c r="O1031" s="68" t="s">
        <v>2102</v>
      </c>
      <c r="P1031" s="69"/>
    </row>
    <row r="1032" ht="39.95" hidden="1" customHeight="1" outlineLevel="1" spans="1:16">
      <c r="A1032" s="63"/>
      <c r="B1032" s="64"/>
      <c r="C1032" s="59" t="s">
        <v>207</v>
      </c>
      <c r="D1032" s="59" t="s">
        <v>2833</v>
      </c>
      <c r="E1032" s="65">
        <v>603</v>
      </c>
      <c r="F1032" s="67" t="s">
        <v>2846</v>
      </c>
      <c r="G1032" s="65">
        <v>60310</v>
      </c>
      <c r="H1032" s="67" t="s">
        <v>2847</v>
      </c>
      <c r="I1032" s="67" t="s">
        <v>634</v>
      </c>
      <c r="J1032" s="67" t="str">
        <f>INDEX(数据元说明!A:F,MATCH(I1032,数据元说明!C:C,0),2)</f>
        <v>003008</v>
      </c>
      <c r="K1032" s="68" t="str">
        <f>INDEX(数据元说明!A:F,MATCH(I1032,数据元说明!C:C,0),5)</f>
        <v>与币种相对应金额。</v>
      </c>
      <c r="L1032" s="67" t="str">
        <f>INDEX(数据元说明!A:F,MATCH(I1032,数据元说明!C:C,0),6)</f>
        <v>D20.2</v>
      </c>
      <c r="M1032" s="68" t="s">
        <v>2848</v>
      </c>
      <c r="N1032" s="68" t="s">
        <v>1583</v>
      </c>
      <c r="O1032" s="68" t="s">
        <v>2102</v>
      </c>
      <c r="P1032" s="69"/>
    </row>
    <row r="1033" ht="39.95" hidden="1" customHeight="1" outlineLevel="1" spans="1:16">
      <c r="A1033" s="63"/>
      <c r="B1033" s="64"/>
      <c r="C1033" s="59" t="s">
        <v>207</v>
      </c>
      <c r="D1033" s="59" t="s">
        <v>2833</v>
      </c>
      <c r="E1033" s="65">
        <v>603</v>
      </c>
      <c r="F1033" s="67" t="s">
        <v>2849</v>
      </c>
      <c r="G1033" s="65">
        <v>60311</v>
      </c>
      <c r="H1033" s="67" t="s">
        <v>2850</v>
      </c>
      <c r="I1033" s="67" t="s">
        <v>634</v>
      </c>
      <c r="J1033" s="67" t="str">
        <f>INDEX(数据元说明!A:F,MATCH(I1033,数据元说明!C:C,0),2)</f>
        <v>003008</v>
      </c>
      <c r="K1033" s="68" t="str">
        <f>INDEX(数据元说明!A:F,MATCH(I1033,数据元说明!C:C,0),5)</f>
        <v>与币种相对应金额。</v>
      </c>
      <c r="L1033" s="67" t="str">
        <f>INDEX(数据元说明!A:F,MATCH(I1033,数据元说明!C:C,0),6)</f>
        <v>D20.2</v>
      </c>
      <c r="M1033" s="68" t="s">
        <v>2851</v>
      </c>
      <c r="N1033" s="68" t="s">
        <v>1583</v>
      </c>
      <c r="O1033" s="68" t="s">
        <v>484</v>
      </c>
      <c r="P1033" s="69"/>
    </row>
    <row r="1034" ht="39.95" hidden="1" customHeight="1" outlineLevel="1" spans="1:16">
      <c r="A1034" s="63"/>
      <c r="B1034" s="64"/>
      <c r="C1034" s="59" t="s">
        <v>207</v>
      </c>
      <c r="D1034" s="59" t="s">
        <v>2833</v>
      </c>
      <c r="E1034" s="65">
        <v>603</v>
      </c>
      <c r="F1034" s="67" t="s">
        <v>2852</v>
      </c>
      <c r="G1034" s="65">
        <v>60312</v>
      </c>
      <c r="H1034" s="67" t="s">
        <v>2853</v>
      </c>
      <c r="I1034" s="67" t="s">
        <v>335</v>
      </c>
      <c r="J1034" s="67" t="str">
        <f>INDEX(数据元说明!A:F,MATCH(I1034,数据元说明!C:C,0),2)</f>
        <v>001003</v>
      </c>
      <c r="K1034" s="68" t="str">
        <f>INDEX(数据元说明!A:F,MATCH(I1034,数据元说明!C:C,0),5)</f>
        <v>百分比为单位，即1/100，保留两位小数。如4.5%则填报为4.50。</v>
      </c>
      <c r="L1034" s="67" t="str">
        <f>INDEX(数据元说明!A:F,MATCH(I1034,数据元说明!C:C,0),6)</f>
        <v>D20.2</v>
      </c>
      <c r="M1034" s="68" t="s">
        <v>2854</v>
      </c>
      <c r="N1034" s="68" t="s">
        <v>1583</v>
      </c>
      <c r="O1034" s="68" t="s">
        <v>1576</v>
      </c>
      <c r="P1034" s="69"/>
    </row>
    <row r="1035" ht="39.95" hidden="1" customHeight="1" outlineLevel="1" spans="1:16">
      <c r="A1035" s="63"/>
      <c r="B1035" s="64"/>
      <c r="C1035" s="59" t="s">
        <v>207</v>
      </c>
      <c r="D1035" s="59" t="s">
        <v>2833</v>
      </c>
      <c r="E1035" s="65">
        <v>603</v>
      </c>
      <c r="F1035" s="67" t="s">
        <v>896</v>
      </c>
      <c r="G1035" s="65">
        <v>60313</v>
      </c>
      <c r="H1035" s="67" t="s">
        <v>2855</v>
      </c>
      <c r="I1035" s="67" t="s">
        <v>896</v>
      </c>
      <c r="J1035" s="67" t="str">
        <f>INDEX(数据元说明!A:F,MATCH(I1035,数据元说明!C:C,0),2)</f>
        <v>005039</v>
      </c>
      <c r="K1035" s="68" t="str">
        <f>INDEX(数据元说明!A:F,MATCH(I1035,数据元说明!C:C,0),5)</f>
        <v>第一顺位，第二顺位，第三顺位...以此类推。</v>
      </c>
      <c r="L1035" s="67" t="str">
        <f>INDEX(数据元说明!A:F,MATCH(I1035,数据元说明!C:C,0),6)</f>
        <v>C..30</v>
      </c>
      <c r="M1035" s="68" t="s">
        <v>2856</v>
      </c>
      <c r="N1035" s="69" t="s">
        <v>1601</v>
      </c>
      <c r="O1035" s="68"/>
      <c r="P1035" s="69"/>
    </row>
    <row r="1036" ht="39.95" hidden="1" customHeight="1" outlineLevel="1" spans="1:16">
      <c r="A1036" s="63"/>
      <c r="B1036" s="64"/>
      <c r="C1036" s="59" t="s">
        <v>207</v>
      </c>
      <c r="D1036" s="59" t="s">
        <v>2833</v>
      </c>
      <c r="E1036" s="65">
        <v>603</v>
      </c>
      <c r="F1036" s="67" t="s">
        <v>2857</v>
      </c>
      <c r="G1036" s="65">
        <v>60314</v>
      </c>
      <c r="H1036" s="67" t="s">
        <v>2858</v>
      </c>
      <c r="I1036" s="67" t="s">
        <v>325</v>
      </c>
      <c r="J1036" s="67" t="str">
        <f>INDEX(数据元说明!A:F,MATCH(I1036,数据元说明!C:C,0),2)</f>
        <v>001001</v>
      </c>
      <c r="K1036" s="68" t="str">
        <f>INDEX(数据元说明!A:F,MATCH(I1036,数据元说明!C:C,0),5)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036" s="67" t="str">
        <f>INDEX(数据元说明!A:F,MATCH(I1036,数据元说明!C:C,0),6)</f>
        <v>C..450</v>
      </c>
      <c r="M1036" s="68" t="s">
        <v>2859</v>
      </c>
      <c r="N1036" s="68" t="s">
        <v>1583</v>
      </c>
      <c r="O1036" s="68" t="s">
        <v>1660</v>
      </c>
      <c r="P1036" s="69"/>
    </row>
    <row r="1037" ht="39.95" hidden="1" customHeight="1" outlineLevel="1" spans="1:16">
      <c r="A1037" s="63"/>
      <c r="B1037" s="64"/>
      <c r="C1037" s="59" t="s">
        <v>207</v>
      </c>
      <c r="D1037" s="59" t="s">
        <v>2833</v>
      </c>
      <c r="E1037" s="65">
        <v>603</v>
      </c>
      <c r="F1037" s="67" t="s">
        <v>2860</v>
      </c>
      <c r="G1037" s="65">
        <v>60315</v>
      </c>
      <c r="H1037" s="67" t="s">
        <v>2861</v>
      </c>
      <c r="I1037" s="67" t="s">
        <v>492</v>
      </c>
      <c r="J1037" s="67" t="str">
        <f>INDEX(数据元说明!A:F,MATCH(I1037,数据元说明!C:C,0),2)</f>
        <v>002002</v>
      </c>
      <c r="K1037" s="68" t="str">
        <f>INDEX(数据元说明!A:F,MATCH(I1037,数据元说明!C:C,0),5)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037" s="67" t="str">
        <f>INDEX(数据元说明!A:F,MATCH(I1037,数据元说明!C:C,0),6)</f>
        <v>C..60</v>
      </c>
      <c r="M1037" s="68"/>
      <c r="N1037" s="68" t="s">
        <v>1601</v>
      </c>
      <c r="O1037" s="68"/>
      <c r="P1037" s="69"/>
    </row>
    <row r="1038" ht="39.95" hidden="1" customHeight="1" outlineLevel="1" spans="1:16">
      <c r="A1038" s="63"/>
      <c r="B1038" s="64"/>
      <c r="C1038" s="59" t="s">
        <v>207</v>
      </c>
      <c r="D1038" s="59" t="s">
        <v>2833</v>
      </c>
      <c r="E1038" s="65">
        <v>603</v>
      </c>
      <c r="F1038" s="67" t="s">
        <v>2862</v>
      </c>
      <c r="G1038" s="65">
        <v>60316</v>
      </c>
      <c r="H1038" s="67" t="s">
        <v>2863</v>
      </c>
      <c r="I1038" s="67" t="s">
        <v>496</v>
      </c>
      <c r="J1038" s="67" t="str">
        <f>INDEX(数据元说明!A:F,MATCH(I1038,数据元说明!C:C,0),2)</f>
        <v>002003</v>
      </c>
      <c r="K1038" s="68" t="str">
        <f>INDEX(数据元说明!A:F,MATCH(I1038,数据元说明!C:C,0),5)</f>
        <v>与证件类别对应的证件号码。涉及个人身份证件时需按照本规范给定规则进行脱敏处理。</v>
      </c>
      <c r="L1038" s="67" t="str">
        <f>INDEX(数据元说明!A:F,MATCH(I1038,数据元说明!C:C,0),6)</f>
        <v>C..70</v>
      </c>
      <c r="M1038" s="68" t="s">
        <v>1998</v>
      </c>
      <c r="N1038" s="68" t="s">
        <v>1601</v>
      </c>
      <c r="O1038" s="68"/>
      <c r="P1038" s="69"/>
    </row>
    <row r="1039" ht="39.95" hidden="1" customHeight="1" outlineLevel="1" spans="1:16">
      <c r="A1039" s="63"/>
      <c r="B1039" s="64"/>
      <c r="C1039" s="59" t="s">
        <v>207</v>
      </c>
      <c r="D1039" s="59" t="s">
        <v>2833</v>
      </c>
      <c r="E1039" s="65">
        <v>603</v>
      </c>
      <c r="F1039" s="73" t="s">
        <v>872</v>
      </c>
      <c r="G1039" s="65">
        <v>60317</v>
      </c>
      <c r="H1039" s="73" t="s">
        <v>2864</v>
      </c>
      <c r="I1039" s="73" t="s">
        <v>872</v>
      </c>
      <c r="J1039" s="67" t="str">
        <f>INDEX(数据元说明!A:F,MATCH(I1039,数据元说明!C:C,0),2)</f>
        <v>005033</v>
      </c>
      <c r="K1039" s="68" t="str">
        <f>INDEX(数据元说明!A:F,MATCH(I1039,数据元说明!C:C,0),5)</f>
        <v>当抵质押物类型为票据、存单等有编号的押品需要填写。</v>
      </c>
      <c r="L1039" s="67" t="str">
        <f>INDEX(数据元说明!A:F,MATCH(I1039,数据元说明!C:C,0),6)</f>
        <v>C..300</v>
      </c>
      <c r="M1039" s="68" t="s">
        <v>2865</v>
      </c>
      <c r="N1039" s="68" t="s">
        <v>1583</v>
      </c>
      <c r="O1039" s="68" t="s">
        <v>321</v>
      </c>
      <c r="P1039" s="69"/>
    </row>
    <row r="1040" ht="39.95" hidden="1" customHeight="1" outlineLevel="1" spans="1:16">
      <c r="A1040" s="63"/>
      <c r="B1040" s="64"/>
      <c r="C1040" s="59" t="s">
        <v>207</v>
      </c>
      <c r="D1040" s="59" t="s">
        <v>2833</v>
      </c>
      <c r="E1040" s="65">
        <v>603</v>
      </c>
      <c r="F1040" s="73" t="s">
        <v>2866</v>
      </c>
      <c r="G1040" s="65">
        <v>60318</v>
      </c>
      <c r="H1040" s="73" t="s">
        <v>2867</v>
      </c>
      <c r="I1040" s="73" t="s">
        <v>325</v>
      </c>
      <c r="J1040" s="67" t="str">
        <f>INDEX(数据元说明!A:F,MATCH(I1040,数据元说明!C:C,0),2)</f>
        <v>001001</v>
      </c>
      <c r="K1040" s="68" t="str">
        <f>INDEX(数据元说明!A:F,MATCH(I1040,数据元说明!C:C,0),5)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040" s="67" t="str">
        <f>INDEX(数据元说明!A:F,MATCH(I1040,数据元说明!C:C,0),6)</f>
        <v>C..450</v>
      </c>
      <c r="M1040" s="68" t="s">
        <v>2868</v>
      </c>
      <c r="N1040" s="68"/>
      <c r="O1040" s="68"/>
      <c r="P1040" s="69"/>
    </row>
    <row r="1041" ht="39.95" hidden="1" customHeight="1" outlineLevel="1" spans="1:16">
      <c r="A1041" s="63"/>
      <c r="B1041" s="64"/>
      <c r="C1041" s="59" t="s">
        <v>207</v>
      </c>
      <c r="D1041" s="59" t="s">
        <v>2833</v>
      </c>
      <c r="E1041" s="65">
        <v>603</v>
      </c>
      <c r="F1041" s="73" t="s">
        <v>876</v>
      </c>
      <c r="G1041" s="65">
        <v>60319</v>
      </c>
      <c r="H1041" s="73" t="s">
        <v>2869</v>
      </c>
      <c r="I1041" s="73" t="s">
        <v>876</v>
      </c>
      <c r="J1041" s="67" t="str">
        <f>INDEX(数据元说明!A:F,MATCH(I1041,数据元说明!C:C,0),2)</f>
        <v>005034</v>
      </c>
      <c r="K1041" s="68" t="str">
        <f>INDEX(数据元说明!A:F,MATCH(I1041,数据元说明!C:C,0),5)</f>
        <v>当抵质押物类型为商业房地产和居住用房地产时，填写不动产登记部门给银行的抵押登记证明编号。对于抵质押物类型不为房地产或无抵押登记证明编号的业务，可以填写所有权证编号、合同编号或他项权证编号。</v>
      </c>
      <c r="L1041" s="67" t="str">
        <f>INDEX(数据元说明!A:F,MATCH(I1041,数据元说明!C:C,0),6)</f>
        <v>C..300</v>
      </c>
      <c r="M1041" s="68" t="s">
        <v>2870</v>
      </c>
      <c r="N1041" s="68" t="s">
        <v>1583</v>
      </c>
      <c r="O1041" s="68" t="s">
        <v>321</v>
      </c>
      <c r="P1041" s="69"/>
    </row>
    <row r="1042" ht="39.95" hidden="1" customHeight="1" outlineLevel="1" spans="1:16">
      <c r="A1042" s="63"/>
      <c r="B1042" s="64"/>
      <c r="C1042" s="59" t="s">
        <v>207</v>
      </c>
      <c r="D1042" s="59" t="s">
        <v>2833</v>
      </c>
      <c r="E1042" s="65">
        <v>603</v>
      </c>
      <c r="F1042" s="73" t="s">
        <v>880</v>
      </c>
      <c r="G1042" s="65">
        <v>60320</v>
      </c>
      <c r="H1042" s="73" t="s">
        <v>2871</v>
      </c>
      <c r="I1042" s="73" t="s">
        <v>880</v>
      </c>
      <c r="J1042" s="67" t="str">
        <f>INDEX(数据元说明!A:F,MATCH(I1042,数据元说明!C:C,0),2)</f>
        <v>005035</v>
      </c>
      <c r="K1042" s="68" t="str">
        <f>INDEX(数据元说明!A:F,MATCH(I1042,数据元说明!C:C,0),5)</f>
        <v>当抵质押物类型为商业房地产和居住用房地产时，相关权证上登记的房产面积。单位：㎡，如1000平方米填报为1000.</v>
      </c>
      <c r="L1042" s="67" t="str">
        <f>INDEX(数据元说明!A:F,MATCH(I1042,数据元说明!C:C,0),6)</f>
        <v>D20.2</v>
      </c>
      <c r="M1042" s="68" t="s">
        <v>2872</v>
      </c>
      <c r="N1042" s="69" t="s">
        <v>1601</v>
      </c>
      <c r="O1042" s="68"/>
      <c r="P1042" s="69"/>
    </row>
    <row r="1043" ht="39.95" hidden="1" customHeight="1" outlineLevel="1" spans="1:16">
      <c r="A1043" s="63"/>
      <c r="B1043" s="64"/>
      <c r="C1043" s="59" t="s">
        <v>207</v>
      </c>
      <c r="D1043" s="59" t="s">
        <v>2833</v>
      </c>
      <c r="E1043" s="65">
        <v>603</v>
      </c>
      <c r="F1043" s="67" t="s">
        <v>856</v>
      </c>
      <c r="G1043" s="65">
        <v>60321</v>
      </c>
      <c r="H1043" s="67" t="s">
        <v>2817</v>
      </c>
      <c r="I1043" s="67" t="s">
        <v>856</v>
      </c>
      <c r="J1043" s="67" t="str">
        <f>INDEX(数据元说明!A:F,MATCH(I1043,数据元说明!C:C,0),2)</f>
        <v>005029</v>
      </c>
      <c r="K1043" s="68" t="str">
        <f>INDEX(数据元说明!A:F,MATCH(I1043,数据元说明!C:C,0),5)</f>
        <v>有效，失效。</v>
      </c>
      <c r="L1043" s="67" t="str">
        <f>INDEX(数据元说明!A:F,MATCH(I1043,数据元说明!C:C,0),6)</f>
        <v>C6</v>
      </c>
      <c r="M1043" s="69"/>
      <c r="N1043" s="69" t="s">
        <v>1601</v>
      </c>
      <c r="O1043" s="69"/>
      <c r="P1043" s="69"/>
    </row>
    <row r="1044" ht="39.95" hidden="1" customHeight="1" outlineLevel="1" spans="1:16">
      <c r="A1044" s="63"/>
      <c r="B1044" s="64"/>
      <c r="C1044" s="59" t="s">
        <v>207</v>
      </c>
      <c r="D1044" s="59" t="s">
        <v>2833</v>
      </c>
      <c r="E1044" s="65">
        <v>603</v>
      </c>
      <c r="F1044" s="67" t="s">
        <v>484</v>
      </c>
      <c r="G1044" s="65">
        <v>60322</v>
      </c>
      <c r="H1044" s="67" t="s">
        <v>1623</v>
      </c>
      <c r="I1044" s="67" t="s">
        <v>484</v>
      </c>
      <c r="J1044" s="67" t="str">
        <f>INDEX(数据元说明!A:F,MATCH(I1044,数据元说明!C:C,0),2)</f>
        <v>001038</v>
      </c>
      <c r="K1044" s="68" t="str">
        <f>INDEX(数据元说明!A:F,MATCH(I1044,数据元说明!C:C,0),5)</f>
        <v>银行自定义。</v>
      </c>
      <c r="L1044" s="67" t="str">
        <f>INDEX(数据元说明!A:F,MATCH(I1044,数据元说明!C:C,0),6)</f>
        <v>C..600</v>
      </c>
      <c r="M1044" s="68" t="s">
        <v>1624</v>
      </c>
      <c r="N1044" s="68" t="s">
        <v>1601</v>
      </c>
      <c r="O1044" s="68"/>
      <c r="P1044" s="68"/>
    </row>
    <row r="1045" ht="39.95" hidden="1" customHeight="1" outlineLevel="1" spans="1:16">
      <c r="A1045" s="63"/>
      <c r="B1045" s="64"/>
      <c r="C1045" s="59" t="s">
        <v>207</v>
      </c>
      <c r="D1045" s="59" t="s">
        <v>2833</v>
      </c>
      <c r="E1045" s="65">
        <v>603</v>
      </c>
      <c r="F1045" s="67" t="s">
        <v>1625</v>
      </c>
      <c r="G1045" s="65">
        <v>60323</v>
      </c>
      <c r="H1045" s="67" t="s">
        <v>1626</v>
      </c>
      <c r="I1045" s="67" t="s">
        <v>345</v>
      </c>
      <c r="J1045" s="67" t="str">
        <f>INDEX(数据元说明!A:F,MATCH(I1045,数据元说明!C:C,0),2)</f>
        <v>001005</v>
      </c>
      <c r="K1045" s="68" t="str">
        <f>INDEX(数据元说明!A:F,MATCH(I1045,数据元说明!C:C,0),5)</f>
        <v>YYYYMMDD，默认值99991231。</v>
      </c>
      <c r="L1045" s="67" t="str">
        <f>INDEX(数据元说明!A:F,MATCH(I1045,数据元说明!C:C,0),6)</f>
        <v>C8</v>
      </c>
      <c r="M1045" s="68" t="s">
        <v>1627</v>
      </c>
      <c r="N1045" s="68"/>
      <c r="O1045" s="68"/>
      <c r="P1045" s="69"/>
    </row>
    <row r="1046" ht="39.95" hidden="1" customHeight="1" collapsed="1" spans="1:16">
      <c r="A1046" s="63" t="s">
        <v>2873</v>
      </c>
      <c r="B1046" s="64" t="s">
        <v>212</v>
      </c>
      <c r="C1046" s="74"/>
      <c r="D1046" s="74"/>
      <c r="E1046" s="75"/>
      <c r="F1046" s="67"/>
      <c r="G1046" s="65"/>
      <c r="H1046" s="67"/>
      <c r="I1046" s="67"/>
      <c r="J1046" s="67"/>
      <c r="K1046" s="68"/>
      <c r="L1046" s="67"/>
      <c r="M1046" s="68"/>
      <c r="N1046" s="68"/>
      <c r="O1046" s="68"/>
      <c r="P1046" s="68"/>
    </row>
    <row r="1047" ht="39.95" hidden="1" customHeight="1" spans="1:16">
      <c r="A1047" s="63"/>
      <c r="B1047" s="64"/>
      <c r="C1047" s="59" t="s">
        <v>213</v>
      </c>
      <c r="D1047" s="59" t="s">
        <v>2874</v>
      </c>
      <c r="E1047" s="65">
        <v>701</v>
      </c>
      <c r="F1047" s="67"/>
      <c r="G1047" s="65"/>
      <c r="H1047" s="67"/>
      <c r="I1047" s="67"/>
      <c r="J1047" s="67"/>
      <c r="K1047" s="68"/>
      <c r="L1047" s="67"/>
      <c r="M1047" s="68" t="str">
        <f>INDEX(表结构总览!D:G,MATCH(D1047,表结构总览!D:D,0),4)</f>
        <v>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v>
      </c>
      <c r="N1047" s="68" t="s">
        <v>1583</v>
      </c>
      <c r="O1047" s="68" t="s">
        <v>484</v>
      </c>
      <c r="P1047" s="68"/>
    </row>
    <row r="1048" ht="39.95" hidden="1" customHeight="1" outlineLevel="1" spans="1:16">
      <c r="A1048" s="63"/>
      <c r="B1048" s="64"/>
      <c r="C1048" s="59" t="s">
        <v>213</v>
      </c>
      <c r="D1048" s="59" t="s">
        <v>2874</v>
      </c>
      <c r="E1048" s="65">
        <v>701</v>
      </c>
      <c r="F1048" s="67" t="s">
        <v>369</v>
      </c>
      <c r="G1048" s="65">
        <v>70101</v>
      </c>
      <c r="H1048" s="67" t="s">
        <v>1584</v>
      </c>
      <c r="I1048" s="67" t="s">
        <v>369</v>
      </c>
      <c r="J1048" s="67" t="str">
        <f>INDEX(数据元说明!A:F,MATCH(I1048,数据元说明!C:C,0),2)</f>
        <v>001010</v>
      </c>
      <c r="K1048" s="68" t="str">
        <f>INDEX(数据元说明!A:F,MATCH(I1048,数据元说明!C:C,0),5)</f>
        <v>12位人行支付行号或SWIFT行号。</v>
      </c>
      <c r="L1048" s="67" t="str">
        <f>INDEX(数据元说明!A:F,MATCH(I1048,数据元说明!C:C,0),6)</f>
        <v>C..30</v>
      </c>
      <c r="M1048" s="68" t="s">
        <v>2875</v>
      </c>
      <c r="N1048" s="68"/>
      <c r="O1048" s="68"/>
      <c r="P1048" s="69"/>
    </row>
    <row r="1049" ht="39.95" hidden="1" customHeight="1" outlineLevel="1" spans="1:16">
      <c r="A1049" s="63"/>
      <c r="B1049" s="64"/>
      <c r="C1049" s="59" t="s">
        <v>213</v>
      </c>
      <c r="D1049" s="59" t="s">
        <v>2874</v>
      </c>
      <c r="E1049" s="65">
        <v>701</v>
      </c>
      <c r="F1049" s="67" t="s">
        <v>373</v>
      </c>
      <c r="G1049" s="65">
        <v>70102</v>
      </c>
      <c r="H1049" s="67" t="s">
        <v>1588</v>
      </c>
      <c r="I1049" s="67" t="s">
        <v>373</v>
      </c>
      <c r="J1049" s="67" t="str">
        <f>INDEX(数据元说明!A:F,MATCH(I1049,数据元说明!C:C,0),2)</f>
        <v>001011</v>
      </c>
      <c r="K1049" s="68" t="str">
        <f>INDEX(数据元说明!A:F,MATCH(I1049,数据元说明!C:C,0),5)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49" s="67" t="str">
        <f>INDEX(数据元说明!A:F,MATCH(I1049,数据元说明!C:C,0),6)</f>
        <v>C..30</v>
      </c>
      <c r="M1049" s="68" t="s">
        <v>2488</v>
      </c>
      <c r="N1049" s="68"/>
      <c r="O1049" s="68"/>
      <c r="P1049" s="68"/>
    </row>
    <row r="1050" ht="39.95" hidden="1" customHeight="1" outlineLevel="1" spans="1:16">
      <c r="A1050" s="63"/>
      <c r="B1050" s="64"/>
      <c r="C1050" s="59" t="s">
        <v>213</v>
      </c>
      <c r="D1050" s="59" t="s">
        <v>2874</v>
      </c>
      <c r="E1050" s="65">
        <v>701</v>
      </c>
      <c r="F1050" s="67" t="s">
        <v>377</v>
      </c>
      <c r="G1050" s="65">
        <v>70103</v>
      </c>
      <c r="H1050" s="67" t="s">
        <v>1586</v>
      </c>
      <c r="I1050" s="67" t="s">
        <v>377</v>
      </c>
      <c r="J1050" s="67" t="str">
        <f>INDEX(数据元说明!A:F,MATCH(I1050,数据元说明!C:C,0),2)</f>
        <v>001012</v>
      </c>
      <c r="K1050" s="68" t="str">
        <f>INDEX(数据元说明!A:F,MATCH(I1050,数据元说明!C:C,0),5)</f>
        <v>银行内部机构号。应具有标识机构的唯一性。</v>
      </c>
      <c r="L1050" s="67" t="str">
        <f>INDEX(数据元说明!A:F,MATCH(I1050,数据元说明!C:C,0),6)</f>
        <v>C..30</v>
      </c>
      <c r="M1050" s="68" t="s">
        <v>2876</v>
      </c>
      <c r="N1050" s="68"/>
      <c r="O1050" s="68"/>
      <c r="P1050" s="69"/>
    </row>
    <row r="1051" ht="39.95" hidden="1" customHeight="1" outlineLevel="1" spans="1:16">
      <c r="A1051" s="63"/>
      <c r="B1051" s="64"/>
      <c r="C1051" s="59" t="s">
        <v>213</v>
      </c>
      <c r="D1051" s="59" t="s">
        <v>2874</v>
      </c>
      <c r="E1051" s="65">
        <v>701</v>
      </c>
      <c r="F1051" s="67" t="s">
        <v>488</v>
      </c>
      <c r="G1051" s="65">
        <v>70104</v>
      </c>
      <c r="H1051" s="67" t="s">
        <v>1699</v>
      </c>
      <c r="I1051" s="67" t="s">
        <v>488</v>
      </c>
      <c r="J1051" s="67" t="str">
        <f>INDEX(数据元说明!A:F,MATCH(I1051,数据元说明!C:C,0),2)</f>
        <v>002001</v>
      </c>
      <c r="K1051" s="68" t="str">
        <f>INDEX(数据元说明!A:F,MATCH(I1051,数据元说明!C:C,0),5)</f>
        <v>银行自定义的唯一识别客户的标识。供应链融资的填写供应链融资编码。</v>
      </c>
      <c r="L1051" s="67" t="str">
        <f>INDEX(数据元说明!A:F,MATCH(I1051,数据元说明!C:C,0),6)</f>
        <v>C..60</v>
      </c>
      <c r="M1051" s="68" t="s">
        <v>1711</v>
      </c>
      <c r="N1051" s="68" t="s">
        <v>1583</v>
      </c>
      <c r="O1051" s="68"/>
      <c r="P1051" s="69" t="s">
        <v>1634</v>
      </c>
    </row>
    <row r="1052" ht="39.95" hidden="1" customHeight="1" outlineLevel="1" spans="1:16">
      <c r="A1052" s="63"/>
      <c r="B1052" s="64"/>
      <c r="C1052" s="59" t="s">
        <v>213</v>
      </c>
      <c r="D1052" s="59" t="s">
        <v>2874</v>
      </c>
      <c r="E1052" s="65">
        <v>701</v>
      </c>
      <c r="F1052" s="67" t="s">
        <v>1837</v>
      </c>
      <c r="G1052" s="65">
        <v>70105</v>
      </c>
      <c r="H1052" s="67" t="s">
        <v>1838</v>
      </c>
      <c r="I1052" s="67" t="s">
        <v>325</v>
      </c>
      <c r="J1052" s="67" t="str">
        <f>INDEX(数据元说明!A:F,MATCH(I1052,数据元说明!C:C,0),2)</f>
        <v>001001</v>
      </c>
      <c r="K1052" s="68" t="str">
        <f>INDEX(数据元说明!A:F,MATCH(I1052,数据元说明!C:C,0),5)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052" s="67" t="str">
        <f>INDEX(数据元说明!A:F,MATCH(I1052,数据元说明!C:C,0),6)</f>
        <v>C..450</v>
      </c>
      <c r="M1052" s="68" t="s">
        <v>2300</v>
      </c>
      <c r="N1052" s="68" t="s">
        <v>1583</v>
      </c>
      <c r="O1052" s="68" t="s">
        <v>1695</v>
      </c>
      <c r="P1052" s="69" t="s">
        <v>1634</v>
      </c>
    </row>
    <row r="1053" ht="39.95" hidden="1" customHeight="1" outlineLevel="1" spans="1:16">
      <c r="A1053" s="63"/>
      <c r="B1053" s="64"/>
      <c r="C1053" s="59" t="s">
        <v>213</v>
      </c>
      <c r="D1053" s="59" t="s">
        <v>2874</v>
      </c>
      <c r="E1053" s="65">
        <v>701</v>
      </c>
      <c r="F1053" s="67" t="s">
        <v>1972</v>
      </c>
      <c r="G1053" s="65">
        <v>70106</v>
      </c>
      <c r="H1053" s="67" t="s">
        <v>1973</v>
      </c>
      <c r="I1053" s="67" t="s">
        <v>492</v>
      </c>
      <c r="J1053" s="67" t="str">
        <f>INDEX(数据元说明!A:F,MATCH(I1053,数据元说明!C:C,0),2)</f>
        <v>002002</v>
      </c>
      <c r="K1053" s="68" t="str">
        <f>INDEX(数据元说明!A:F,MATCH(I1053,数据元说明!C:C,0),5)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053" s="67" t="str">
        <f>INDEX(数据元说明!A:F,MATCH(I1053,数据元说明!C:C,0),6)</f>
        <v>C..60</v>
      </c>
      <c r="M1053" s="68"/>
      <c r="N1053" s="68" t="s">
        <v>1601</v>
      </c>
      <c r="O1053" s="68"/>
      <c r="P1053" s="69"/>
    </row>
    <row r="1054" ht="39.95" hidden="1" customHeight="1" outlineLevel="1" spans="1:16">
      <c r="A1054" s="63"/>
      <c r="B1054" s="64"/>
      <c r="C1054" s="59" t="s">
        <v>213</v>
      </c>
      <c r="D1054" s="59" t="s">
        <v>2874</v>
      </c>
      <c r="E1054" s="65">
        <v>701</v>
      </c>
      <c r="F1054" s="67" t="s">
        <v>1974</v>
      </c>
      <c r="G1054" s="65">
        <v>70107</v>
      </c>
      <c r="H1054" s="67" t="s">
        <v>1975</v>
      </c>
      <c r="I1054" s="67" t="s">
        <v>496</v>
      </c>
      <c r="J1054" s="67" t="str">
        <f>INDEX(数据元说明!A:F,MATCH(I1054,数据元说明!C:C,0),2)</f>
        <v>002003</v>
      </c>
      <c r="K1054" s="68" t="str">
        <f>INDEX(数据元说明!A:F,MATCH(I1054,数据元说明!C:C,0),5)</f>
        <v>与证件类别对应的证件号码。涉及个人身份证件时需按照本规范给定规则进行脱敏处理。</v>
      </c>
      <c r="L1054" s="67" t="str">
        <f>INDEX(数据元说明!A:F,MATCH(I1054,数据元说明!C:C,0),6)</f>
        <v>C..70</v>
      </c>
      <c r="M1054" s="68"/>
      <c r="N1054" s="68" t="s">
        <v>1601</v>
      </c>
      <c r="O1054" s="68"/>
      <c r="P1054" s="69"/>
    </row>
    <row r="1055" ht="39.95" hidden="1" customHeight="1" outlineLevel="1" spans="1:16">
      <c r="A1055" s="63"/>
      <c r="B1055" s="64"/>
      <c r="C1055" s="59" t="s">
        <v>213</v>
      </c>
      <c r="D1055" s="59" t="s">
        <v>2874</v>
      </c>
      <c r="E1055" s="65">
        <v>701</v>
      </c>
      <c r="F1055" s="67" t="s">
        <v>1017</v>
      </c>
      <c r="G1055" s="65">
        <v>70108</v>
      </c>
      <c r="H1055" s="67" t="s">
        <v>2877</v>
      </c>
      <c r="I1055" s="67" t="s">
        <v>1017</v>
      </c>
      <c r="J1055" s="67" t="str">
        <f>INDEX(数据元说明!A:F,MATCH(I1055,数据元说明!C:C,0),2)</f>
        <v>007001</v>
      </c>
      <c r="K1055" s="68" t="str">
        <f>INDEX(数据元说明!A:F,MATCH(I1055,数据元说明!C:C,0),5)</f>
        <v>填报银行授予客户授信额度的授信号码（或授信合同号码），该号码唯一标识该笔授信。若银行对该客户有多笔授信，应逐笔填列。</v>
      </c>
      <c r="L1055" s="67" t="str">
        <f>INDEX(数据元说明!A:F,MATCH(I1055,数据元说明!C:C,0),6)</f>
        <v>C..60</v>
      </c>
      <c r="M1055" s="68" t="s">
        <v>1679</v>
      </c>
      <c r="N1055" s="68" t="s">
        <v>1583</v>
      </c>
      <c r="O1055" s="68"/>
      <c r="P1055" s="68" t="s">
        <v>1634</v>
      </c>
    </row>
    <row r="1056" ht="39.95" hidden="1" customHeight="1" outlineLevel="1" spans="1:16">
      <c r="A1056" s="63"/>
      <c r="B1056" s="64"/>
      <c r="C1056" s="59" t="s">
        <v>213</v>
      </c>
      <c r="D1056" s="59" t="s">
        <v>2874</v>
      </c>
      <c r="E1056" s="65">
        <v>701</v>
      </c>
      <c r="F1056" s="67" t="s">
        <v>2878</v>
      </c>
      <c r="G1056" s="65">
        <v>70109</v>
      </c>
      <c r="H1056" s="67" t="s">
        <v>2879</v>
      </c>
      <c r="I1056" s="67" t="s">
        <v>1065</v>
      </c>
      <c r="J1056" s="67" t="str">
        <f>INDEX(数据元说明!A:F,MATCH(I1056,数据元说明!C:C,0),2)</f>
        <v>007013</v>
      </c>
      <c r="K1056" s="68" t="str">
        <f>INDEX(数据元说明!A:F,MATCH(I1056,数据元说明!C:C,0),5)</f>
        <v>银行自定义。</v>
      </c>
      <c r="L1056" s="67" t="str">
        <f>INDEX(数据元说明!A:F,MATCH(I1056,数据元说明!C:C,0),6)</f>
        <v>C..450</v>
      </c>
      <c r="M1056" s="68" t="s">
        <v>2880</v>
      </c>
      <c r="N1056" s="68"/>
      <c r="O1056" s="68"/>
      <c r="P1056" s="68"/>
    </row>
    <row r="1057" ht="39.95" hidden="1" customHeight="1" outlineLevel="1" spans="1:16">
      <c r="A1057" s="63"/>
      <c r="B1057" s="64"/>
      <c r="C1057" s="59" t="s">
        <v>213</v>
      </c>
      <c r="D1057" s="59" t="s">
        <v>2874</v>
      </c>
      <c r="E1057" s="65">
        <v>701</v>
      </c>
      <c r="F1057" s="67" t="s">
        <v>2881</v>
      </c>
      <c r="G1057" s="65">
        <v>70110</v>
      </c>
      <c r="H1057" s="67" t="s">
        <v>2882</v>
      </c>
      <c r="I1057" s="67" t="s">
        <v>345</v>
      </c>
      <c r="J1057" s="67" t="str">
        <f>INDEX(数据元说明!A:F,MATCH(I1057,数据元说明!C:C,0),2)</f>
        <v>001005</v>
      </c>
      <c r="K1057" s="68" t="str">
        <f>INDEX(数据元说明!A:F,MATCH(I1057,数据元说明!C:C,0),5)</f>
        <v>YYYYMMDD，默认值99991231。</v>
      </c>
      <c r="L1057" s="67" t="str">
        <f>INDEX(数据元说明!A:F,MATCH(I1057,数据元说明!C:C,0),6)</f>
        <v>C8</v>
      </c>
      <c r="M1057" s="68" t="s">
        <v>2883</v>
      </c>
      <c r="N1057" s="68" t="s">
        <v>1583</v>
      </c>
      <c r="O1057" s="68" t="s">
        <v>1745</v>
      </c>
      <c r="P1057" s="69"/>
    </row>
    <row r="1058" ht="39.95" hidden="1" customHeight="1" outlineLevel="1" spans="1:16">
      <c r="A1058" s="63"/>
      <c r="B1058" s="64"/>
      <c r="C1058" s="59" t="s">
        <v>213</v>
      </c>
      <c r="D1058" s="59" t="s">
        <v>2874</v>
      </c>
      <c r="E1058" s="65">
        <v>701</v>
      </c>
      <c r="F1058" s="67" t="s">
        <v>1021</v>
      </c>
      <c r="G1058" s="65">
        <v>70111</v>
      </c>
      <c r="H1058" s="67" t="s">
        <v>2884</v>
      </c>
      <c r="I1058" s="67" t="s">
        <v>1021</v>
      </c>
      <c r="J1058" s="67" t="str">
        <f>INDEX(数据元说明!A:F,MATCH(I1058,数据元说明!C:C,0),2)</f>
        <v>007002</v>
      </c>
      <c r="K1058" s="68" t="str">
        <f>INDEX(数据元说明!A:F,MATCH(I1058,数据元说明!C:C,0),5)</f>
        <v>单一法人授信，供应链融资，个人客户授信，同业客户授信，其他-银行自定义。无法以枚举类型填报的，以“其他-XX”填报，其中XX为银行自定义种类。</v>
      </c>
      <c r="L1058" s="67" t="str">
        <f>INDEX(数据元说明!A:F,MATCH(I1058,数据元说明!C:C,0),6)</f>
        <v>C..60</v>
      </c>
      <c r="M1058" s="68"/>
      <c r="N1058" s="68" t="s">
        <v>1583</v>
      </c>
      <c r="O1058" s="68" t="s">
        <v>2818</v>
      </c>
      <c r="P1058" s="69"/>
    </row>
    <row r="1059" ht="39.95" hidden="1" customHeight="1" outlineLevel="1" spans="1:16">
      <c r="A1059" s="63"/>
      <c r="B1059" s="64"/>
      <c r="C1059" s="59" t="s">
        <v>213</v>
      </c>
      <c r="D1059" s="59" t="s">
        <v>2874</v>
      </c>
      <c r="E1059" s="65">
        <v>701</v>
      </c>
      <c r="F1059" s="67" t="s">
        <v>1025</v>
      </c>
      <c r="G1059" s="65">
        <v>70112</v>
      </c>
      <c r="H1059" s="67" t="s">
        <v>2885</v>
      </c>
      <c r="I1059" s="67" t="s">
        <v>1025</v>
      </c>
      <c r="J1059" s="67" t="str">
        <f>INDEX(数据元说明!A:F,MATCH(I1059,数据元说明!C:C,0),2)</f>
        <v>007003</v>
      </c>
      <c r="K1059" s="68" t="str">
        <f>INDEX(数据元说明!A:F,MATCH(I1059,数据元说明!C:C,0),5)</f>
        <v>综合额度授信，低风险额度授信，信用卡额度授信，临时额度授信，专项额度授信，其他-银行自定义。无法以枚举类型填报的，以“其他-XX”填报，其中XX为银行自定义种类。</v>
      </c>
      <c r="L1059" s="67" t="str">
        <f>INDEX(数据元说明!A:F,MATCH(I1059,数据元说明!C:C,0),6)</f>
        <v>C..60</v>
      </c>
      <c r="M1059" s="68"/>
      <c r="N1059" s="68" t="s">
        <v>1601</v>
      </c>
      <c r="O1059" s="68"/>
      <c r="P1059" s="69"/>
    </row>
    <row r="1060" ht="39.95" hidden="1" customHeight="1" outlineLevel="1" spans="1:16">
      <c r="A1060" s="63"/>
      <c r="B1060" s="64"/>
      <c r="C1060" s="59" t="s">
        <v>213</v>
      </c>
      <c r="D1060" s="59" t="s">
        <v>2874</v>
      </c>
      <c r="E1060" s="65">
        <v>701</v>
      </c>
      <c r="F1060" s="67" t="s">
        <v>2886</v>
      </c>
      <c r="G1060" s="65">
        <v>70113</v>
      </c>
      <c r="H1060" s="67" t="s">
        <v>2887</v>
      </c>
      <c r="I1060" s="67" t="s">
        <v>634</v>
      </c>
      <c r="J1060" s="67" t="str">
        <f>INDEX(数据元说明!A:F,MATCH(I1060,数据元说明!C:C,0),2)</f>
        <v>003008</v>
      </c>
      <c r="K1060" s="68" t="str">
        <f>INDEX(数据元说明!A:F,MATCH(I1060,数据元说明!C:C,0),5)</f>
        <v>与币种相对应金额。</v>
      </c>
      <c r="L1060" s="67" t="str">
        <f>INDEX(数据元说明!A:F,MATCH(I1060,数据元说明!C:C,0),6)</f>
        <v>D20.2</v>
      </c>
      <c r="M1060" s="68"/>
      <c r="N1060" s="68" t="s">
        <v>1583</v>
      </c>
      <c r="O1060" s="68" t="s">
        <v>2888</v>
      </c>
      <c r="P1060" s="69"/>
    </row>
    <row r="1061" ht="39.95" hidden="1" customHeight="1" outlineLevel="1" spans="1:16">
      <c r="A1061" s="63"/>
      <c r="B1061" s="64"/>
      <c r="C1061" s="59" t="s">
        <v>213</v>
      </c>
      <c r="D1061" s="59" t="s">
        <v>2874</v>
      </c>
      <c r="E1061" s="65">
        <v>701</v>
      </c>
      <c r="F1061" s="67" t="s">
        <v>2889</v>
      </c>
      <c r="G1061" s="65">
        <v>70114</v>
      </c>
      <c r="H1061" s="67" t="s">
        <v>2890</v>
      </c>
      <c r="I1061" s="67" t="s">
        <v>634</v>
      </c>
      <c r="J1061" s="67" t="str">
        <f>INDEX(数据元说明!A:F,MATCH(I1061,数据元说明!C:C,0),2)</f>
        <v>003008</v>
      </c>
      <c r="K1061" s="68" t="str">
        <f>INDEX(数据元说明!A:F,MATCH(I1061,数据元说明!C:C,0),5)</f>
        <v>与币种相对应金额。</v>
      </c>
      <c r="L1061" s="67" t="str">
        <f>INDEX(数据元说明!A:F,MATCH(I1061,数据元说明!C:C,0),6)</f>
        <v>D20.2</v>
      </c>
      <c r="M1061" s="68"/>
      <c r="N1061" s="68" t="s">
        <v>1601</v>
      </c>
      <c r="O1061" s="68"/>
      <c r="P1061" s="69"/>
    </row>
    <row r="1062" ht="39.95" hidden="1" customHeight="1" outlineLevel="1" spans="1:16">
      <c r="A1062" s="63"/>
      <c r="B1062" s="64"/>
      <c r="C1062" s="59" t="s">
        <v>213</v>
      </c>
      <c r="D1062" s="59" t="s">
        <v>2874</v>
      </c>
      <c r="E1062" s="65">
        <v>701</v>
      </c>
      <c r="F1062" s="67" t="s">
        <v>642</v>
      </c>
      <c r="G1062" s="65">
        <v>70115</v>
      </c>
      <c r="H1062" s="67" t="s">
        <v>1914</v>
      </c>
      <c r="I1062" s="67" t="s">
        <v>642</v>
      </c>
      <c r="J1062" s="67" t="str">
        <f>INDEX(数据元说明!A:F,MATCH(I1062,数据元说明!C:C,0),2)</f>
        <v>003010</v>
      </c>
      <c r="K1062" s="68" t="str">
        <f>INDEX(数据元说明!A:F,MATCH(I1062,数据元说明!C:C,0),5)</f>
        <v>遵循《GB/T 12406 表示货币和资金的代码》的字母代码，如CNY。上述文件所列币种无法涵盖的，允许银行自定义填报。多个币种合计折算为人民币（本外币合计）的，填报为BWB。</v>
      </c>
      <c r="L1062" s="67" t="str">
        <f>INDEX(数据元说明!A:F,MATCH(I1062,数据元说明!C:C,0),6)</f>
        <v>C3</v>
      </c>
      <c r="M1062" s="68"/>
      <c r="N1062" s="68"/>
      <c r="O1062" s="68"/>
      <c r="P1062" s="69"/>
    </row>
    <row r="1063" ht="39.95" hidden="1" customHeight="1" outlineLevel="1" spans="1:16">
      <c r="A1063" s="63"/>
      <c r="B1063" s="64"/>
      <c r="C1063" s="59" t="s">
        <v>213</v>
      </c>
      <c r="D1063" s="59" t="s">
        <v>2874</v>
      </c>
      <c r="E1063" s="65">
        <v>701</v>
      </c>
      <c r="F1063" s="67" t="s">
        <v>2891</v>
      </c>
      <c r="G1063" s="65">
        <v>70116</v>
      </c>
      <c r="H1063" s="67" t="s">
        <v>2892</v>
      </c>
      <c r="I1063" s="67" t="s">
        <v>345</v>
      </c>
      <c r="J1063" s="67" t="str">
        <f>INDEX(数据元说明!A:F,MATCH(I1063,数据元说明!C:C,0),2)</f>
        <v>001005</v>
      </c>
      <c r="K1063" s="68" t="str">
        <f>INDEX(数据元说明!A:F,MATCH(I1063,数据元说明!C:C,0),5)</f>
        <v>YYYYMMDD，默认值99991231。</v>
      </c>
      <c r="L1063" s="67" t="str">
        <f>INDEX(数据元说明!A:F,MATCH(I1063,数据元说明!C:C,0),6)</f>
        <v>C8</v>
      </c>
      <c r="M1063" s="68"/>
      <c r="N1063" s="68"/>
      <c r="O1063" s="68"/>
      <c r="P1063" s="69"/>
    </row>
    <row r="1064" ht="39.95" hidden="1" customHeight="1" outlineLevel="1" spans="1:16">
      <c r="A1064" s="63"/>
      <c r="B1064" s="64"/>
      <c r="C1064" s="59" t="s">
        <v>213</v>
      </c>
      <c r="D1064" s="59" t="s">
        <v>2874</v>
      </c>
      <c r="E1064" s="65">
        <v>701</v>
      </c>
      <c r="F1064" s="67" t="s">
        <v>2893</v>
      </c>
      <c r="G1064" s="65">
        <v>70117</v>
      </c>
      <c r="H1064" s="67" t="s">
        <v>2894</v>
      </c>
      <c r="I1064" s="67" t="s">
        <v>345</v>
      </c>
      <c r="J1064" s="67" t="str">
        <f>INDEX(数据元说明!A:F,MATCH(I1064,数据元说明!C:C,0),2)</f>
        <v>001005</v>
      </c>
      <c r="K1064" s="68" t="str">
        <f>INDEX(数据元说明!A:F,MATCH(I1064,数据元说明!C:C,0),5)</f>
        <v>YYYYMMDD，默认值99991231。</v>
      </c>
      <c r="L1064" s="67" t="str">
        <f>INDEX(数据元说明!A:F,MATCH(I1064,数据元说明!C:C,0),6)</f>
        <v>C8</v>
      </c>
      <c r="M1064" s="68"/>
      <c r="N1064" s="68"/>
      <c r="O1064" s="68"/>
      <c r="P1064" s="69"/>
    </row>
    <row r="1065" ht="39.95" hidden="1" customHeight="1" outlineLevel="1" spans="1:16">
      <c r="A1065" s="63"/>
      <c r="B1065" s="64"/>
      <c r="C1065" s="59" t="s">
        <v>213</v>
      </c>
      <c r="D1065" s="59" t="s">
        <v>2874</v>
      </c>
      <c r="E1065" s="65">
        <v>701</v>
      </c>
      <c r="F1065" s="67" t="s">
        <v>2895</v>
      </c>
      <c r="G1065" s="65">
        <v>70118</v>
      </c>
      <c r="H1065" s="67" t="s">
        <v>2896</v>
      </c>
      <c r="I1065" s="67" t="s">
        <v>1049</v>
      </c>
      <c r="J1065" s="67" t="str">
        <f>INDEX(数据元说明!A:F,MATCH(I1065,数据元说明!C:C,0),2)</f>
        <v>007009</v>
      </c>
      <c r="K1065" s="68" t="str">
        <f>INDEX(数据元说明!A:F,MATCH(I1065,数据元说明!C:C,0),5)</f>
        <v>银行授信批复全文。</v>
      </c>
      <c r="L1065" s="67" t="str">
        <f>INDEX(数据元说明!A:F,MATCH(I1065,数据元说明!C:C,0),6)</f>
        <v>C..3000</v>
      </c>
      <c r="M1065" s="68"/>
      <c r="N1065" s="68" t="s">
        <v>1583</v>
      </c>
      <c r="O1065" s="68" t="s">
        <v>2818</v>
      </c>
      <c r="P1065" s="69"/>
    </row>
    <row r="1066" ht="39.95" hidden="1" customHeight="1" outlineLevel="1" spans="1:16">
      <c r="A1066" s="63"/>
      <c r="B1066" s="64"/>
      <c r="C1066" s="59" t="s">
        <v>213</v>
      </c>
      <c r="D1066" s="59" t="s">
        <v>2874</v>
      </c>
      <c r="E1066" s="65">
        <v>701</v>
      </c>
      <c r="F1066" s="67" t="s">
        <v>2897</v>
      </c>
      <c r="G1066" s="65">
        <v>70119</v>
      </c>
      <c r="H1066" s="67" t="s">
        <v>2898</v>
      </c>
      <c r="I1066" s="67" t="s">
        <v>389</v>
      </c>
      <c r="J1066" s="67" t="str">
        <f>INDEX(数据元说明!A:F,MATCH(I1066,数据元说明!C:C,0),2)</f>
        <v>001015</v>
      </c>
      <c r="K1066" s="68" t="str">
        <f>INDEX(数据元说明!A:F,MATCH(I1066,数据元说明!C:C,0),5)</f>
        <v>工号，银行自定义。</v>
      </c>
      <c r="L1066" s="67" t="str">
        <f>INDEX(数据元说明!A:F,MATCH(I1066,数据元说明!C:C,0),6)</f>
        <v>C..30</v>
      </c>
      <c r="M1066" s="68" t="s">
        <v>2899</v>
      </c>
      <c r="N1066" s="68" t="s">
        <v>1601</v>
      </c>
      <c r="O1066" s="68"/>
      <c r="P1066" s="69"/>
    </row>
    <row r="1067" ht="39.95" hidden="1" customHeight="1" outlineLevel="1" spans="1:16">
      <c r="A1067" s="63"/>
      <c r="B1067" s="64"/>
      <c r="C1067" s="59" t="s">
        <v>213</v>
      </c>
      <c r="D1067" s="59" t="s">
        <v>2874</v>
      </c>
      <c r="E1067" s="65">
        <v>701</v>
      </c>
      <c r="F1067" s="67" t="s">
        <v>2814</v>
      </c>
      <c r="G1067" s="65">
        <v>70120</v>
      </c>
      <c r="H1067" s="67" t="s">
        <v>2815</v>
      </c>
      <c r="I1067" s="67" t="s">
        <v>389</v>
      </c>
      <c r="J1067" s="67" t="str">
        <f>INDEX(数据元说明!A:F,MATCH(I1067,数据元说明!C:C,0),2)</f>
        <v>001015</v>
      </c>
      <c r="K1067" s="68" t="str">
        <f>INDEX(数据元说明!A:F,MATCH(I1067,数据元说明!C:C,0),5)</f>
        <v>工号，银行自定义。</v>
      </c>
      <c r="L1067" s="67" t="str">
        <f>INDEX(数据元说明!A:F,MATCH(I1067,数据元说明!C:C,0),6)</f>
        <v>C..30</v>
      </c>
      <c r="M1067" s="68" t="s">
        <v>2900</v>
      </c>
      <c r="N1067" s="68" t="s">
        <v>1583</v>
      </c>
      <c r="O1067" s="68" t="s">
        <v>2102</v>
      </c>
      <c r="P1067" s="69"/>
    </row>
    <row r="1068" ht="39.95" hidden="1" customHeight="1" outlineLevel="1" spans="1:16">
      <c r="A1068" s="63"/>
      <c r="B1068" s="64"/>
      <c r="C1068" s="59" t="s">
        <v>213</v>
      </c>
      <c r="D1068" s="59" t="s">
        <v>2874</v>
      </c>
      <c r="E1068" s="65">
        <v>701</v>
      </c>
      <c r="F1068" s="67" t="s">
        <v>2901</v>
      </c>
      <c r="G1068" s="65">
        <v>70121</v>
      </c>
      <c r="H1068" s="67" t="s">
        <v>2902</v>
      </c>
      <c r="I1068" s="67" t="s">
        <v>1045</v>
      </c>
      <c r="J1068" s="67" t="str">
        <f>INDEX(数据元说明!A:F,MATCH(I1068,数据元说明!C:C,0),2)</f>
        <v>007008</v>
      </c>
      <c r="K1068" s="68" t="str">
        <f>INDEX(数据元说明!A:F,MATCH(I1068,数据元说明!C:C,0),5)</f>
        <v>有效，无效。</v>
      </c>
      <c r="L1068" s="67" t="str">
        <f>INDEX(数据元说明!A:F,MATCH(I1068,数据元说明!C:C,0),6)</f>
        <v>C6</v>
      </c>
      <c r="M1068" s="68" t="s">
        <v>2903</v>
      </c>
      <c r="N1068" s="68" t="s">
        <v>1583</v>
      </c>
      <c r="O1068" s="68" t="s">
        <v>484</v>
      </c>
      <c r="P1068" s="69"/>
    </row>
    <row r="1069" ht="39.95" hidden="1" customHeight="1" outlineLevel="1" spans="1:16">
      <c r="A1069" s="63"/>
      <c r="B1069" s="64"/>
      <c r="C1069" s="59" t="s">
        <v>213</v>
      </c>
      <c r="D1069" s="59" t="s">
        <v>2874</v>
      </c>
      <c r="E1069" s="65">
        <v>701</v>
      </c>
      <c r="F1069" s="67" t="s">
        <v>484</v>
      </c>
      <c r="G1069" s="65">
        <v>70122</v>
      </c>
      <c r="H1069" s="67" t="s">
        <v>1623</v>
      </c>
      <c r="I1069" s="67" t="s">
        <v>484</v>
      </c>
      <c r="J1069" s="67" t="str">
        <f>INDEX(数据元说明!A:F,MATCH(I1069,数据元说明!C:C,0),2)</f>
        <v>001038</v>
      </c>
      <c r="K1069" s="68" t="str">
        <f>INDEX(数据元说明!A:F,MATCH(I1069,数据元说明!C:C,0),5)</f>
        <v>银行自定义。</v>
      </c>
      <c r="L1069" s="67" t="str">
        <f>INDEX(数据元说明!A:F,MATCH(I1069,数据元说明!C:C,0),6)</f>
        <v>C..600</v>
      </c>
      <c r="M1069" s="68" t="s">
        <v>1624</v>
      </c>
      <c r="N1069" s="68" t="s">
        <v>1601</v>
      </c>
      <c r="O1069" s="68"/>
      <c r="P1069" s="68"/>
    </row>
    <row r="1070" ht="39.95" hidden="1" customHeight="1" outlineLevel="1" spans="1:16">
      <c r="A1070" s="63"/>
      <c r="B1070" s="64"/>
      <c r="C1070" s="59" t="s">
        <v>213</v>
      </c>
      <c r="D1070" s="59" t="s">
        <v>2874</v>
      </c>
      <c r="E1070" s="65">
        <v>701</v>
      </c>
      <c r="F1070" s="67" t="s">
        <v>1625</v>
      </c>
      <c r="G1070" s="65">
        <v>70123</v>
      </c>
      <c r="H1070" s="67" t="s">
        <v>1626</v>
      </c>
      <c r="I1070" s="67" t="s">
        <v>345</v>
      </c>
      <c r="J1070" s="67" t="str">
        <f>INDEX(数据元说明!A:F,MATCH(I1070,数据元说明!C:C,0),2)</f>
        <v>001005</v>
      </c>
      <c r="K1070" s="68" t="str">
        <f>INDEX(数据元说明!A:F,MATCH(I1070,数据元说明!C:C,0),5)</f>
        <v>YYYYMMDD，默认值99991231。</v>
      </c>
      <c r="L1070" s="67" t="str">
        <f>INDEX(数据元说明!A:F,MATCH(I1070,数据元说明!C:C,0),6)</f>
        <v>C8</v>
      </c>
      <c r="M1070" s="68" t="s">
        <v>1627</v>
      </c>
      <c r="N1070" s="68"/>
      <c r="O1070" s="68"/>
      <c r="P1070" s="69"/>
    </row>
    <row r="1071" ht="39.95" hidden="1" customHeight="1" collapsed="1" spans="1:16">
      <c r="A1071" s="63"/>
      <c r="B1071" s="64"/>
      <c r="C1071" s="59" t="s">
        <v>217</v>
      </c>
      <c r="D1071" s="59" t="s">
        <v>2904</v>
      </c>
      <c r="E1071" s="65">
        <v>702</v>
      </c>
      <c r="F1071" s="67"/>
      <c r="G1071" s="65"/>
      <c r="H1071" s="67"/>
      <c r="I1071" s="67"/>
      <c r="J1071" s="67"/>
      <c r="K1071" s="68"/>
      <c r="L1071" s="67"/>
      <c r="M1071" s="68" t="str">
        <f>INDEX(表结构总览!D:G,MATCH(D1071,表结构总览!D:D,0),4)</f>
        <v>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v>
      </c>
      <c r="N1071" s="68" t="s">
        <v>1583</v>
      </c>
      <c r="O1071" s="68" t="s">
        <v>484</v>
      </c>
      <c r="P1071" s="68"/>
    </row>
    <row r="1072" ht="39.95" hidden="1" customHeight="1" outlineLevel="1" spans="1:16">
      <c r="A1072" s="63"/>
      <c r="B1072" s="64"/>
      <c r="C1072" s="59" t="s">
        <v>217</v>
      </c>
      <c r="D1072" s="59" t="s">
        <v>2904</v>
      </c>
      <c r="E1072" s="65">
        <v>702</v>
      </c>
      <c r="F1072" s="67" t="s">
        <v>373</v>
      </c>
      <c r="G1072" s="65">
        <v>70201</v>
      </c>
      <c r="H1072" s="67" t="s">
        <v>1588</v>
      </c>
      <c r="I1072" s="67" t="s">
        <v>373</v>
      </c>
      <c r="J1072" s="67" t="str">
        <f>INDEX(数据元说明!A:F,MATCH(I1072,数据元说明!C:C,0),2)</f>
        <v>001011</v>
      </c>
      <c r="K1072" s="68" t="str">
        <f>INDEX(数据元说明!A:F,MATCH(I1072,数据元说明!C:C,0),5)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72" s="67" t="str">
        <f>INDEX(数据元说明!A:F,MATCH(I1072,数据元说明!C:C,0),6)</f>
        <v>C..30</v>
      </c>
      <c r="M1072" s="68" t="s">
        <v>2488</v>
      </c>
      <c r="N1072" s="68"/>
      <c r="O1072" s="68"/>
      <c r="P1072" s="68"/>
    </row>
    <row r="1073" ht="39.95" hidden="1" customHeight="1" outlineLevel="1" spans="1:16">
      <c r="A1073" s="70"/>
      <c r="B1073" s="71"/>
      <c r="C1073" s="59" t="s">
        <v>217</v>
      </c>
      <c r="D1073" s="59" t="s">
        <v>2904</v>
      </c>
      <c r="E1073" s="65">
        <v>702</v>
      </c>
      <c r="F1073" s="67" t="s">
        <v>377</v>
      </c>
      <c r="G1073" s="65">
        <v>70202</v>
      </c>
      <c r="H1073" s="67" t="s">
        <v>1586</v>
      </c>
      <c r="I1073" s="67" t="s">
        <v>377</v>
      </c>
      <c r="J1073" s="67" t="str">
        <f>INDEX(数据元说明!A:F,MATCH(I1073,数据元说明!C:C,0),2)</f>
        <v>001012</v>
      </c>
      <c r="K1073" s="68" t="str">
        <f>INDEX(数据元说明!A:F,MATCH(I1073,数据元说明!C:C,0),5)</f>
        <v>银行内部机构号。应具有标识机构的唯一性。</v>
      </c>
      <c r="L1073" s="67" t="str">
        <f>INDEX(数据元说明!A:F,MATCH(I1073,数据元说明!C:C,0),6)</f>
        <v>C..30</v>
      </c>
      <c r="M1073" s="68" t="s">
        <v>2905</v>
      </c>
      <c r="N1073" s="68" t="s">
        <v>1583</v>
      </c>
      <c r="O1073" s="68" t="s">
        <v>484</v>
      </c>
      <c r="P1073" s="69"/>
    </row>
    <row r="1074" ht="39.95" hidden="1" customHeight="1" outlineLevel="1" spans="1:16">
      <c r="A1074" s="63"/>
      <c r="B1074" s="64"/>
      <c r="C1074" s="59" t="s">
        <v>217</v>
      </c>
      <c r="D1074" s="59" t="s">
        <v>2904</v>
      </c>
      <c r="E1074" s="65">
        <v>702</v>
      </c>
      <c r="F1074" s="67" t="s">
        <v>488</v>
      </c>
      <c r="G1074" s="65">
        <v>70203</v>
      </c>
      <c r="H1074" s="67" t="s">
        <v>1699</v>
      </c>
      <c r="I1074" s="67" t="s">
        <v>488</v>
      </c>
      <c r="J1074" s="67" t="str">
        <f>INDEX(数据元说明!A:F,MATCH(I1074,数据元说明!C:C,0),2)</f>
        <v>002001</v>
      </c>
      <c r="K1074" s="68" t="str">
        <f>INDEX(数据元说明!A:F,MATCH(I1074,数据元说明!C:C,0),5)</f>
        <v>银行自定义的唯一识别客户的标识。供应链融资的填写供应链融资编码。</v>
      </c>
      <c r="L1074" s="67" t="str">
        <f>INDEX(数据元说明!A:F,MATCH(I1074,数据元说明!C:C,0),6)</f>
        <v>C..60</v>
      </c>
      <c r="M1074" s="68" t="s">
        <v>1711</v>
      </c>
      <c r="N1074" s="68" t="s">
        <v>1583</v>
      </c>
      <c r="O1074" s="68"/>
      <c r="P1074" s="69" t="s">
        <v>1634</v>
      </c>
    </row>
    <row r="1075" ht="39.95" hidden="1" customHeight="1" outlineLevel="1" spans="1:16">
      <c r="A1075" s="63"/>
      <c r="B1075" s="64"/>
      <c r="C1075" s="59" t="s">
        <v>217</v>
      </c>
      <c r="D1075" s="59" t="s">
        <v>2904</v>
      </c>
      <c r="E1075" s="65">
        <v>702</v>
      </c>
      <c r="F1075" s="67" t="s">
        <v>1837</v>
      </c>
      <c r="G1075" s="65">
        <v>70204</v>
      </c>
      <c r="H1075" s="67" t="s">
        <v>1838</v>
      </c>
      <c r="I1075" s="67" t="s">
        <v>325</v>
      </c>
      <c r="J1075" s="67" t="str">
        <f>INDEX(数据元说明!A:F,MATCH(I1075,数据元说明!C:C,0),2)</f>
        <v>001001</v>
      </c>
      <c r="K1075" s="68" t="str">
        <f>INDEX(数据元说明!A:F,MATCH(I1075,数据元说明!C:C,0),5)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075" s="67" t="str">
        <f>INDEX(数据元说明!A:F,MATCH(I1075,数据元说明!C:C,0),6)</f>
        <v>C..450</v>
      </c>
      <c r="M1075" s="68" t="s">
        <v>2300</v>
      </c>
      <c r="N1075" s="68" t="s">
        <v>1583</v>
      </c>
      <c r="O1075" s="68" t="s">
        <v>484</v>
      </c>
      <c r="P1075" s="69"/>
    </row>
    <row r="1076" ht="39.95" hidden="1" customHeight="1" outlineLevel="1" spans="1:16">
      <c r="A1076" s="70"/>
      <c r="B1076" s="71"/>
      <c r="C1076" s="59" t="s">
        <v>217</v>
      </c>
      <c r="D1076" s="59" t="s">
        <v>2904</v>
      </c>
      <c r="E1076" s="65">
        <v>702</v>
      </c>
      <c r="F1076" s="67" t="s">
        <v>1140</v>
      </c>
      <c r="G1076" s="65">
        <v>70205</v>
      </c>
      <c r="H1076" s="67" t="s">
        <v>2906</v>
      </c>
      <c r="I1076" s="67" t="s">
        <v>1057</v>
      </c>
      <c r="J1076" s="67" t="str">
        <f>INDEX(数据元说明!A:F,MATCH(I1076,数据元说明!C:C,0),2)</f>
        <v>007011</v>
      </c>
      <c r="K1076" s="68" t="str">
        <f>INDEX(数据元说明!A:F,MATCH(I1076,数据元说明!C:C,0),5)</f>
        <v>个人贷款，对公贷款，信用卡贷款，非信贷类债权，股权。</v>
      </c>
      <c r="L1076" s="67" t="str">
        <f>INDEX(数据元说明!A:F,MATCH(I1076,数据元说明!C:C,0),6)</f>
        <v>C..30</v>
      </c>
      <c r="M1076" s="68" t="s">
        <v>2907</v>
      </c>
      <c r="N1076" s="68" t="s">
        <v>1601</v>
      </c>
      <c r="O1076" s="68"/>
      <c r="P1076" s="69"/>
    </row>
    <row r="1077" ht="39.95" hidden="1" customHeight="1" outlineLevel="1" spans="1:16">
      <c r="A1077" s="63"/>
      <c r="B1077" s="64"/>
      <c r="C1077" s="59" t="s">
        <v>217</v>
      </c>
      <c r="D1077" s="59" t="s">
        <v>2904</v>
      </c>
      <c r="E1077" s="65">
        <v>702</v>
      </c>
      <c r="F1077" s="67" t="s">
        <v>683</v>
      </c>
      <c r="G1077" s="65">
        <v>70206</v>
      </c>
      <c r="H1077" s="67" t="s">
        <v>2908</v>
      </c>
      <c r="I1077" s="67" t="s">
        <v>683</v>
      </c>
      <c r="J1077" s="67" t="str">
        <f>INDEX(数据元说明!A:F,MATCH(I1077,数据元说明!C:C,0),2)</f>
        <v>003020</v>
      </c>
      <c r="K1077" s="68" t="str">
        <f>INDEX(数据元说明!A:F,MATCH(I1077,数据元说明!C:C,0),5)</f>
        <v>合同号。</v>
      </c>
      <c r="L1077" s="67" t="str">
        <f>INDEX(数据元说明!A:F,MATCH(I1077,数据元说明!C:C,0),6)</f>
        <v>C..100</v>
      </c>
      <c r="M1077" s="68" t="s">
        <v>2909</v>
      </c>
      <c r="N1077" s="68" t="s">
        <v>1583</v>
      </c>
      <c r="O1077" s="68" t="s">
        <v>484</v>
      </c>
      <c r="P1077" s="69" t="s">
        <v>1634</v>
      </c>
    </row>
    <row r="1078" ht="39.95" hidden="1" customHeight="1" outlineLevel="1" spans="1:16">
      <c r="A1078" s="63"/>
      <c r="B1078" s="64"/>
      <c r="C1078" s="59" t="s">
        <v>217</v>
      </c>
      <c r="D1078" s="59" t="s">
        <v>2904</v>
      </c>
      <c r="E1078" s="65">
        <v>702</v>
      </c>
      <c r="F1078" s="67" t="s">
        <v>678</v>
      </c>
      <c r="G1078" s="65">
        <v>70207</v>
      </c>
      <c r="H1078" s="67" t="s">
        <v>2910</v>
      </c>
      <c r="I1078" s="67" t="s">
        <v>678</v>
      </c>
      <c r="J1078" s="67" t="str">
        <f>INDEX(数据元说明!A:F,MATCH(I1078,数据元说明!C:C,0),2)</f>
        <v>003019</v>
      </c>
      <c r="K1078" s="68" t="str">
        <f>INDEX(数据元说明!A:F,MATCH(I1078,数据元说明!C:C,0),5)</f>
        <v>借据统一编号。</v>
      </c>
      <c r="L1078" s="67" t="str">
        <f>INDEX(数据元说明!A:F,MATCH(I1078,数据元说明!C:C,0),6)</f>
        <v>C..100</v>
      </c>
      <c r="M1078" s="68" t="s">
        <v>2911</v>
      </c>
      <c r="N1078" s="68" t="s">
        <v>1583</v>
      </c>
      <c r="O1078" s="68" t="s">
        <v>484</v>
      </c>
      <c r="P1078" s="69" t="s">
        <v>1634</v>
      </c>
    </row>
    <row r="1079" ht="39.95" hidden="1" customHeight="1" outlineLevel="1" spans="1:16">
      <c r="A1079" s="70"/>
      <c r="B1079" s="71"/>
      <c r="C1079" s="59" t="s">
        <v>217</v>
      </c>
      <c r="D1079" s="59" t="s">
        <v>2904</v>
      </c>
      <c r="E1079" s="65">
        <v>702</v>
      </c>
      <c r="F1079" s="67" t="s">
        <v>642</v>
      </c>
      <c r="G1079" s="65">
        <v>70208</v>
      </c>
      <c r="H1079" s="67" t="s">
        <v>1914</v>
      </c>
      <c r="I1079" s="67" t="s">
        <v>642</v>
      </c>
      <c r="J1079" s="67" t="str">
        <f>INDEX(数据元说明!A:F,MATCH(I1079,数据元说明!C:C,0),2)</f>
        <v>003010</v>
      </c>
      <c r="K1079" s="68" t="str">
        <f>INDEX(数据元说明!A:F,MATCH(I1079,数据元说明!C:C,0),5)</f>
        <v>遵循《GB/T 12406 表示货币和资金的代码》的字母代码，如CNY。上述文件所列币种无法涵盖的，允许银行自定义填报。多个币种合计折算为人民币（本外币合计）的，填报为BWB。</v>
      </c>
      <c r="L1079" s="67" t="str">
        <f>INDEX(数据元说明!A:F,MATCH(I1079,数据元说明!C:C,0),6)</f>
        <v>C3</v>
      </c>
      <c r="M1079" s="69" t="s">
        <v>1679</v>
      </c>
      <c r="N1079" s="69"/>
      <c r="O1079" s="69"/>
      <c r="P1079" s="69"/>
    </row>
    <row r="1080" ht="39.95" hidden="1" customHeight="1" outlineLevel="1" spans="1:16">
      <c r="A1080" s="70"/>
      <c r="B1080" s="71"/>
      <c r="C1080" s="59" t="s">
        <v>217</v>
      </c>
      <c r="D1080" s="59" t="s">
        <v>2904</v>
      </c>
      <c r="E1080" s="65">
        <v>702</v>
      </c>
      <c r="F1080" s="67" t="s">
        <v>2912</v>
      </c>
      <c r="G1080" s="65">
        <v>70209</v>
      </c>
      <c r="H1080" s="67" t="s">
        <v>2913</v>
      </c>
      <c r="I1080" s="67" t="s">
        <v>634</v>
      </c>
      <c r="J1080" s="67" t="str">
        <f>INDEX(数据元说明!A:F,MATCH(I1080,数据元说明!C:C,0),2)</f>
        <v>003008</v>
      </c>
      <c r="K1080" s="68" t="str">
        <f>INDEX(数据元说明!A:F,MATCH(I1080,数据元说明!C:C,0),5)</f>
        <v>与币种相对应金额。</v>
      </c>
      <c r="L1080" s="67" t="str">
        <f>INDEX(数据元说明!A:F,MATCH(I1080,数据元说明!C:C,0),6)</f>
        <v>D20.2</v>
      </c>
      <c r="M1080" s="69" t="s">
        <v>2914</v>
      </c>
      <c r="N1080" s="69" t="s">
        <v>1583</v>
      </c>
      <c r="O1080" s="69" t="s">
        <v>484</v>
      </c>
      <c r="P1080" s="69"/>
    </row>
    <row r="1081" ht="39.95" hidden="1" customHeight="1" outlineLevel="1" spans="1:16">
      <c r="A1081" s="70"/>
      <c r="B1081" s="71"/>
      <c r="C1081" s="59" t="s">
        <v>217</v>
      </c>
      <c r="D1081" s="59" t="s">
        <v>2904</v>
      </c>
      <c r="E1081" s="65">
        <v>702</v>
      </c>
      <c r="F1081" s="67" t="s">
        <v>2915</v>
      </c>
      <c r="G1081" s="65">
        <v>70210</v>
      </c>
      <c r="H1081" s="67" t="s">
        <v>2916</v>
      </c>
      <c r="I1081" s="67" t="s">
        <v>666</v>
      </c>
      <c r="J1081" s="67" t="str">
        <f>INDEX(数据元说明!A:F,MATCH(I1081,数据元说明!C:C,0),2)</f>
        <v>003016</v>
      </c>
      <c r="K1081" s="68" t="str">
        <f>INDEX(数据元说明!A:F,MATCH(I1081,数据元说明!C:C,0),5)</f>
        <v>元。</v>
      </c>
      <c r="L1081" s="67" t="str">
        <f>INDEX(数据元说明!A:F,MATCH(I1081,数据元说明!C:C,0),6)</f>
        <v>D20.2</v>
      </c>
      <c r="M1081" s="69" t="s">
        <v>2914</v>
      </c>
      <c r="N1081" s="69" t="s">
        <v>1583</v>
      </c>
      <c r="O1081" s="69" t="s">
        <v>484</v>
      </c>
      <c r="P1081" s="69"/>
    </row>
    <row r="1082" ht="39.95" hidden="1" customHeight="1" outlineLevel="1" spans="1:16">
      <c r="A1082" s="70"/>
      <c r="B1082" s="71"/>
      <c r="C1082" s="59" t="s">
        <v>217</v>
      </c>
      <c r="D1082" s="59" t="s">
        <v>2904</v>
      </c>
      <c r="E1082" s="65">
        <v>702</v>
      </c>
      <c r="F1082" s="67" t="s">
        <v>2917</v>
      </c>
      <c r="G1082" s="65">
        <v>70211</v>
      </c>
      <c r="H1082" s="67" t="s">
        <v>2918</v>
      </c>
      <c r="I1082" s="67" t="s">
        <v>666</v>
      </c>
      <c r="J1082" s="67" t="str">
        <f>INDEX(数据元说明!A:F,MATCH(I1082,数据元说明!C:C,0),2)</f>
        <v>003016</v>
      </c>
      <c r="K1082" s="68" t="str">
        <f>INDEX(数据元说明!A:F,MATCH(I1082,数据元说明!C:C,0),5)</f>
        <v>元。</v>
      </c>
      <c r="L1082" s="67" t="str">
        <f>INDEX(数据元说明!A:F,MATCH(I1082,数据元说明!C:C,0),6)</f>
        <v>D20.2</v>
      </c>
      <c r="M1082" s="69" t="s">
        <v>2919</v>
      </c>
      <c r="N1082" s="68" t="s">
        <v>1583</v>
      </c>
      <c r="O1082" s="68" t="s">
        <v>484</v>
      </c>
      <c r="P1082" s="69"/>
    </row>
    <row r="1083" ht="39.95" hidden="1" customHeight="1" outlineLevel="1" spans="1:16">
      <c r="A1083" s="70"/>
      <c r="B1083" s="71"/>
      <c r="C1083" s="59" t="s">
        <v>217</v>
      </c>
      <c r="D1083" s="59" t="s">
        <v>2904</v>
      </c>
      <c r="E1083" s="65">
        <v>702</v>
      </c>
      <c r="F1083" s="67" t="s">
        <v>2920</v>
      </c>
      <c r="G1083" s="65">
        <v>70212</v>
      </c>
      <c r="H1083" s="67" t="s">
        <v>2921</v>
      </c>
      <c r="I1083" s="67" t="s">
        <v>345</v>
      </c>
      <c r="J1083" s="67" t="str">
        <f>INDEX(数据元说明!A:F,MATCH(I1083,数据元说明!C:C,0),2)</f>
        <v>001005</v>
      </c>
      <c r="K1083" s="68" t="str">
        <f>INDEX(数据元说明!A:F,MATCH(I1083,数据元说明!C:C,0),5)</f>
        <v>YYYYMMDD，默认值99991231。</v>
      </c>
      <c r="L1083" s="67" t="str">
        <f>INDEX(数据元说明!A:F,MATCH(I1083,数据元说明!C:C,0),6)</f>
        <v>C8</v>
      </c>
      <c r="M1083" s="69"/>
      <c r="N1083" s="69"/>
      <c r="O1083" s="69"/>
      <c r="P1083" s="69"/>
    </row>
    <row r="1084" ht="39.95" hidden="1" customHeight="1" outlineLevel="1" spans="1:16">
      <c r="A1084" s="70"/>
      <c r="B1084" s="71"/>
      <c r="C1084" s="59" t="s">
        <v>217</v>
      </c>
      <c r="D1084" s="59" t="s">
        <v>2904</v>
      </c>
      <c r="E1084" s="65">
        <v>702</v>
      </c>
      <c r="F1084" s="67" t="s">
        <v>2922</v>
      </c>
      <c r="G1084" s="65">
        <v>70213</v>
      </c>
      <c r="H1084" s="67" t="s">
        <v>2923</v>
      </c>
      <c r="I1084" s="67" t="s">
        <v>634</v>
      </c>
      <c r="J1084" s="67" t="str">
        <f>INDEX(数据元说明!A:F,MATCH(I1084,数据元说明!C:C,0),2)</f>
        <v>003008</v>
      </c>
      <c r="K1084" s="68" t="str">
        <f>INDEX(数据元说明!A:F,MATCH(I1084,数据元说明!C:C,0),5)</f>
        <v>与币种相对应金额。</v>
      </c>
      <c r="L1084" s="67" t="str">
        <f>INDEX(数据元说明!A:F,MATCH(I1084,数据元说明!C:C,0),6)</f>
        <v>D20.2</v>
      </c>
      <c r="M1084" s="69" t="s">
        <v>2924</v>
      </c>
      <c r="N1084" s="68" t="s">
        <v>1583</v>
      </c>
      <c r="O1084" s="68" t="s">
        <v>484</v>
      </c>
      <c r="P1084" s="69"/>
    </row>
    <row r="1085" ht="39.95" hidden="1" customHeight="1" outlineLevel="1" spans="1:16">
      <c r="A1085" s="70"/>
      <c r="B1085" s="71"/>
      <c r="C1085" s="59" t="s">
        <v>217</v>
      </c>
      <c r="D1085" s="59" t="s">
        <v>2904</v>
      </c>
      <c r="E1085" s="65">
        <v>702</v>
      </c>
      <c r="F1085" s="67" t="s">
        <v>2925</v>
      </c>
      <c r="G1085" s="65">
        <v>70214</v>
      </c>
      <c r="H1085" s="67" t="s">
        <v>2926</v>
      </c>
      <c r="I1085" s="67" t="s">
        <v>666</v>
      </c>
      <c r="J1085" s="67" t="str">
        <f>INDEX(数据元说明!A:F,MATCH(I1085,数据元说明!C:C,0),2)</f>
        <v>003016</v>
      </c>
      <c r="K1085" s="68" t="str">
        <f>INDEX(数据元说明!A:F,MATCH(I1085,数据元说明!C:C,0),5)</f>
        <v>元。</v>
      </c>
      <c r="L1085" s="67" t="str">
        <f>INDEX(数据元说明!A:F,MATCH(I1085,数据元说明!C:C,0),6)</f>
        <v>D20.2</v>
      </c>
      <c r="M1085" s="69" t="s">
        <v>2927</v>
      </c>
      <c r="N1085" s="68" t="s">
        <v>1583</v>
      </c>
      <c r="O1085" s="68" t="s">
        <v>484</v>
      </c>
      <c r="P1085" s="69"/>
    </row>
    <row r="1086" ht="39.95" hidden="1" customHeight="1" outlineLevel="1" spans="1:16">
      <c r="A1086" s="63"/>
      <c r="B1086" s="64"/>
      <c r="C1086" s="59" t="s">
        <v>217</v>
      </c>
      <c r="D1086" s="59" t="s">
        <v>2904</v>
      </c>
      <c r="E1086" s="65">
        <v>702</v>
      </c>
      <c r="F1086" s="67" t="s">
        <v>2928</v>
      </c>
      <c r="G1086" s="65">
        <v>70215</v>
      </c>
      <c r="H1086" s="67" t="s">
        <v>2929</v>
      </c>
      <c r="I1086" s="67" t="s">
        <v>345</v>
      </c>
      <c r="J1086" s="67" t="str">
        <f>INDEX(数据元说明!A:F,MATCH(I1086,数据元说明!C:C,0),2)</f>
        <v>001005</v>
      </c>
      <c r="K1086" s="68" t="str">
        <f>INDEX(数据元说明!A:F,MATCH(I1086,数据元说明!C:C,0),5)</f>
        <v>YYYYMMDD，默认值99991231。</v>
      </c>
      <c r="L1086" s="67" t="str">
        <f>INDEX(数据元说明!A:F,MATCH(I1086,数据元说明!C:C,0),6)</f>
        <v>C8</v>
      </c>
      <c r="M1086" s="68" t="s">
        <v>2930</v>
      </c>
      <c r="N1086" s="68" t="s">
        <v>1583</v>
      </c>
      <c r="O1086" s="68" t="s">
        <v>2102</v>
      </c>
      <c r="P1086" s="69"/>
    </row>
    <row r="1087" ht="39.95" hidden="1" customHeight="1" outlineLevel="1" spans="1:16">
      <c r="A1087" s="70"/>
      <c r="B1087" s="71"/>
      <c r="C1087" s="59" t="s">
        <v>217</v>
      </c>
      <c r="D1087" s="59" t="s">
        <v>2904</v>
      </c>
      <c r="E1087" s="65">
        <v>702</v>
      </c>
      <c r="F1087" s="67" t="s">
        <v>904</v>
      </c>
      <c r="G1087" s="65">
        <v>70216</v>
      </c>
      <c r="H1087" s="67" t="s">
        <v>2931</v>
      </c>
      <c r="I1087" s="67" t="s">
        <v>904</v>
      </c>
      <c r="J1087" s="67" t="str">
        <f>INDEX(数据元说明!A:F,MATCH(I1087,数据元说明!C:C,0),2)</f>
        <v>005041</v>
      </c>
      <c r="K1087" s="68" t="str">
        <f>INDEX(数据元说明!A:F,MATCH(I1087,数据元说明!C:C,0),5)</f>
        <v>未收回，部分收回，完全收回。</v>
      </c>
      <c r="L1087" s="67" t="str">
        <f>INDEX(数据元说明!A:F,MATCH(I1087,数据元说明!C:C,0),6)</f>
        <v>C..12</v>
      </c>
      <c r="M1087" s="69" t="s">
        <v>2932</v>
      </c>
      <c r="N1087" s="69" t="s">
        <v>1583</v>
      </c>
      <c r="O1087" s="69" t="s">
        <v>1660</v>
      </c>
      <c r="P1087" s="69"/>
    </row>
    <row r="1088" ht="39.95" hidden="1" customHeight="1" outlineLevel="1" spans="1:16">
      <c r="A1088" s="70"/>
      <c r="B1088" s="71"/>
      <c r="C1088" s="59" t="s">
        <v>217</v>
      </c>
      <c r="D1088" s="59" t="s">
        <v>2904</v>
      </c>
      <c r="E1088" s="65">
        <v>702</v>
      </c>
      <c r="F1088" s="67" t="s">
        <v>2933</v>
      </c>
      <c r="G1088" s="65">
        <v>70217</v>
      </c>
      <c r="H1088" s="67" t="s">
        <v>2934</v>
      </c>
      <c r="I1088" s="67" t="s">
        <v>389</v>
      </c>
      <c r="J1088" s="67" t="str">
        <f>INDEX(数据元说明!A:F,MATCH(I1088,数据元说明!C:C,0),2)</f>
        <v>001015</v>
      </c>
      <c r="K1088" s="68" t="str">
        <f>INDEX(数据元说明!A:F,MATCH(I1088,数据元说明!C:C,0),5)</f>
        <v>工号，银行自定义。</v>
      </c>
      <c r="L1088" s="67" t="str">
        <f>INDEX(数据元说明!A:F,MATCH(I1088,数据元说明!C:C,0),6)</f>
        <v>C..30</v>
      </c>
      <c r="M1088" s="69" t="s">
        <v>2935</v>
      </c>
      <c r="N1088" s="68" t="s">
        <v>1583</v>
      </c>
      <c r="O1088" s="68" t="s">
        <v>1576</v>
      </c>
      <c r="P1088" s="69"/>
    </row>
    <row r="1089" ht="39.95" hidden="1" customHeight="1" outlineLevel="1" spans="1:16">
      <c r="A1089" s="63"/>
      <c r="B1089" s="64"/>
      <c r="C1089" s="59" t="s">
        <v>217</v>
      </c>
      <c r="D1089" s="59" t="s">
        <v>2904</v>
      </c>
      <c r="E1089" s="65">
        <v>702</v>
      </c>
      <c r="F1089" s="67" t="s">
        <v>932</v>
      </c>
      <c r="G1089" s="65">
        <v>70218</v>
      </c>
      <c r="H1089" s="67" t="s">
        <v>2936</v>
      </c>
      <c r="I1089" s="67" t="s">
        <v>932</v>
      </c>
      <c r="J1089" s="67" t="str">
        <f>INDEX(数据元说明!A:F,MATCH(I1089,数据元说明!C:C,0),2)</f>
        <v>005048</v>
      </c>
      <c r="K1089" s="68" t="str">
        <f>INDEX(数据元说明!A:F,MATCH(I1089,数据元说明!C:C,0),5)</f>
        <v>账销案存，完全终结。</v>
      </c>
      <c r="L1089" s="67" t="str">
        <f>INDEX(数据元说明!A:F,MATCH(I1089,数据元说明!C:C,0),6)</f>
        <v>C12</v>
      </c>
      <c r="M1089" s="68" t="s">
        <v>2937</v>
      </c>
      <c r="N1089" s="68" t="s">
        <v>1601</v>
      </c>
      <c r="O1089" s="68"/>
      <c r="P1089" s="69"/>
    </row>
    <row r="1090" ht="39.95" hidden="1" customHeight="1" outlineLevel="1" spans="1:16">
      <c r="A1090" s="63"/>
      <c r="B1090" s="64"/>
      <c r="C1090" s="59" t="s">
        <v>217</v>
      </c>
      <c r="D1090" s="59" t="s">
        <v>2904</v>
      </c>
      <c r="E1090" s="65">
        <v>702</v>
      </c>
      <c r="F1090" s="67" t="s">
        <v>484</v>
      </c>
      <c r="G1090" s="65">
        <v>70219</v>
      </c>
      <c r="H1090" s="67" t="s">
        <v>1623</v>
      </c>
      <c r="I1090" s="67" t="s">
        <v>484</v>
      </c>
      <c r="J1090" s="67" t="str">
        <f>INDEX(数据元说明!A:F,MATCH(I1090,数据元说明!C:C,0),2)</f>
        <v>001038</v>
      </c>
      <c r="K1090" s="68" t="str">
        <f>INDEX(数据元说明!A:F,MATCH(I1090,数据元说明!C:C,0),5)</f>
        <v>银行自定义。</v>
      </c>
      <c r="L1090" s="67" t="str">
        <f>INDEX(数据元说明!A:F,MATCH(I1090,数据元说明!C:C,0),6)</f>
        <v>C..600</v>
      </c>
      <c r="M1090" s="68" t="s">
        <v>1624</v>
      </c>
      <c r="N1090" s="68" t="s">
        <v>1601</v>
      </c>
      <c r="O1090" s="68"/>
      <c r="P1090" s="68"/>
    </row>
    <row r="1091" ht="39.95" hidden="1" customHeight="1" outlineLevel="1" spans="1:16">
      <c r="A1091" s="63"/>
      <c r="B1091" s="64"/>
      <c r="C1091" s="59" t="s">
        <v>217</v>
      </c>
      <c r="D1091" s="59" t="s">
        <v>2904</v>
      </c>
      <c r="E1091" s="65">
        <v>702</v>
      </c>
      <c r="F1091" s="67" t="s">
        <v>1625</v>
      </c>
      <c r="G1091" s="65">
        <v>70220</v>
      </c>
      <c r="H1091" s="67" t="s">
        <v>1626</v>
      </c>
      <c r="I1091" s="67" t="s">
        <v>345</v>
      </c>
      <c r="J1091" s="67" t="str">
        <f>INDEX(数据元说明!A:F,MATCH(I1091,数据元说明!C:C,0),2)</f>
        <v>001005</v>
      </c>
      <c r="K1091" s="68" t="str">
        <f>INDEX(数据元说明!A:F,MATCH(I1091,数据元说明!C:C,0),5)</f>
        <v>YYYYMMDD，默认值99991231。</v>
      </c>
      <c r="L1091" s="67" t="str">
        <f>INDEX(数据元说明!A:F,MATCH(I1091,数据元说明!C:C,0),6)</f>
        <v>C8</v>
      </c>
      <c r="M1091" s="68" t="s">
        <v>1627</v>
      </c>
      <c r="N1091" s="68"/>
      <c r="O1091" s="68"/>
      <c r="P1091" s="69"/>
    </row>
    <row r="1092" ht="39.95" hidden="1" customHeight="1" collapsed="1" spans="1:16">
      <c r="A1092" s="63"/>
      <c r="B1092" s="64"/>
      <c r="C1092" s="59" t="s">
        <v>221</v>
      </c>
      <c r="D1092" s="59" t="s">
        <v>2938</v>
      </c>
      <c r="E1092" s="65">
        <v>703</v>
      </c>
      <c r="F1092" s="67"/>
      <c r="G1092" s="65"/>
      <c r="H1092" s="67"/>
      <c r="I1092" s="67"/>
      <c r="J1092" s="67"/>
      <c r="K1092" s="68"/>
      <c r="L1092" s="67"/>
      <c r="M1092" s="68" t="str">
        <f>INDEX(表结构总览!D:G,MATCH(D1092,表结构总览!D:D,0),4)</f>
        <v>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v>
      </c>
      <c r="N1092" s="68" t="s">
        <v>1583</v>
      </c>
      <c r="O1092" s="68" t="s">
        <v>484</v>
      </c>
      <c r="P1092" s="69"/>
    </row>
    <row r="1093" ht="39.95" hidden="1" customHeight="1" outlineLevel="1" spans="1:16">
      <c r="A1093" s="63"/>
      <c r="B1093" s="64"/>
      <c r="C1093" s="59" t="s">
        <v>221</v>
      </c>
      <c r="D1093" s="59" t="s">
        <v>2938</v>
      </c>
      <c r="E1093" s="65">
        <v>703</v>
      </c>
      <c r="F1093" s="67" t="s">
        <v>373</v>
      </c>
      <c r="G1093" s="65">
        <v>70301</v>
      </c>
      <c r="H1093" s="67" t="s">
        <v>1588</v>
      </c>
      <c r="I1093" s="67" t="s">
        <v>373</v>
      </c>
      <c r="J1093" s="67" t="str">
        <f>INDEX(数据元说明!A:F,MATCH(I1093,数据元说明!C:C,0),2)</f>
        <v>001011</v>
      </c>
      <c r="K1093" s="68" t="str">
        <f>INDEX(数据元说明!A:F,MATCH(I1093,数据元说明!C:C,0),5)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93" s="67" t="str">
        <f>INDEX(数据元说明!A:F,MATCH(I1093,数据元说明!C:C,0),6)</f>
        <v>C..30</v>
      </c>
      <c r="M1093" s="68" t="s">
        <v>2939</v>
      </c>
      <c r="N1093" s="68"/>
      <c r="O1093" s="68"/>
      <c r="P1093" s="68"/>
    </row>
    <row r="1094" ht="39.95" hidden="1" customHeight="1" outlineLevel="1" spans="1:16">
      <c r="A1094" s="70"/>
      <c r="B1094" s="71"/>
      <c r="C1094" s="59" t="s">
        <v>221</v>
      </c>
      <c r="D1094" s="59" t="s">
        <v>2938</v>
      </c>
      <c r="E1094" s="65">
        <v>703</v>
      </c>
      <c r="F1094" s="67" t="s">
        <v>377</v>
      </c>
      <c r="G1094" s="65">
        <v>70302</v>
      </c>
      <c r="H1094" s="67" t="s">
        <v>1586</v>
      </c>
      <c r="I1094" s="67" t="s">
        <v>377</v>
      </c>
      <c r="J1094" s="67" t="str">
        <f>INDEX(数据元说明!A:F,MATCH(I1094,数据元说明!C:C,0),2)</f>
        <v>001012</v>
      </c>
      <c r="K1094" s="68" t="str">
        <f>INDEX(数据元说明!A:F,MATCH(I1094,数据元说明!C:C,0),5)</f>
        <v>银行内部机构号。应具有标识机构的唯一性。</v>
      </c>
      <c r="L1094" s="67" t="str">
        <f>INDEX(数据元说明!A:F,MATCH(I1094,数据元说明!C:C,0),6)</f>
        <v>C..30</v>
      </c>
      <c r="M1094" s="68" t="s">
        <v>2940</v>
      </c>
      <c r="N1094" s="68"/>
      <c r="O1094" s="68"/>
      <c r="P1094" s="69"/>
    </row>
    <row r="1095" ht="39.95" hidden="1" customHeight="1" outlineLevel="1" spans="1:16">
      <c r="A1095" s="70"/>
      <c r="B1095" s="71"/>
      <c r="C1095" s="59" t="s">
        <v>221</v>
      </c>
      <c r="D1095" s="59" t="s">
        <v>2938</v>
      </c>
      <c r="E1095" s="65">
        <v>703</v>
      </c>
      <c r="F1095" s="67" t="s">
        <v>2941</v>
      </c>
      <c r="G1095" s="65">
        <v>70303</v>
      </c>
      <c r="H1095" s="67" t="s">
        <v>2942</v>
      </c>
      <c r="I1095" s="67" t="s">
        <v>683</v>
      </c>
      <c r="J1095" s="67" t="str">
        <f>INDEX(数据元说明!A:F,MATCH(I1095,数据元说明!C:C,0),2)</f>
        <v>003020</v>
      </c>
      <c r="K1095" s="68" t="str">
        <f>INDEX(数据元说明!A:F,MATCH(I1095,数据元说明!C:C,0),5)</f>
        <v>合同号。</v>
      </c>
      <c r="L1095" s="67" t="str">
        <f>INDEX(数据元说明!A:F,MATCH(I1095,数据元说明!C:C,0),6)</f>
        <v>C..100</v>
      </c>
      <c r="M1095" s="68" t="s">
        <v>2943</v>
      </c>
      <c r="N1095" s="68" t="s">
        <v>1583</v>
      </c>
      <c r="O1095" s="68" t="s">
        <v>484</v>
      </c>
      <c r="P1095" s="69" t="s">
        <v>1634</v>
      </c>
    </row>
    <row r="1096" ht="39.95" hidden="1" customHeight="1" outlineLevel="1" spans="1:16">
      <c r="A1096" s="70"/>
      <c r="B1096" s="71"/>
      <c r="C1096" s="59" t="s">
        <v>221</v>
      </c>
      <c r="D1096" s="59" t="s">
        <v>2938</v>
      </c>
      <c r="E1096" s="65">
        <v>703</v>
      </c>
      <c r="F1096" s="67" t="s">
        <v>2944</v>
      </c>
      <c r="G1096" s="65">
        <v>70304</v>
      </c>
      <c r="H1096" s="67" t="s">
        <v>2945</v>
      </c>
      <c r="I1096" s="67" t="s">
        <v>1075</v>
      </c>
      <c r="J1096" s="67" t="str">
        <f>INDEX(数据元说明!A:F,MATCH(I1096,数据元说明!C:C,0),2)</f>
        <v>007016</v>
      </c>
      <c r="K1096" s="68" t="str">
        <f>INDEX(数据元说明!A:F,MATCH(I1096,数据元说明!C:C,0),5)</f>
        <v>转入，转出。</v>
      </c>
      <c r="L1096" s="67" t="str">
        <f>INDEX(数据元说明!A:F,MATCH(I1096,数据元说明!C:C,0),6)</f>
        <v>C..30</v>
      </c>
      <c r="M1096" s="68"/>
      <c r="N1096" s="68" t="s">
        <v>1601</v>
      </c>
      <c r="O1096" s="68"/>
      <c r="P1096" s="69"/>
    </row>
    <row r="1097" ht="39.95" hidden="1" customHeight="1" outlineLevel="1" spans="1:16">
      <c r="A1097" s="70"/>
      <c r="B1097" s="71"/>
      <c r="C1097" s="59" t="s">
        <v>221</v>
      </c>
      <c r="D1097" s="59" t="s">
        <v>2938</v>
      </c>
      <c r="E1097" s="65">
        <v>703</v>
      </c>
      <c r="F1097" s="67" t="s">
        <v>2946</v>
      </c>
      <c r="G1097" s="65">
        <v>70305</v>
      </c>
      <c r="H1097" s="67" t="s">
        <v>2947</v>
      </c>
      <c r="I1097" s="67" t="s">
        <v>1071</v>
      </c>
      <c r="J1097" s="67" t="str">
        <f>INDEX(数据元说明!A:F,MATCH(I1097,数据元说明!C:C,0),2)</f>
        <v>007015</v>
      </c>
      <c r="K1097" s="68" t="str">
        <f>INDEX(数据元说明!A:F,MATCH(I1097,数据元说明!C:C,0),5)</f>
        <v>直接转让，信贷资产证券化，其他-银行自定义。无法以枚举类型填报的，以“其他-XX”填报，其中“XX”为银行自定义方式。</v>
      </c>
      <c r="L1097" s="67" t="str">
        <f>INDEX(数据元说明!A:F,MATCH(I1097,数据元说明!C:C,0),6)</f>
        <v>C..60</v>
      </c>
      <c r="M1097" s="68"/>
      <c r="N1097" s="68" t="s">
        <v>1583</v>
      </c>
      <c r="O1097" s="68" t="s">
        <v>1794</v>
      </c>
      <c r="P1097" s="69"/>
    </row>
    <row r="1098" ht="39.95" hidden="1" customHeight="1" outlineLevel="1" spans="1:16">
      <c r="A1098" s="70"/>
      <c r="B1098" s="71"/>
      <c r="C1098" s="59" t="s">
        <v>221</v>
      </c>
      <c r="D1098" s="59" t="s">
        <v>2938</v>
      </c>
      <c r="E1098" s="65">
        <v>703</v>
      </c>
      <c r="F1098" s="67" t="s">
        <v>2948</v>
      </c>
      <c r="G1098" s="65">
        <v>70306</v>
      </c>
      <c r="H1098" s="67" t="s">
        <v>2949</v>
      </c>
      <c r="I1098" s="67" t="s">
        <v>704</v>
      </c>
      <c r="J1098" s="67" t="str">
        <f>INDEX(数据元说明!A:F,MATCH(I1098,数据元说明!C:C,0),2)</f>
        <v>003025</v>
      </c>
      <c r="K1098" s="68" t="str">
        <f>INDEX(数据元说明!A:F,MATCH(I1098,数据元说明!C:C,0),5)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098" s="67" t="str">
        <f>INDEX(数据元说明!A:F,MATCH(I1098,数据元说明!C:C,0),6)</f>
        <v>C..60</v>
      </c>
      <c r="M1098" s="68"/>
      <c r="N1098" s="68" t="s">
        <v>1601</v>
      </c>
      <c r="O1098" s="68"/>
      <c r="P1098" s="69"/>
    </row>
    <row r="1099" ht="39.95" hidden="1" customHeight="1" outlineLevel="1" spans="1:16">
      <c r="A1099" s="70"/>
      <c r="B1099" s="71"/>
      <c r="C1099" s="59" t="s">
        <v>221</v>
      </c>
      <c r="D1099" s="59" t="s">
        <v>2938</v>
      </c>
      <c r="E1099" s="65">
        <v>703</v>
      </c>
      <c r="F1099" s="67" t="s">
        <v>2950</v>
      </c>
      <c r="G1099" s="65">
        <v>70307</v>
      </c>
      <c r="H1099" s="67" t="s">
        <v>2951</v>
      </c>
      <c r="I1099" s="67" t="s">
        <v>325</v>
      </c>
      <c r="J1099" s="67" t="str">
        <f>INDEX(数据元说明!A:F,MATCH(I1099,数据元说明!C:C,0),2)</f>
        <v>001001</v>
      </c>
      <c r="K1099" s="68" t="str">
        <f>INDEX(数据元说明!A:F,MATCH(I1099,数据元说明!C:C,0),5)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099" s="67" t="str">
        <f>INDEX(数据元说明!A:F,MATCH(I1099,数据元说明!C:C,0),6)</f>
        <v>C..450</v>
      </c>
      <c r="M1099" s="68"/>
      <c r="N1099" s="68" t="s">
        <v>1601</v>
      </c>
      <c r="O1099" s="68"/>
      <c r="P1099" s="69"/>
    </row>
    <row r="1100" ht="39.95" hidden="1" customHeight="1" outlineLevel="1" spans="1:16">
      <c r="A1100" s="70"/>
      <c r="B1100" s="71"/>
      <c r="C1100" s="59" t="s">
        <v>221</v>
      </c>
      <c r="D1100" s="59" t="s">
        <v>2938</v>
      </c>
      <c r="E1100" s="65">
        <v>703</v>
      </c>
      <c r="F1100" s="67" t="s">
        <v>2651</v>
      </c>
      <c r="G1100" s="65">
        <v>70308</v>
      </c>
      <c r="H1100" s="67" t="s">
        <v>2652</v>
      </c>
      <c r="I1100" s="67" t="s">
        <v>325</v>
      </c>
      <c r="J1100" s="67" t="str">
        <f>INDEX(数据元说明!A:F,MATCH(I1100,数据元说明!C:C,0),2)</f>
        <v>001001</v>
      </c>
      <c r="K1100" s="68" t="str">
        <f>INDEX(数据元说明!A:F,MATCH(I1100,数据元说明!C:C,0),5)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00" s="67" t="str">
        <f>INDEX(数据元说明!A:F,MATCH(I1100,数据元说明!C:C,0),6)</f>
        <v>C..450</v>
      </c>
      <c r="M1100" s="68" t="s">
        <v>2952</v>
      </c>
      <c r="N1100" s="68" t="s">
        <v>1583</v>
      </c>
      <c r="O1100" s="68" t="s">
        <v>1660</v>
      </c>
      <c r="P1100" s="69"/>
    </row>
    <row r="1101" ht="39.95" hidden="1" customHeight="1" outlineLevel="1" spans="1:16">
      <c r="A1101" s="63"/>
      <c r="B1101" s="64"/>
      <c r="C1101" s="59" t="s">
        <v>221</v>
      </c>
      <c r="D1101" s="59" t="s">
        <v>2938</v>
      </c>
      <c r="E1101" s="65">
        <v>703</v>
      </c>
      <c r="F1101" s="67" t="s">
        <v>2953</v>
      </c>
      <c r="G1101" s="65">
        <v>70309</v>
      </c>
      <c r="H1101" s="67" t="s">
        <v>2954</v>
      </c>
      <c r="I1101" s="67" t="s">
        <v>704</v>
      </c>
      <c r="J1101" s="67" t="str">
        <f>INDEX(数据元说明!A:F,MATCH(I1101,数据元说明!C:C,0),2)</f>
        <v>003025</v>
      </c>
      <c r="K1101" s="68" t="str">
        <f>INDEX(数据元说明!A:F,MATCH(I1101,数据元说明!C:C,0),5)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101" s="67" t="str">
        <f>INDEX(数据元说明!A:F,MATCH(I1101,数据元说明!C:C,0),6)</f>
        <v>C..60</v>
      </c>
      <c r="M1101" s="68" t="s">
        <v>2955</v>
      </c>
      <c r="N1101" s="68" t="s">
        <v>1583</v>
      </c>
      <c r="O1101" s="68" t="s">
        <v>484</v>
      </c>
      <c r="P1101" s="69"/>
    </row>
    <row r="1102" ht="39.95" hidden="1" customHeight="1" outlineLevel="1" spans="1:16">
      <c r="A1102" s="63"/>
      <c r="B1102" s="64"/>
      <c r="C1102" s="59" t="s">
        <v>221</v>
      </c>
      <c r="D1102" s="59" t="s">
        <v>2938</v>
      </c>
      <c r="E1102" s="65">
        <v>703</v>
      </c>
      <c r="F1102" s="67" t="s">
        <v>2956</v>
      </c>
      <c r="G1102" s="65">
        <v>70310</v>
      </c>
      <c r="H1102" s="67" t="s">
        <v>2957</v>
      </c>
      <c r="I1102" s="67" t="s">
        <v>325</v>
      </c>
      <c r="J1102" s="67" t="str">
        <f>INDEX(数据元说明!A:F,MATCH(I1102,数据元说明!C:C,0),2)</f>
        <v>001001</v>
      </c>
      <c r="K1102" s="68" t="str">
        <f>INDEX(数据元说明!A:F,MATCH(I1102,数据元说明!C:C,0),5)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02" s="67" t="str">
        <f>INDEX(数据元说明!A:F,MATCH(I1102,数据元说明!C:C,0),6)</f>
        <v>C..450</v>
      </c>
      <c r="M1102" s="68" t="s">
        <v>2958</v>
      </c>
      <c r="N1102" s="69" t="s">
        <v>1583</v>
      </c>
      <c r="O1102" s="69" t="s">
        <v>484</v>
      </c>
      <c r="P1102" s="69"/>
    </row>
    <row r="1103" ht="39.95" hidden="1" customHeight="1" outlineLevel="1" spans="1:16">
      <c r="A1103" s="70"/>
      <c r="B1103" s="71"/>
      <c r="C1103" s="59" t="s">
        <v>221</v>
      </c>
      <c r="D1103" s="59" t="s">
        <v>2938</v>
      </c>
      <c r="E1103" s="65">
        <v>703</v>
      </c>
      <c r="F1103" s="67" t="s">
        <v>642</v>
      </c>
      <c r="G1103" s="65">
        <v>70311</v>
      </c>
      <c r="H1103" s="67" t="s">
        <v>1914</v>
      </c>
      <c r="I1103" s="67" t="s">
        <v>642</v>
      </c>
      <c r="J1103" s="67" t="str">
        <f>INDEX(数据元说明!A:F,MATCH(I1103,数据元说明!C:C,0),2)</f>
        <v>003010</v>
      </c>
      <c r="K1103" s="68" t="str">
        <f>INDEX(数据元说明!A:F,MATCH(I1103,数据元说明!C:C,0),5)</f>
        <v>遵循《GB/T 12406 表示货币和资金的代码》的字母代码，如CNY。上述文件所列币种无法涵盖的，允许银行自定义填报。多个币种合计折算为人民币（本外币合计）的，填报为BWB。</v>
      </c>
      <c r="L1103" s="67" t="str">
        <f>INDEX(数据元说明!A:F,MATCH(I1103,数据元说明!C:C,0),6)</f>
        <v>C3</v>
      </c>
      <c r="M1103" s="68"/>
      <c r="N1103" s="68"/>
      <c r="O1103" s="68"/>
      <c r="P1103" s="69"/>
    </row>
    <row r="1104" ht="39.95" hidden="1" customHeight="1" outlineLevel="1" spans="1:16">
      <c r="A1104" s="70"/>
      <c r="B1104" s="71"/>
      <c r="C1104" s="59" t="s">
        <v>221</v>
      </c>
      <c r="D1104" s="59" t="s">
        <v>2938</v>
      </c>
      <c r="E1104" s="65">
        <v>703</v>
      </c>
      <c r="F1104" s="67" t="s">
        <v>2959</v>
      </c>
      <c r="G1104" s="65">
        <v>70312</v>
      </c>
      <c r="H1104" s="67" t="s">
        <v>2960</v>
      </c>
      <c r="I1104" s="67" t="s">
        <v>634</v>
      </c>
      <c r="J1104" s="67" t="str">
        <f>INDEX(数据元说明!A:F,MATCH(I1104,数据元说明!C:C,0),2)</f>
        <v>003008</v>
      </c>
      <c r="K1104" s="68" t="str">
        <f>INDEX(数据元说明!A:F,MATCH(I1104,数据元说明!C:C,0),5)</f>
        <v>与币种相对应金额。</v>
      </c>
      <c r="L1104" s="67" t="str">
        <f>INDEX(数据元说明!A:F,MATCH(I1104,数据元说明!C:C,0),6)</f>
        <v>D20.2</v>
      </c>
      <c r="M1104" s="69" t="s">
        <v>2961</v>
      </c>
      <c r="N1104" s="68" t="s">
        <v>1583</v>
      </c>
      <c r="O1104" s="68" t="s">
        <v>484</v>
      </c>
      <c r="P1104" s="69"/>
    </row>
    <row r="1105" ht="39.95" hidden="1" customHeight="1" outlineLevel="1" spans="1:16">
      <c r="A1105" s="70"/>
      <c r="B1105" s="71"/>
      <c r="C1105" s="59" t="s">
        <v>221</v>
      </c>
      <c r="D1105" s="59" t="s">
        <v>2938</v>
      </c>
      <c r="E1105" s="65">
        <v>703</v>
      </c>
      <c r="F1105" s="67" t="s">
        <v>2962</v>
      </c>
      <c r="G1105" s="65">
        <v>70313</v>
      </c>
      <c r="H1105" s="67" t="s">
        <v>2963</v>
      </c>
      <c r="I1105" s="67" t="s">
        <v>634</v>
      </c>
      <c r="J1105" s="67" t="str">
        <f>INDEX(数据元说明!A:F,MATCH(I1105,数据元说明!C:C,0),2)</f>
        <v>003008</v>
      </c>
      <c r="K1105" s="68" t="str">
        <f>INDEX(数据元说明!A:F,MATCH(I1105,数据元说明!C:C,0),5)</f>
        <v>与币种相对应金额。</v>
      </c>
      <c r="L1105" s="67" t="str">
        <f>INDEX(数据元说明!A:F,MATCH(I1105,数据元说明!C:C,0),6)</f>
        <v>D20.2</v>
      </c>
      <c r="M1105" s="69" t="s">
        <v>2964</v>
      </c>
      <c r="N1105" s="68" t="s">
        <v>1583</v>
      </c>
      <c r="O1105" s="68" t="s">
        <v>484</v>
      </c>
      <c r="P1105" s="69"/>
    </row>
    <row r="1106" ht="39.95" hidden="1" customHeight="1" outlineLevel="1" spans="1:16">
      <c r="A1106" s="70"/>
      <c r="B1106" s="71"/>
      <c r="C1106" s="59" t="s">
        <v>221</v>
      </c>
      <c r="D1106" s="59" t="s">
        <v>2938</v>
      </c>
      <c r="E1106" s="65">
        <v>703</v>
      </c>
      <c r="F1106" s="67" t="s">
        <v>2965</v>
      </c>
      <c r="G1106" s="65">
        <v>70314</v>
      </c>
      <c r="H1106" s="67" t="s">
        <v>2966</v>
      </c>
      <c r="I1106" s="67" t="s">
        <v>634</v>
      </c>
      <c r="J1106" s="67" t="str">
        <f>INDEX(数据元说明!A:F,MATCH(I1106,数据元说明!C:C,0),2)</f>
        <v>003008</v>
      </c>
      <c r="K1106" s="68" t="str">
        <f>INDEX(数据元说明!A:F,MATCH(I1106,数据元说明!C:C,0),5)</f>
        <v>与币种相对应金额。</v>
      </c>
      <c r="L1106" s="67" t="str">
        <f>INDEX(数据元说明!A:F,MATCH(I1106,数据元说明!C:C,0),6)</f>
        <v>D20.2</v>
      </c>
      <c r="M1106" s="69" t="s">
        <v>2967</v>
      </c>
      <c r="N1106" s="68" t="s">
        <v>1583</v>
      </c>
      <c r="O1106" s="68"/>
      <c r="P1106" s="69" t="s">
        <v>1648</v>
      </c>
    </row>
    <row r="1107" ht="39.95" hidden="1" customHeight="1" outlineLevel="1" spans="1:16">
      <c r="A1107" s="63"/>
      <c r="B1107" s="64"/>
      <c r="C1107" s="59" t="s">
        <v>221</v>
      </c>
      <c r="D1107" s="59" t="s">
        <v>2938</v>
      </c>
      <c r="E1107" s="65">
        <v>703</v>
      </c>
      <c r="F1107" s="67" t="s">
        <v>2968</v>
      </c>
      <c r="G1107" s="65">
        <v>70315</v>
      </c>
      <c r="H1107" s="67" t="s">
        <v>2969</v>
      </c>
      <c r="I1107" s="67" t="s">
        <v>345</v>
      </c>
      <c r="J1107" s="67" t="str">
        <f>INDEX(数据元说明!A:F,MATCH(I1107,数据元说明!C:C,0),2)</f>
        <v>001005</v>
      </c>
      <c r="K1107" s="68" t="str">
        <f>INDEX(数据元说明!A:F,MATCH(I1107,数据元说明!C:C,0),5)</f>
        <v>YYYYMMDD，默认值99991231。</v>
      </c>
      <c r="L1107" s="67" t="str">
        <f>INDEX(数据元说明!A:F,MATCH(I1107,数据元说明!C:C,0),6)</f>
        <v>C8</v>
      </c>
      <c r="M1107" s="69" t="s">
        <v>2970</v>
      </c>
      <c r="N1107" s="68" t="s">
        <v>1583</v>
      </c>
      <c r="O1107" s="68"/>
      <c r="P1107" s="69" t="s">
        <v>1648</v>
      </c>
    </row>
    <row r="1108" ht="39.95" hidden="1" customHeight="1" outlineLevel="1" spans="1:16">
      <c r="A1108" s="63"/>
      <c r="B1108" s="64"/>
      <c r="C1108" s="59" t="s">
        <v>221</v>
      </c>
      <c r="D1108" s="59" t="s">
        <v>2938</v>
      </c>
      <c r="E1108" s="65">
        <v>703</v>
      </c>
      <c r="F1108" s="67" t="s">
        <v>2971</v>
      </c>
      <c r="G1108" s="65">
        <v>70316</v>
      </c>
      <c r="H1108" s="67" t="s">
        <v>2972</v>
      </c>
      <c r="I1108" s="67" t="s">
        <v>345</v>
      </c>
      <c r="J1108" s="67" t="str">
        <f>INDEX(数据元说明!A:F,MATCH(I1108,数据元说明!C:C,0),2)</f>
        <v>001005</v>
      </c>
      <c r="K1108" s="68" t="str">
        <f>INDEX(数据元说明!A:F,MATCH(I1108,数据元说明!C:C,0),5)</f>
        <v>YYYYMMDD，默认值99991231。</v>
      </c>
      <c r="L1108" s="67" t="str">
        <f>INDEX(数据元说明!A:F,MATCH(I1108,数据元说明!C:C,0),6)</f>
        <v>C8</v>
      </c>
      <c r="M1108" s="69" t="s">
        <v>2973</v>
      </c>
      <c r="N1108" s="68" t="s">
        <v>1583</v>
      </c>
      <c r="O1108" s="68" t="s">
        <v>484</v>
      </c>
      <c r="P1108" s="69"/>
    </row>
    <row r="1109" ht="39.95" hidden="1" customHeight="1" outlineLevel="1" spans="1:16">
      <c r="A1109" s="63"/>
      <c r="B1109" s="64"/>
      <c r="C1109" s="59" t="s">
        <v>221</v>
      </c>
      <c r="D1109" s="59" t="s">
        <v>2938</v>
      </c>
      <c r="E1109" s="65">
        <v>703</v>
      </c>
      <c r="F1109" s="67" t="s">
        <v>2974</v>
      </c>
      <c r="G1109" s="65">
        <v>70317</v>
      </c>
      <c r="H1109" s="67" t="s">
        <v>2975</v>
      </c>
      <c r="I1109" s="67" t="s">
        <v>345</v>
      </c>
      <c r="J1109" s="67" t="str">
        <f>INDEX(数据元说明!A:F,MATCH(I1109,数据元说明!C:C,0),2)</f>
        <v>001005</v>
      </c>
      <c r="K1109" s="68" t="str">
        <f>INDEX(数据元说明!A:F,MATCH(I1109,数据元说明!C:C,0),5)</f>
        <v>YYYYMMDD，默认值99991231。</v>
      </c>
      <c r="L1109" s="67" t="str">
        <f>INDEX(数据元说明!A:F,MATCH(I1109,数据元说明!C:C,0),6)</f>
        <v>C8</v>
      </c>
      <c r="M1109" s="69" t="s">
        <v>2976</v>
      </c>
      <c r="N1109" s="68" t="s">
        <v>1601</v>
      </c>
      <c r="O1109" s="68"/>
      <c r="P1109" s="69"/>
    </row>
    <row r="1110" ht="39.95" hidden="1" customHeight="1" outlineLevel="1" spans="1:16">
      <c r="A1110" s="63"/>
      <c r="B1110" s="64"/>
      <c r="C1110" s="59" t="s">
        <v>221</v>
      </c>
      <c r="D1110" s="59" t="s">
        <v>2938</v>
      </c>
      <c r="E1110" s="65">
        <v>703</v>
      </c>
      <c r="F1110" s="67" t="s">
        <v>2977</v>
      </c>
      <c r="G1110" s="65">
        <v>70318</v>
      </c>
      <c r="H1110" s="67" t="s">
        <v>2978</v>
      </c>
      <c r="I1110" s="67" t="s">
        <v>634</v>
      </c>
      <c r="J1110" s="67" t="str">
        <f>INDEX(数据元说明!A:F,MATCH(I1110,数据元说明!C:C,0),2)</f>
        <v>003008</v>
      </c>
      <c r="K1110" s="68" t="str">
        <f>INDEX(数据元说明!A:F,MATCH(I1110,数据元说明!C:C,0),5)</f>
        <v>与币种相对应金额。</v>
      </c>
      <c r="L1110" s="67" t="str">
        <f>INDEX(数据元说明!A:F,MATCH(I1110,数据元说明!C:C,0),6)</f>
        <v>D20.2</v>
      </c>
      <c r="M1110" s="69" t="s">
        <v>2979</v>
      </c>
      <c r="N1110" s="68" t="s">
        <v>1601</v>
      </c>
      <c r="O1110" s="68"/>
      <c r="P1110" s="69"/>
    </row>
    <row r="1111" ht="39.95" hidden="1" customHeight="1" outlineLevel="1" spans="1:16">
      <c r="A1111" s="63"/>
      <c r="B1111" s="64"/>
      <c r="C1111" s="59" t="s">
        <v>221</v>
      </c>
      <c r="D1111" s="59" t="s">
        <v>2938</v>
      </c>
      <c r="E1111" s="65">
        <v>703</v>
      </c>
      <c r="F1111" s="68" t="s">
        <v>2695</v>
      </c>
      <c r="G1111" s="65">
        <v>70319</v>
      </c>
      <c r="H1111" s="68" t="s">
        <v>2696</v>
      </c>
      <c r="I1111" s="68" t="s">
        <v>335</v>
      </c>
      <c r="J1111" s="68" t="str">
        <f>INDEX(数据元说明!A:F,MATCH(I1111,数据元说明!C:C,0),2)</f>
        <v>001003</v>
      </c>
      <c r="K1111" s="68" t="str">
        <f>INDEX(数据元说明!A:F,MATCH(I1111,数据元说明!C:C,0),5)</f>
        <v>百分比为单位，即1/100，保留两位小数。如4.5%则填报为4.50。</v>
      </c>
      <c r="L1111" s="68" t="str">
        <f>INDEX(数据元说明!A:F,MATCH(I1111,数据元说明!C:C,0),6)</f>
        <v>D20.2</v>
      </c>
      <c r="M1111" s="68" t="s">
        <v>2740</v>
      </c>
      <c r="N1111" s="68" t="s">
        <v>1601</v>
      </c>
      <c r="O1111" s="68"/>
      <c r="P1111" s="68"/>
    </row>
    <row r="1112" ht="39.95" hidden="1" customHeight="1" outlineLevel="1" spans="1:16">
      <c r="A1112" s="63"/>
      <c r="B1112" s="64"/>
      <c r="C1112" s="59" t="s">
        <v>221</v>
      </c>
      <c r="D1112" s="59" t="s">
        <v>2938</v>
      </c>
      <c r="E1112" s="65">
        <v>703</v>
      </c>
      <c r="F1112" s="68" t="s">
        <v>2698</v>
      </c>
      <c r="G1112" s="65">
        <v>70320</v>
      </c>
      <c r="H1112" s="68" t="s">
        <v>2699</v>
      </c>
      <c r="I1112" s="68" t="s">
        <v>642</v>
      </c>
      <c r="J1112" s="68" t="str">
        <f>INDEX(数据元说明!A:F,MATCH(I1112,数据元说明!C:C,0),2)</f>
        <v>003010</v>
      </c>
      <c r="K1112" s="68" t="str">
        <f>INDEX(数据元说明!A:F,MATCH(I1112,数据元说明!C:C,0),5)</f>
        <v>遵循《GB/T 12406 表示货币和资金的代码》的字母代码，如CNY。上述文件所列币种无法涵盖的，允许银行自定义填报。多个币种合计折算为人民币（本外币合计）的，填报为BWB。</v>
      </c>
      <c r="L1112" s="68" t="str">
        <f>INDEX(数据元说明!A:F,MATCH(I1112,数据元说明!C:C,0),6)</f>
        <v>C3</v>
      </c>
      <c r="M1112" s="68" t="s">
        <v>2980</v>
      </c>
      <c r="N1112" s="68" t="s">
        <v>1601</v>
      </c>
      <c r="O1112" s="68"/>
      <c r="P1112" s="68"/>
    </row>
    <row r="1113" ht="39.95" hidden="1" customHeight="1" outlineLevel="1" spans="1:16">
      <c r="A1113" s="63"/>
      <c r="B1113" s="64"/>
      <c r="C1113" s="59" t="s">
        <v>221</v>
      </c>
      <c r="D1113" s="59" t="s">
        <v>2938</v>
      </c>
      <c r="E1113" s="65">
        <v>703</v>
      </c>
      <c r="F1113" s="68" t="s">
        <v>2701</v>
      </c>
      <c r="G1113" s="65">
        <v>70321</v>
      </c>
      <c r="H1113" s="68" t="s">
        <v>2702</v>
      </c>
      <c r="I1113" s="68" t="s">
        <v>634</v>
      </c>
      <c r="J1113" s="68" t="str">
        <f>INDEX(数据元说明!A:F,MATCH(I1113,数据元说明!C:C,0),2)</f>
        <v>003008</v>
      </c>
      <c r="K1113" s="68" t="str">
        <f>INDEX(数据元说明!A:F,MATCH(I1113,数据元说明!C:C,0),5)</f>
        <v>与币种相对应金额。</v>
      </c>
      <c r="L1113" s="68" t="str">
        <f>INDEX(数据元说明!A:F,MATCH(I1113,数据元说明!C:C,0),6)</f>
        <v>D20.2</v>
      </c>
      <c r="M1113" s="68" t="s">
        <v>2981</v>
      </c>
      <c r="N1113" s="68" t="s">
        <v>1601</v>
      </c>
      <c r="O1113" s="68"/>
      <c r="P1113" s="68"/>
    </row>
    <row r="1114" ht="39.95" hidden="1" customHeight="1" outlineLevel="1" spans="1:16">
      <c r="A1114" s="63"/>
      <c r="B1114" s="64"/>
      <c r="C1114" s="59" t="s">
        <v>221</v>
      </c>
      <c r="D1114" s="59" t="s">
        <v>2938</v>
      </c>
      <c r="E1114" s="65">
        <v>703</v>
      </c>
      <c r="F1114" s="68" t="s">
        <v>1087</v>
      </c>
      <c r="G1114" s="65">
        <v>70322</v>
      </c>
      <c r="H1114" s="68" t="s">
        <v>2982</v>
      </c>
      <c r="I1114" s="68" t="s">
        <v>1087</v>
      </c>
      <c r="J1114" s="68" t="str">
        <f>INDEX(数据元说明!A:F,MATCH(I1114,数据元说明!C:C,0),2)</f>
        <v>007019</v>
      </c>
      <c r="K1114" s="68" t="str">
        <f>INDEX(数据元说明!A:F,MATCH(I1114,数据元说明!C:C,0),5)</f>
        <v>银登中心，证券交易所，银行间市场，其他-银行自定义。无法以枚举类型填报的，以“其他-XX”填报，其中“XX”为银行自定义交易平台。</v>
      </c>
      <c r="L1114" s="68"/>
      <c r="M1114" s="68" t="s">
        <v>2983</v>
      </c>
      <c r="N1114" s="68"/>
      <c r="O1114" s="68"/>
      <c r="P1114" s="68"/>
    </row>
    <row r="1115" ht="39.95" hidden="1" customHeight="1" outlineLevel="1" spans="1:16">
      <c r="A1115" s="63"/>
      <c r="B1115" s="64"/>
      <c r="C1115" s="59" t="s">
        <v>221</v>
      </c>
      <c r="D1115" s="59" t="s">
        <v>2938</v>
      </c>
      <c r="E1115" s="65">
        <v>703</v>
      </c>
      <c r="F1115" s="68" t="s">
        <v>2984</v>
      </c>
      <c r="G1115" s="65">
        <v>70323</v>
      </c>
      <c r="H1115" s="68" t="s">
        <v>2985</v>
      </c>
      <c r="I1115" s="68" t="s">
        <v>330</v>
      </c>
      <c r="J1115" s="68" t="str">
        <f>INDEX(数据元说明!A:F,MATCH(I1115,数据元说明!C:C,0),2)</f>
        <v>001002</v>
      </c>
      <c r="K1115" s="68" t="str">
        <f>INDEX(数据元说明!A:F,MATCH(I1115,数据元说明!C:C,0),5)</f>
        <v>是，否。</v>
      </c>
      <c r="L1115" s="68" t="str">
        <f>INDEX(数据元说明!A:F,MATCH(I1115,数据元说明!C:C,0),6)</f>
        <v>C3</v>
      </c>
      <c r="M1115" s="68" t="s">
        <v>2986</v>
      </c>
      <c r="N1115" s="68" t="s">
        <v>1601</v>
      </c>
      <c r="O1115" s="68"/>
      <c r="P1115" s="68"/>
    </row>
    <row r="1116" ht="39.95" hidden="1" customHeight="1" outlineLevel="1" spans="1:16">
      <c r="A1116" s="63"/>
      <c r="B1116" s="64"/>
      <c r="C1116" s="59" t="s">
        <v>221</v>
      </c>
      <c r="D1116" s="59" t="s">
        <v>2938</v>
      </c>
      <c r="E1116" s="65">
        <v>703</v>
      </c>
      <c r="F1116" s="68" t="s">
        <v>2987</v>
      </c>
      <c r="G1116" s="65">
        <v>70324</v>
      </c>
      <c r="H1116" s="68" t="s">
        <v>2988</v>
      </c>
      <c r="I1116" s="68" t="s">
        <v>908</v>
      </c>
      <c r="J1116" s="68" t="str">
        <f>INDEX(数据元说明!A:F,MATCH(I1116,数据元说明!C:C,0),2)</f>
        <v>005042</v>
      </c>
      <c r="K1116" s="68" t="str">
        <f>INDEX(数据元说明!A:F,MATCH(I1116,数据元说明!C:C,0),5)</f>
        <v>未生效，有效，撤销，终结，其他-银行自定义。无法以枚举类型填报的，以“其他-XX”填报，其中“XX”为银行自定义状态。</v>
      </c>
      <c r="L1116" s="68" t="str">
        <f>INDEX(数据元说明!A:F,MATCH(I1116,数据元说明!C:C,0),6)</f>
        <v>C..30</v>
      </c>
      <c r="M1116" s="68" t="s">
        <v>2989</v>
      </c>
      <c r="N1116" s="68" t="s">
        <v>1601</v>
      </c>
      <c r="O1116" s="68"/>
      <c r="P1116" s="68"/>
    </row>
    <row r="1117" ht="39.95" hidden="1" customHeight="1" outlineLevel="1" spans="1:16">
      <c r="A1117" s="63"/>
      <c r="B1117" s="64"/>
      <c r="C1117" s="59" t="s">
        <v>221</v>
      </c>
      <c r="D1117" s="59" t="s">
        <v>2938</v>
      </c>
      <c r="E1117" s="65">
        <v>703</v>
      </c>
      <c r="F1117" s="67" t="s">
        <v>484</v>
      </c>
      <c r="G1117" s="65">
        <v>70325</v>
      </c>
      <c r="H1117" s="67" t="s">
        <v>1623</v>
      </c>
      <c r="I1117" s="67" t="s">
        <v>484</v>
      </c>
      <c r="J1117" s="67" t="str">
        <f>INDEX(数据元说明!A:F,MATCH(I1117,数据元说明!C:C,0),2)</f>
        <v>001038</v>
      </c>
      <c r="K1117" s="68" t="str">
        <f>INDEX(数据元说明!A:F,MATCH(I1117,数据元说明!C:C,0),5)</f>
        <v>银行自定义。</v>
      </c>
      <c r="L1117" s="67" t="str">
        <f>INDEX(数据元说明!A:F,MATCH(I1117,数据元说明!C:C,0),6)</f>
        <v>C..600</v>
      </c>
      <c r="M1117" s="68" t="s">
        <v>1624</v>
      </c>
      <c r="N1117" s="68" t="s">
        <v>1601</v>
      </c>
      <c r="O1117" s="68"/>
      <c r="P1117" s="68"/>
    </row>
    <row r="1118" ht="39.95" hidden="1" customHeight="1" outlineLevel="1" spans="1:16">
      <c r="A1118" s="63"/>
      <c r="B1118" s="64"/>
      <c r="C1118" s="59" t="s">
        <v>221</v>
      </c>
      <c r="D1118" s="59" t="s">
        <v>2938</v>
      </c>
      <c r="E1118" s="65">
        <v>703</v>
      </c>
      <c r="F1118" s="67" t="s">
        <v>1625</v>
      </c>
      <c r="G1118" s="65">
        <v>70326</v>
      </c>
      <c r="H1118" s="67" t="s">
        <v>1626</v>
      </c>
      <c r="I1118" s="67" t="s">
        <v>345</v>
      </c>
      <c r="J1118" s="67" t="str">
        <f>INDEX(数据元说明!A:F,MATCH(I1118,数据元说明!C:C,0),2)</f>
        <v>001005</v>
      </c>
      <c r="K1118" s="68" t="str">
        <f>INDEX(数据元说明!A:F,MATCH(I1118,数据元说明!C:C,0),5)</f>
        <v>YYYYMMDD，默认值99991231。</v>
      </c>
      <c r="L1118" s="67" t="str">
        <f>INDEX(数据元说明!A:F,MATCH(I1118,数据元说明!C:C,0),6)</f>
        <v>C8</v>
      </c>
      <c r="M1118" s="68" t="s">
        <v>1627</v>
      </c>
      <c r="N1118" s="68"/>
      <c r="O1118" s="68"/>
      <c r="P1118" s="69"/>
    </row>
    <row r="1119" ht="39.95" hidden="1" customHeight="1" collapsed="1" spans="1:16">
      <c r="A1119" s="63"/>
      <c r="B1119" s="64"/>
      <c r="C1119" s="59" t="s">
        <v>225</v>
      </c>
      <c r="D1119" s="59" t="s">
        <v>2990</v>
      </c>
      <c r="E1119" s="65">
        <v>704</v>
      </c>
      <c r="F1119" s="67"/>
      <c r="G1119" s="65"/>
      <c r="H1119" s="67"/>
      <c r="I1119" s="67"/>
      <c r="J1119" s="67"/>
      <c r="K1119" s="68"/>
      <c r="L1119" s="67"/>
      <c r="M1119" s="68" t="str">
        <f>INDEX(表结构总览!D:G,MATCH(D1119,表结构总览!D:D,0),4)</f>
        <v>本表报送信贷资产转让合同与被转让贷款借据的对应关系，一个转让合同对应多个借据的，按借据填报多条记录。对于信用卡资产转让，以信用卡账号填报为借据号。票据的买卖、买入返售、卖出回购不在本表填报。</v>
      </c>
      <c r="N1119" s="68" t="s">
        <v>1583</v>
      </c>
      <c r="O1119" s="68" t="s">
        <v>484</v>
      </c>
      <c r="P1119" s="69"/>
    </row>
    <row r="1120" ht="39.95" hidden="1" customHeight="1" outlineLevel="1" spans="1:16">
      <c r="A1120" s="63"/>
      <c r="B1120" s="64"/>
      <c r="C1120" s="59" t="s">
        <v>225</v>
      </c>
      <c r="D1120" s="59" t="s">
        <v>2990</v>
      </c>
      <c r="E1120" s="65">
        <v>704</v>
      </c>
      <c r="F1120" s="67" t="s">
        <v>373</v>
      </c>
      <c r="G1120" s="65">
        <v>70401</v>
      </c>
      <c r="H1120" s="67" t="s">
        <v>1588</v>
      </c>
      <c r="I1120" s="67" t="s">
        <v>373</v>
      </c>
      <c r="J1120" s="67" t="str">
        <f>INDEX(数据元说明!A:F,MATCH(I1120,数据元说明!C:C,0),2)</f>
        <v>001011</v>
      </c>
      <c r="K1120" s="68" t="str">
        <f>INDEX(数据元说明!A:F,MATCH(I1120,数据元说明!C:C,0),5)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20" s="67" t="str">
        <f>INDEX(数据元说明!A:F,MATCH(I1120,数据元说明!C:C,0),6)</f>
        <v>C..30</v>
      </c>
      <c r="M1120" s="68" t="s">
        <v>2488</v>
      </c>
      <c r="N1120" s="68"/>
      <c r="O1120" s="68"/>
      <c r="P1120" s="68"/>
    </row>
    <row r="1121" ht="39.95" hidden="1" customHeight="1" outlineLevel="1" spans="1:16">
      <c r="A1121" s="63"/>
      <c r="B1121" s="64"/>
      <c r="C1121" s="59" t="s">
        <v>225</v>
      </c>
      <c r="D1121" s="59" t="s">
        <v>2990</v>
      </c>
      <c r="E1121" s="65">
        <v>704</v>
      </c>
      <c r="F1121" s="67" t="s">
        <v>377</v>
      </c>
      <c r="G1121" s="65">
        <v>70402</v>
      </c>
      <c r="H1121" s="67" t="s">
        <v>1586</v>
      </c>
      <c r="I1121" s="67" t="s">
        <v>377</v>
      </c>
      <c r="J1121" s="67" t="str">
        <f>INDEX(数据元说明!A:F,MATCH(I1121,数据元说明!C:C,0),2)</f>
        <v>001012</v>
      </c>
      <c r="K1121" s="68" t="str">
        <f>INDEX(数据元说明!A:F,MATCH(I1121,数据元说明!C:C,0),5)</f>
        <v>银行内部机构号。应具有标识机构的唯一性。</v>
      </c>
      <c r="L1121" s="67" t="str">
        <f>INDEX(数据元说明!A:F,MATCH(I1121,数据元说明!C:C,0),6)</f>
        <v>C..30</v>
      </c>
      <c r="M1121" s="68" t="s">
        <v>2991</v>
      </c>
      <c r="N1121" s="68"/>
      <c r="O1121" s="68"/>
      <c r="P1121" s="69"/>
    </row>
    <row r="1122" ht="39.95" hidden="1" customHeight="1" outlineLevel="1" spans="1:16">
      <c r="A1122" s="63"/>
      <c r="B1122" s="64"/>
      <c r="C1122" s="59" t="s">
        <v>225</v>
      </c>
      <c r="D1122" s="59" t="s">
        <v>2990</v>
      </c>
      <c r="E1122" s="65">
        <v>704</v>
      </c>
      <c r="F1122" s="67" t="s">
        <v>2941</v>
      </c>
      <c r="G1122" s="65">
        <v>70403</v>
      </c>
      <c r="H1122" s="67" t="s">
        <v>2942</v>
      </c>
      <c r="I1122" s="67" t="s">
        <v>683</v>
      </c>
      <c r="J1122" s="67" t="str">
        <f>INDEX(数据元说明!A:F,MATCH(I1122,数据元说明!C:C,0),2)</f>
        <v>003020</v>
      </c>
      <c r="K1122" s="68" t="str">
        <f>INDEX(数据元说明!A:F,MATCH(I1122,数据元说明!C:C,0),5)</f>
        <v>合同号。</v>
      </c>
      <c r="L1122" s="67" t="str">
        <f>INDEX(数据元说明!A:F,MATCH(I1122,数据元说明!C:C,0),6)</f>
        <v>C..100</v>
      </c>
      <c r="M1122" s="68" t="s">
        <v>2992</v>
      </c>
      <c r="N1122" s="68" t="s">
        <v>1583</v>
      </c>
      <c r="O1122" s="68"/>
      <c r="P1122" s="69" t="s">
        <v>1634</v>
      </c>
    </row>
    <row r="1123" ht="39.95" hidden="1" customHeight="1" outlineLevel="1" spans="1:16">
      <c r="A1123" s="70"/>
      <c r="B1123" s="71"/>
      <c r="C1123" s="59" t="s">
        <v>225</v>
      </c>
      <c r="D1123" s="59" t="s">
        <v>2990</v>
      </c>
      <c r="E1123" s="65">
        <v>704</v>
      </c>
      <c r="F1123" s="67" t="s">
        <v>1053</v>
      </c>
      <c r="G1123" s="65">
        <v>70404</v>
      </c>
      <c r="H1123" s="67" t="s">
        <v>2993</v>
      </c>
      <c r="I1123" s="67" t="s">
        <v>1053</v>
      </c>
      <c r="J1123" s="67" t="str">
        <f>INDEX(数据元说明!A:F,MATCH(I1123,数据元说明!C:C,0),2)</f>
        <v>007010</v>
      </c>
      <c r="K1123" s="68" t="str">
        <f>INDEX(数据元说明!A:F,MATCH(I1123,数据元说明!C:C,0),5)</f>
        <v>个人贷款，对公贷款，信用卡贷款。</v>
      </c>
      <c r="L1123" s="67" t="str">
        <f>INDEX(数据元说明!A:F,MATCH(I1123,数据元说明!C:C,0),6)</f>
        <v>C..30</v>
      </c>
      <c r="M1123" s="68" t="s">
        <v>2907</v>
      </c>
      <c r="N1123" s="68" t="s">
        <v>1601</v>
      </c>
      <c r="O1123" s="68"/>
      <c r="P1123" s="69"/>
    </row>
    <row r="1124" ht="39.95" hidden="1" customHeight="1" outlineLevel="1" spans="1:16">
      <c r="A1124" s="63"/>
      <c r="B1124" s="64"/>
      <c r="C1124" s="59" t="s">
        <v>225</v>
      </c>
      <c r="D1124" s="59" t="s">
        <v>2990</v>
      </c>
      <c r="E1124" s="65">
        <v>704</v>
      </c>
      <c r="F1124" s="67" t="s">
        <v>2260</v>
      </c>
      <c r="G1124" s="65">
        <v>70405</v>
      </c>
      <c r="H1124" s="67" t="s">
        <v>2261</v>
      </c>
      <c r="I1124" s="67" t="s">
        <v>678</v>
      </c>
      <c r="J1124" s="67" t="str">
        <f>INDEX(数据元说明!A:F,MATCH(I1124,数据元说明!C:C,0),2)</f>
        <v>003019</v>
      </c>
      <c r="K1124" s="68" t="str">
        <f>INDEX(数据元说明!A:F,MATCH(I1124,数据元说明!C:C,0),5)</f>
        <v>借据统一编号。</v>
      </c>
      <c r="L1124" s="67" t="str">
        <f>INDEX(数据元说明!A:F,MATCH(I1124,数据元说明!C:C,0),6)</f>
        <v>C..100</v>
      </c>
      <c r="M1124" s="68" t="s">
        <v>2994</v>
      </c>
      <c r="N1124" s="68" t="s">
        <v>1583</v>
      </c>
      <c r="O1124" s="68" t="s">
        <v>484</v>
      </c>
      <c r="P1124" s="69" t="s">
        <v>1634</v>
      </c>
    </row>
    <row r="1125" ht="39.95" hidden="1" customHeight="1" outlineLevel="1" spans="1:16">
      <c r="A1125" s="70"/>
      <c r="B1125" s="71"/>
      <c r="C1125" s="59" t="s">
        <v>225</v>
      </c>
      <c r="D1125" s="59" t="s">
        <v>2990</v>
      </c>
      <c r="E1125" s="65">
        <v>704</v>
      </c>
      <c r="F1125" s="67" t="s">
        <v>2995</v>
      </c>
      <c r="G1125" s="65">
        <v>70406</v>
      </c>
      <c r="H1125" s="67" t="s">
        <v>2996</v>
      </c>
      <c r="I1125" s="67" t="s">
        <v>634</v>
      </c>
      <c r="J1125" s="67" t="str">
        <f>INDEX(数据元说明!A:F,MATCH(I1125,数据元说明!C:C,0),2)</f>
        <v>003008</v>
      </c>
      <c r="K1125" s="68" t="str">
        <f>INDEX(数据元说明!A:F,MATCH(I1125,数据元说明!C:C,0),5)</f>
        <v>与币种相对应金额。</v>
      </c>
      <c r="L1125" s="67" t="str">
        <f>INDEX(数据元说明!A:F,MATCH(I1125,数据元说明!C:C,0),6)</f>
        <v>D20.2</v>
      </c>
      <c r="M1125" s="69" t="s">
        <v>2997</v>
      </c>
      <c r="N1125" s="68" t="s">
        <v>1601</v>
      </c>
      <c r="O1125" s="68"/>
      <c r="P1125" s="69"/>
    </row>
    <row r="1126" ht="39.95" hidden="1" customHeight="1" outlineLevel="1" spans="1:16">
      <c r="A1126" s="70"/>
      <c r="B1126" s="71"/>
      <c r="C1126" s="59" t="s">
        <v>225</v>
      </c>
      <c r="D1126" s="59" t="s">
        <v>2990</v>
      </c>
      <c r="E1126" s="65">
        <v>704</v>
      </c>
      <c r="F1126" s="67" t="s">
        <v>2998</v>
      </c>
      <c r="G1126" s="65">
        <v>70407</v>
      </c>
      <c r="H1126" s="67" t="s">
        <v>2999</v>
      </c>
      <c r="I1126" s="67" t="s">
        <v>634</v>
      </c>
      <c r="J1126" s="67" t="str">
        <f>INDEX(数据元说明!A:F,MATCH(I1126,数据元说明!C:C,0),2)</f>
        <v>003008</v>
      </c>
      <c r="K1126" s="68" t="str">
        <f>INDEX(数据元说明!A:F,MATCH(I1126,数据元说明!C:C,0),5)</f>
        <v>与币种相对应金额。</v>
      </c>
      <c r="L1126" s="67" t="str">
        <f>INDEX(数据元说明!A:F,MATCH(I1126,数据元说明!C:C,0),6)</f>
        <v>D20.2</v>
      </c>
      <c r="M1126" s="69" t="s">
        <v>3000</v>
      </c>
      <c r="N1126" s="68" t="s">
        <v>1601</v>
      </c>
      <c r="O1126" s="68"/>
      <c r="P1126" s="69"/>
    </row>
    <row r="1127" ht="39.95" hidden="1" customHeight="1" outlineLevel="1" spans="1:16">
      <c r="A1127" s="63"/>
      <c r="B1127" s="64"/>
      <c r="C1127" s="59" t="s">
        <v>225</v>
      </c>
      <c r="D1127" s="59" t="s">
        <v>2990</v>
      </c>
      <c r="E1127" s="65">
        <v>704</v>
      </c>
      <c r="F1127" s="67" t="s">
        <v>484</v>
      </c>
      <c r="G1127" s="65">
        <v>70408</v>
      </c>
      <c r="H1127" s="67" t="s">
        <v>1623</v>
      </c>
      <c r="I1127" s="67" t="s">
        <v>484</v>
      </c>
      <c r="J1127" s="67" t="str">
        <f>INDEX(数据元说明!A:F,MATCH(I1127,数据元说明!C:C,0),2)</f>
        <v>001038</v>
      </c>
      <c r="K1127" s="68" t="str">
        <f>INDEX(数据元说明!A:F,MATCH(I1127,数据元说明!C:C,0),5)</f>
        <v>银行自定义。</v>
      </c>
      <c r="L1127" s="67" t="str">
        <f>INDEX(数据元说明!A:F,MATCH(I1127,数据元说明!C:C,0),6)</f>
        <v>C..600</v>
      </c>
      <c r="M1127" s="68" t="s">
        <v>1624</v>
      </c>
      <c r="N1127" s="68" t="s">
        <v>1601</v>
      </c>
      <c r="O1127" s="68"/>
      <c r="P1127" s="68"/>
    </row>
    <row r="1128" ht="39.95" hidden="1" customHeight="1" outlineLevel="1" spans="1:16">
      <c r="A1128" s="63"/>
      <c r="B1128" s="64"/>
      <c r="C1128" s="59" t="s">
        <v>225</v>
      </c>
      <c r="D1128" s="59" t="s">
        <v>2990</v>
      </c>
      <c r="E1128" s="65">
        <v>704</v>
      </c>
      <c r="F1128" s="67" t="s">
        <v>1625</v>
      </c>
      <c r="G1128" s="65">
        <v>70409</v>
      </c>
      <c r="H1128" s="67" t="s">
        <v>1626</v>
      </c>
      <c r="I1128" s="67" t="s">
        <v>345</v>
      </c>
      <c r="J1128" s="67" t="str">
        <f>INDEX(数据元说明!A:F,MATCH(I1128,数据元说明!C:C,0),2)</f>
        <v>001005</v>
      </c>
      <c r="K1128" s="68" t="str">
        <f>INDEX(数据元说明!A:F,MATCH(I1128,数据元说明!C:C,0),5)</f>
        <v>YYYYMMDD，默认值99991231。</v>
      </c>
      <c r="L1128" s="67" t="str">
        <f>INDEX(数据元说明!A:F,MATCH(I1128,数据元说明!C:C,0),6)</f>
        <v>C8</v>
      </c>
      <c r="M1128" s="68" t="s">
        <v>1627</v>
      </c>
      <c r="N1128" s="68"/>
      <c r="O1128" s="68"/>
      <c r="P1128" s="69"/>
    </row>
    <row r="1129" ht="39.95" hidden="1" customHeight="1" collapsed="1" spans="1:16">
      <c r="A1129" s="63"/>
      <c r="B1129" s="64"/>
      <c r="C1129" s="59" t="s">
        <v>229</v>
      </c>
      <c r="D1129" s="59" t="s">
        <v>3001</v>
      </c>
      <c r="E1129" s="65">
        <v>705</v>
      </c>
      <c r="F1129" s="67"/>
      <c r="G1129" s="65"/>
      <c r="H1129" s="67"/>
      <c r="I1129" s="67"/>
      <c r="J1129" s="67"/>
      <c r="K1129" s="68"/>
      <c r="L1129" s="67"/>
      <c r="M1129" s="68" t="str">
        <f>INDEX(表结构总览!D:G,MATCH(D1129,表结构总览!D:D,0),4)</f>
        <v>所有表内信贷的五级分类变动信息，与其他表格中五级分类字段一致。需要报送信用卡业务的五级形态变动，填报为信贷合同号=信用卡账号，信贷借据号=信用卡卡号。无需报送新发放业务（五级分类从无到有）的五级形态变动。</v>
      </c>
      <c r="N1129" s="68" t="s">
        <v>1583</v>
      </c>
      <c r="O1129" s="68" t="s">
        <v>484</v>
      </c>
      <c r="P1129" s="69"/>
    </row>
    <row r="1130" ht="39.95" hidden="1" customHeight="1" outlineLevel="1" spans="1:16">
      <c r="A1130" s="63"/>
      <c r="B1130" s="64"/>
      <c r="C1130" s="59" t="s">
        <v>229</v>
      </c>
      <c r="D1130" s="59" t="s">
        <v>3001</v>
      </c>
      <c r="E1130" s="65">
        <v>705</v>
      </c>
      <c r="F1130" s="67" t="s">
        <v>373</v>
      </c>
      <c r="G1130" s="65">
        <v>70501</v>
      </c>
      <c r="H1130" s="67" t="s">
        <v>1588</v>
      </c>
      <c r="I1130" s="67" t="s">
        <v>373</v>
      </c>
      <c r="J1130" s="67" t="str">
        <f>INDEX(数据元说明!A:F,MATCH(I1130,数据元说明!C:C,0),2)</f>
        <v>001011</v>
      </c>
      <c r="K1130" s="68" t="str">
        <f>INDEX(数据元说明!A:F,MATCH(I1130,数据元说明!C:C,0),5)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30" s="67" t="str">
        <f>INDEX(数据元说明!A:F,MATCH(I1130,数据元说明!C:C,0),6)</f>
        <v>C..30</v>
      </c>
      <c r="M1130" s="68" t="s">
        <v>2488</v>
      </c>
      <c r="N1130" s="68"/>
      <c r="O1130" s="68"/>
      <c r="P1130" s="68"/>
    </row>
    <row r="1131" ht="39.95" hidden="1" customHeight="1" outlineLevel="1" spans="1:16">
      <c r="A1131" s="63"/>
      <c r="B1131" s="64"/>
      <c r="C1131" s="59" t="s">
        <v>229</v>
      </c>
      <c r="D1131" s="59" t="s">
        <v>3001</v>
      </c>
      <c r="E1131" s="65">
        <v>705</v>
      </c>
      <c r="F1131" s="67" t="s">
        <v>377</v>
      </c>
      <c r="G1131" s="65">
        <v>70502</v>
      </c>
      <c r="H1131" s="67" t="s">
        <v>1586</v>
      </c>
      <c r="I1131" s="67" t="s">
        <v>377</v>
      </c>
      <c r="J1131" s="67" t="str">
        <f>INDEX(数据元说明!A:F,MATCH(I1131,数据元说明!C:C,0),2)</f>
        <v>001012</v>
      </c>
      <c r="K1131" s="68" t="str">
        <f>INDEX(数据元说明!A:F,MATCH(I1131,数据元说明!C:C,0),5)</f>
        <v>银行内部机构号。应具有标识机构的唯一性。</v>
      </c>
      <c r="L1131" s="67" t="str">
        <f>INDEX(数据元说明!A:F,MATCH(I1131,数据元说明!C:C,0),6)</f>
        <v>C..30</v>
      </c>
      <c r="M1131" s="68" t="s">
        <v>1820</v>
      </c>
      <c r="N1131" s="68"/>
      <c r="O1131" s="68"/>
      <c r="P1131" s="69"/>
    </row>
    <row r="1132" ht="39.95" hidden="1" customHeight="1" outlineLevel="1" spans="1:16">
      <c r="A1132" s="63"/>
      <c r="B1132" s="64"/>
      <c r="C1132" s="59" t="s">
        <v>229</v>
      </c>
      <c r="D1132" s="59" t="s">
        <v>3001</v>
      </c>
      <c r="E1132" s="65">
        <v>705</v>
      </c>
      <c r="F1132" s="67" t="s">
        <v>1592</v>
      </c>
      <c r="G1132" s="65">
        <v>70503</v>
      </c>
      <c r="H1132" s="67" t="s">
        <v>1593</v>
      </c>
      <c r="I1132" s="67" t="s">
        <v>325</v>
      </c>
      <c r="J1132" s="67" t="str">
        <f>INDEX(数据元说明!A:F,MATCH(I1132,数据元说明!C:C,0),2)</f>
        <v>001001</v>
      </c>
      <c r="K1132" s="68" t="str">
        <f>INDEX(数据元说明!A:F,MATCH(I1132,数据元说明!C:C,0),5)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32" s="67" t="str">
        <f>INDEX(数据元说明!A:F,MATCH(I1132,数据元说明!C:C,0),6)</f>
        <v>C..450</v>
      </c>
      <c r="M1132" s="68" t="s">
        <v>1631</v>
      </c>
      <c r="N1132" s="68" t="s">
        <v>1583</v>
      </c>
      <c r="O1132" s="68" t="s">
        <v>322</v>
      </c>
      <c r="P1132" s="69"/>
    </row>
    <row r="1133" ht="39.95" hidden="1" customHeight="1" outlineLevel="1" spans="1:16">
      <c r="A1133" s="63"/>
      <c r="B1133" s="64"/>
      <c r="C1133" s="59" t="s">
        <v>229</v>
      </c>
      <c r="D1133" s="59" t="s">
        <v>3001</v>
      </c>
      <c r="E1133" s="65">
        <v>705</v>
      </c>
      <c r="F1133" s="67" t="s">
        <v>2257</v>
      </c>
      <c r="G1133" s="65">
        <v>70504</v>
      </c>
      <c r="H1133" s="67" t="s">
        <v>2258</v>
      </c>
      <c r="I1133" s="67" t="s">
        <v>683</v>
      </c>
      <c r="J1133" s="67" t="str">
        <f>INDEX(数据元说明!A:F,MATCH(I1133,数据元说明!C:C,0),2)</f>
        <v>003020</v>
      </c>
      <c r="K1133" s="68" t="str">
        <f>INDEX(数据元说明!A:F,MATCH(I1133,数据元说明!C:C,0),5)</f>
        <v>合同号。</v>
      </c>
      <c r="L1133" s="67" t="str">
        <f>INDEX(数据元说明!A:F,MATCH(I1133,数据元说明!C:C,0),6)</f>
        <v>C..100</v>
      </c>
      <c r="M1133" s="68" t="s">
        <v>3002</v>
      </c>
      <c r="N1133" s="68" t="s">
        <v>1583</v>
      </c>
      <c r="O1133" s="68"/>
      <c r="P1133" s="69" t="s">
        <v>1634</v>
      </c>
    </row>
    <row r="1134" ht="39.95" hidden="1" customHeight="1" outlineLevel="1" spans="1:16">
      <c r="A1134" s="63"/>
      <c r="B1134" s="64"/>
      <c r="C1134" s="59" t="s">
        <v>229</v>
      </c>
      <c r="D1134" s="59" t="s">
        <v>3001</v>
      </c>
      <c r="E1134" s="65">
        <v>705</v>
      </c>
      <c r="F1134" s="67" t="s">
        <v>2260</v>
      </c>
      <c r="G1134" s="65">
        <v>70505</v>
      </c>
      <c r="H1134" s="67" t="s">
        <v>2261</v>
      </c>
      <c r="I1134" s="67" t="s">
        <v>678</v>
      </c>
      <c r="J1134" s="67" t="str">
        <f>INDEX(数据元说明!A:F,MATCH(I1134,数据元说明!C:C,0),2)</f>
        <v>003019</v>
      </c>
      <c r="K1134" s="68" t="str">
        <f>INDEX(数据元说明!A:F,MATCH(I1134,数据元说明!C:C,0),5)</f>
        <v>借据统一编号。</v>
      </c>
      <c r="L1134" s="67" t="str">
        <f>INDEX(数据元说明!A:F,MATCH(I1134,数据元说明!C:C,0),6)</f>
        <v>C..100</v>
      </c>
      <c r="M1134" s="68" t="s">
        <v>3003</v>
      </c>
      <c r="N1134" s="68" t="s">
        <v>1583</v>
      </c>
      <c r="O1134" s="68"/>
      <c r="P1134" s="69" t="s">
        <v>1634</v>
      </c>
    </row>
    <row r="1135" ht="39.95" hidden="1" customHeight="1" outlineLevel="1" spans="1:16">
      <c r="A1135" s="63"/>
      <c r="B1135" s="64"/>
      <c r="C1135" s="59" t="s">
        <v>229</v>
      </c>
      <c r="D1135" s="59" t="s">
        <v>3001</v>
      </c>
      <c r="E1135" s="65">
        <v>705</v>
      </c>
      <c r="F1135" s="67" t="s">
        <v>488</v>
      </c>
      <c r="G1135" s="65">
        <v>70506</v>
      </c>
      <c r="H1135" s="67" t="s">
        <v>1699</v>
      </c>
      <c r="I1135" s="67" t="s">
        <v>488</v>
      </c>
      <c r="J1135" s="67" t="str">
        <f>INDEX(数据元说明!A:F,MATCH(I1135,数据元说明!C:C,0),2)</f>
        <v>002001</v>
      </c>
      <c r="K1135" s="68" t="str">
        <f>INDEX(数据元说明!A:F,MATCH(I1135,数据元说明!C:C,0),5)</f>
        <v>银行自定义的唯一识别客户的标识。供应链融资的填写供应链融资编码。</v>
      </c>
      <c r="L1135" s="67" t="str">
        <f>INDEX(数据元说明!A:F,MATCH(I1135,数据元说明!C:C,0),6)</f>
        <v>C..60</v>
      </c>
      <c r="M1135" s="68" t="s">
        <v>1711</v>
      </c>
      <c r="N1135" s="68" t="s">
        <v>1583</v>
      </c>
      <c r="O1135" s="68"/>
      <c r="P1135" s="69" t="s">
        <v>1634</v>
      </c>
    </row>
    <row r="1136" ht="39.95" hidden="1" customHeight="1" outlineLevel="1" spans="1:16">
      <c r="A1136" s="63"/>
      <c r="B1136" s="64"/>
      <c r="C1136" s="59" t="s">
        <v>229</v>
      </c>
      <c r="D1136" s="59" t="s">
        <v>3001</v>
      </c>
      <c r="E1136" s="65">
        <v>705</v>
      </c>
      <c r="F1136" s="67" t="s">
        <v>1837</v>
      </c>
      <c r="G1136" s="65">
        <v>70507</v>
      </c>
      <c r="H1136" s="67" t="s">
        <v>1838</v>
      </c>
      <c r="I1136" s="67" t="s">
        <v>325</v>
      </c>
      <c r="J1136" s="67" t="str">
        <f>INDEX(数据元说明!A:F,MATCH(I1136,数据元说明!C:C,0),2)</f>
        <v>001001</v>
      </c>
      <c r="K1136" s="68" t="str">
        <f>INDEX(数据元说明!A:F,MATCH(I1136,数据元说明!C:C,0),5)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36" s="67" t="str">
        <f>INDEX(数据元说明!A:F,MATCH(I1136,数据元说明!C:C,0),6)</f>
        <v>C..450</v>
      </c>
      <c r="M1136" s="68" t="s">
        <v>2300</v>
      </c>
      <c r="N1136" s="69" t="s">
        <v>1583</v>
      </c>
      <c r="O1136" s="69" t="s">
        <v>1695</v>
      </c>
      <c r="P1136" s="69" t="s">
        <v>1634</v>
      </c>
    </row>
    <row r="1137" ht="39.95" hidden="1" customHeight="1" outlineLevel="1" spans="1:16">
      <c r="A1137" s="63"/>
      <c r="B1137" s="64"/>
      <c r="C1137" s="59" t="s">
        <v>229</v>
      </c>
      <c r="D1137" s="59" t="s">
        <v>3001</v>
      </c>
      <c r="E1137" s="65">
        <v>705</v>
      </c>
      <c r="F1137" s="67" t="s">
        <v>3004</v>
      </c>
      <c r="G1137" s="65">
        <v>70508</v>
      </c>
      <c r="H1137" s="67" t="s">
        <v>3005</v>
      </c>
      <c r="I1137" s="67" t="s">
        <v>345</v>
      </c>
      <c r="J1137" s="67" t="str">
        <f>INDEX(数据元说明!A:F,MATCH(I1137,数据元说明!C:C,0),2)</f>
        <v>001005</v>
      </c>
      <c r="K1137" s="68" t="str">
        <f>INDEX(数据元说明!A:F,MATCH(I1137,数据元说明!C:C,0),5)</f>
        <v>YYYYMMDD，默认值99991231。</v>
      </c>
      <c r="L1137" s="67" t="str">
        <f>INDEX(数据元说明!A:F,MATCH(I1137,数据元说明!C:C,0),6)</f>
        <v>C8</v>
      </c>
      <c r="M1137" s="68" t="s">
        <v>1587</v>
      </c>
      <c r="N1137" s="68" t="s">
        <v>1583</v>
      </c>
      <c r="O1137" s="68"/>
      <c r="P1137" s="69" t="s">
        <v>1634</v>
      </c>
    </row>
    <row r="1138" ht="39.95" hidden="1" customHeight="1" outlineLevel="1" spans="1:16">
      <c r="A1138" s="63"/>
      <c r="B1138" s="64"/>
      <c r="C1138" s="59" t="s">
        <v>229</v>
      </c>
      <c r="D1138" s="59" t="s">
        <v>3001</v>
      </c>
      <c r="E1138" s="65">
        <v>705</v>
      </c>
      <c r="F1138" s="67" t="s">
        <v>3006</v>
      </c>
      <c r="G1138" s="65">
        <v>70509</v>
      </c>
      <c r="H1138" s="67" t="s">
        <v>3007</v>
      </c>
      <c r="I1138" s="67" t="s">
        <v>691</v>
      </c>
      <c r="J1138" s="67" t="str">
        <f>INDEX(数据元说明!A:F,MATCH(I1138,数据元说明!C:C,0),2)</f>
        <v>003022</v>
      </c>
      <c r="K1138" s="68" t="str">
        <f>INDEX(数据元说明!A:F,MATCH(I1138,数据元说明!C:C,0),5)</f>
        <v>正常，关注，次级，可疑，损失。</v>
      </c>
      <c r="L1138" s="67" t="str">
        <f>INDEX(数据元说明!A:F,MATCH(I1138,数据元说明!C:C,0),6)</f>
        <v>C6</v>
      </c>
      <c r="M1138" s="68"/>
      <c r="N1138" s="69" t="s">
        <v>1583</v>
      </c>
      <c r="O1138" s="69" t="s">
        <v>1574</v>
      </c>
      <c r="P1138" s="69"/>
    </row>
    <row r="1139" ht="39.95" hidden="1" customHeight="1" outlineLevel="1" spans="1:16">
      <c r="A1139" s="63"/>
      <c r="B1139" s="64"/>
      <c r="C1139" s="59" t="s">
        <v>229</v>
      </c>
      <c r="D1139" s="59" t="s">
        <v>3001</v>
      </c>
      <c r="E1139" s="65">
        <v>705</v>
      </c>
      <c r="F1139" s="67" t="s">
        <v>3008</v>
      </c>
      <c r="G1139" s="65">
        <v>70510</v>
      </c>
      <c r="H1139" s="67" t="s">
        <v>3009</v>
      </c>
      <c r="I1139" s="67" t="s">
        <v>691</v>
      </c>
      <c r="J1139" s="67" t="str">
        <f>INDEX(数据元说明!A:F,MATCH(I1139,数据元说明!C:C,0),2)</f>
        <v>003022</v>
      </c>
      <c r="K1139" s="68" t="str">
        <f>INDEX(数据元说明!A:F,MATCH(I1139,数据元说明!C:C,0),5)</f>
        <v>正常，关注，次级，可疑，损失。</v>
      </c>
      <c r="L1139" s="67" t="str">
        <f>INDEX(数据元说明!A:F,MATCH(I1139,数据元说明!C:C,0),6)</f>
        <v>C6</v>
      </c>
      <c r="M1139" s="69"/>
      <c r="N1139" s="69" t="s">
        <v>1583</v>
      </c>
      <c r="O1139" s="69" t="s">
        <v>1574</v>
      </c>
      <c r="P1139" s="69"/>
    </row>
    <row r="1140" ht="39.95" hidden="1" customHeight="1" outlineLevel="1" spans="1:16">
      <c r="A1140" s="70"/>
      <c r="B1140" s="71"/>
      <c r="C1140" s="59" t="s">
        <v>229</v>
      </c>
      <c r="D1140" s="59" t="s">
        <v>3001</v>
      </c>
      <c r="E1140" s="65">
        <v>705</v>
      </c>
      <c r="F1140" s="67" t="s">
        <v>1068</v>
      </c>
      <c r="G1140" s="65">
        <v>70511</v>
      </c>
      <c r="H1140" s="67" t="s">
        <v>3010</v>
      </c>
      <c r="I1140" s="67" t="s">
        <v>1068</v>
      </c>
      <c r="J1140" s="67" t="str">
        <f>INDEX(数据元说明!A:F,MATCH(I1140,数据元说明!C:C,0),2)</f>
        <v>007014</v>
      </c>
      <c r="K1140" s="68" t="str">
        <f>INDEX(数据元说明!A:F,MATCH(I1140,数据元说明!C:C,0),5)</f>
        <v>中文字典或中文描述，银行自定义。</v>
      </c>
      <c r="L1140" s="67" t="str">
        <f>INDEX(数据元说明!A:F,MATCH(I1140,数据元说明!C:C,0),6)</f>
        <v>C..30</v>
      </c>
      <c r="M1140" s="68"/>
      <c r="N1140" s="68"/>
      <c r="O1140" s="68"/>
      <c r="P1140" s="69"/>
    </row>
    <row r="1141" ht="39.95" hidden="1" customHeight="1" outlineLevel="1" spans="1:16">
      <c r="A1141" s="70"/>
      <c r="B1141" s="71"/>
      <c r="C1141" s="59" t="s">
        <v>229</v>
      </c>
      <c r="D1141" s="59" t="s">
        <v>3001</v>
      </c>
      <c r="E1141" s="65">
        <v>705</v>
      </c>
      <c r="F1141" s="67" t="s">
        <v>1061</v>
      </c>
      <c r="G1141" s="65">
        <v>70512</v>
      </c>
      <c r="H1141" s="67" t="s">
        <v>3011</v>
      </c>
      <c r="I1141" s="67" t="s">
        <v>1061</v>
      </c>
      <c r="J1141" s="67" t="str">
        <f>INDEX(数据元说明!A:F,MATCH(I1141,数据元说明!C:C,0),2)</f>
        <v>007012</v>
      </c>
      <c r="K1141" s="68" t="str">
        <f>INDEX(数据元说明!A:F,MATCH(I1141,数据元说明!C:C,0),5)</f>
        <v>人工，自动。</v>
      </c>
      <c r="L1141" s="67" t="str">
        <f>INDEX(数据元说明!A:F,MATCH(I1141,数据元说明!C:C,0),6)</f>
        <v>C..30</v>
      </c>
      <c r="M1141" s="68"/>
      <c r="N1141" s="68"/>
      <c r="O1141" s="68"/>
      <c r="P1141" s="69"/>
    </row>
    <row r="1142" ht="39.95" hidden="1" customHeight="1" outlineLevel="1" spans="1:16">
      <c r="A1142" s="63"/>
      <c r="B1142" s="64"/>
      <c r="C1142" s="59" t="s">
        <v>229</v>
      </c>
      <c r="D1142" s="59" t="s">
        <v>3001</v>
      </c>
      <c r="E1142" s="65">
        <v>705</v>
      </c>
      <c r="F1142" s="67" t="s">
        <v>2814</v>
      </c>
      <c r="G1142" s="65">
        <v>70513</v>
      </c>
      <c r="H1142" s="67" t="s">
        <v>3012</v>
      </c>
      <c r="I1142" s="67" t="s">
        <v>389</v>
      </c>
      <c r="J1142" s="67" t="str">
        <f>INDEX(数据元说明!A:F,MATCH(I1142,数据元说明!C:C,0),2)</f>
        <v>001015</v>
      </c>
      <c r="K1142" s="68" t="str">
        <f>INDEX(数据元说明!A:F,MATCH(I1142,数据元说明!C:C,0),5)</f>
        <v>工号，银行自定义。</v>
      </c>
      <c r="L1142" s="67" t="str">
        <f>INDEX(数据元说明!A:F,MATCH(I1142,数据元说明!C:C,0),6)</f>
        <v>C..30</v>
      </c>
      <c r="M1142" s="68" t="s">
        <v>3013</v>
      </c>
      <c r="N1142" s="68"/>
      <c r="O1142" s="68"/>
      <c r="P1142" s="69"/>
    </row>
    <row r="1143" ht="39.95" hidden="1" customHeight="1" outlineLevel="1" spans="1:16">
      <c r="A1143" s="63"/>
      <c r="B1143" s="64"/>
      <c r="C1143" s="59" t="s">
        <v>229</v>
      </c>
      <c r="D1143" s="59" t="s">
        <v>3001</v>
      </c>
      <c r="E1143" s="65">
        <v>705</v>
      </c>
      <c r="F1143" s="67" t="s">
        <v>484</v>
      </c>
      <c r="G1143" s="65">
        <v>70514</v>
      </c>
      <c r="H1143" s="67" t="s">
        <v>1623</v>
      </c>
      <c r="I1143" s="67" t="s">
        <v>484</v>
      </c>
      <c r="J1143" s="67" t="str">
        <f>INDEX(数据元说明!A:F,MATCH(I1143,数据元说明!C:C,0),2)</f>
        <v>001038</v>
      </c>
      <c r="K1143" s="68" t="str">
        <f>INDEX(数据元说明!A:F,MATCH(I1143,数据元说明!C:C,0),5)</f>
        <v>银行自定义。</v>
      </c>
      <c r="L1143" s="67" t="str">
        <f>INDEX(数据元说明!A:F,MATCH(I1143,数据元说明!C:C,0),6)</f>
        <v>C..600</v>
      </c>
      <c r="M1143" s="68" t="s">
        <v>1624</v>
      </c>
      <c r="N1143" s="68" t="s">
        <v>1601</v>
      </c>
      <c r="O1143" s="68"/>
      <c r="P1143" s="68"/>
    </row>
    <row r="1144" ht="39.95" hidden="1" customHeight="1" outlineLevel="1" spans="1:16">
      <c r="A1144" s="63"/>
      <c r="B1144" s="64"/>
      <c r="C1144" s="59" t="s">
        <v>229</v>
      </c>
      <c r="D1144" s="59" t="s">
        <v>3001</v>
      </c>
      <c r="E1144" s="65">
        <v>705</v>
      </c>
      <c r="F1144" s="67" t="s">
        <v>1625</v>
      </c>
      <c r="G1144" s="65">
        <v>70515</v>
      </c>
      <c r="H1144" s="67" t="s">
        <v>1626</v>
      </c>
      <c r="I1144" s="67" t="s">
        <v>345</v>
      </c>
      <c r="J1144" s="67" t="str">
        <f>INDEX(数据元说明!A:F,MATCH(I1144,数据元说明!C:C,0),2)</f>
        <v>001005</v>
      </c>
      <c r="K1144" s="68" t="str">
        <f>INDEX(数据元说明!A:F,MATCH(I1144,数据元说明!C:C,0),5)</f>
        <v>YYYYMMDD，默认值99991231。</v>
      </c>
      <c r="L1144" s="67" t="str">
        <f>INDEX(数据元说明!A:F,MATCH(I1144,数据元说明!C:C,0),6)</f>
        <v>C8</v>
      </c>
      <c r="M1144" s="68" t="s">
        <v>1627</v>
      </c>
      <c r="N1144" s="68"/>
      <c r="O1144" s="68"/>
      <c r="P1144" s="69"/>
    </row>
    <row r="1145" ht="39.95" hidden="1" customHeight="1" collapsed="1" spans="1:16">
      <c r="A1145" s="63" t="s">
        <v>3014</v>
      </c>
      <c r="B1145" s="64" t="s">
        <v>234</v>
      </c>
      <c r="C1145" s="74"/>
      <c r="D1145" s="74"/>
      <c r="E1145" s="75"/>
      <c r="F1145" s="67"/>
      <c r="G1145" s="65"/>
      <c r="H1145" s="67"/>
      <c r="I1145" s="67"/>
      <c r="J1145" s="67"/>
      <c r="K1145" s="68"/>
      <c r="L1145" s="67"/>
      <c r="M1145" s="68"/>
      <c r="N1145" s="68"/>
      <c r="O1145" s="68"/>
      <c r="P1145" s="68"/>
    </row>
    <row r="1146" ht="39.95" hidden="1" customHeight="1" spans="1:16">
      <c r="A1146" s="73"/>
      <c r="B1146" s="71"/>
      <c r="C1146" s="59" t="s">
        <v>235</v>
      </c>
      <c r="D1146" s="59" t="s">
        <v>3015</v>
      </c>
      <c r="E1146" s="65">
        <v>801</v>
      </c>
      <c r="F1146" s="67"/>
      <c r="G1146" s="65"/>
      <c r="H1146" s="67"/>
      <c r="I1146" s="67"/>
      <c r="J1146" s="67"/>
      <c r="K1146" s="68"/>
      <c r="L1146" s="67"/>
      <c r="M1146" s="68" t="str">
        <f>INDEX(表结构总览!D:G,MATCH(D1146,表结构总览!D:D,0),4)</f>
        <v>填报信用卡信息，以卡号为最小粒度报送。状态为“销户”的信用卡在报送最后状态的次月不再报送。状态为“销户”的账户以及账户下所属的所有信用卡在报送最后状态的次月不再报送。</v>
      </c>
      <c r="N1146" s="69" t="s">
        <v>1583</v>
      </c>
      <c r="O1146" s="69" t="s">
        <v>484</v>
      </c>
      <c r="P1146" s="69"/>
    </row>
    <row r="1147" ht="39.95" hidden="1" customHeight="1" outlineLevel="1" spans="1:16">
      <c r="A1147" s="77"/>
      <c r="B1147" s="64"/>
      <c r="C1147" s="59" t="s">
        <v>235</v>
      </c>
      <c r="D1147" s="59" t="s">
        <v>3015</v>
      </c>
      <c r="E1147" s="65">
        <v>801</v>
      </c>
      <c r="F1147" s="67" t="s">
        <v>373</v>
      </c>
      <c r="G1147" s="65">
        <v>80101</v>
      </c>
      <c r="H1147" s="67" t="s">
        <v>1588</v>
      </c>
      <c r="I1147" s="67" t="s">
        <v>373</v>
      </c>
      <c r="J1147" s="67" t="str">
        <f>INDEX(数据元说明!A:F,MATCH(I1147,数据元说明!C:C,0),2)</f>
        <v>001011</v>
      </c>
      <c r="K1147" s="68" t="str">
        <f>INDEX(数据元说明!A:F,MATCH(I1147,数据元说明!C:C,0),5)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47" s="67" t="str">
        <f>INDEX(数据元说明!A:F,MATCH(I1147,数据元说明!C:C,0),6)</f>
        <v>C..30</v>
      </c>
      <c r="M1147" s="68" t="s">
        <v>3016</v>
      </c>
      <c r="N1147" s="68"/>
      <c r="O1147" s="68"/>
      <c r="P1147" s="68"/>
    </row>
    <row r="1148" ht="39.95" hidden="1" customHeight="1" outlineLevel="1" spans="1:16">
      <c r="A1148" s="73"/>
      <c r="B1148" s="71"/>
      <c r="C1148" s="59" t="s">
        <v>235</v>
      </c>
      <c r="D1148" s="59" t="s">
        <v>3015</v>
      </c>
      <c r="E1148" s="65">
        <v>801</v>
      </c>
      <c r="F1148" s="67" t="s">
        <v>377</v>
      </c>
      <c r="G1148" s="65">
        <f t="shared" ref="G1148:G1190" si="0">G1147+1</f>
        <v>80102</v>
      </c>
      <c r="H1148" s="67" t="s">
        <v>1586</v>
      </c>
      <c r="I1148" s="67" t="s">
        <v>377</v>
      </c>
      <c r="J1148" s="67" t="str">
        <f>INDEX(数据元说明!A:F,MATCH(I1148,数据元说明!C:C,0),2)</f>
        <v>001012</v>
      </c>
      <c r="K1148" s="68" t="str">
        <f>INDEX(数据元说明!A:F,MATCH(I1148,数据元说明!C:C,0),5)</f>
        <v>银行内部机构号。应具有标识机构的唯一性。</v>
      </c>
      <c r="L1148" s="67" t="str">
        <f>INDEX(数据元说明!A:F,MATCH(I1148,数据元说明!C:C,0),6)</f>
        <v>C..30</v>
      </c>
      <c r="M1148" s="68" t="s">
        <v>3017</v>
      </c>
      <c r="N1148" s="68"/>
      <c r="O1148" s="68"/>
      <c r="P1148" s="69"/>
    </row>
    <row r="1149" ht="39.95" hidden="1" customHeight="1" outlineLevel="1" spans="1:16">
      <c r="A1149" s="68"/>
      <c r="B1149" s="67"/>
      <c r="C1149" s="59" t="s">
        <v>235</v>
      </c>
      <c r="D1149" s="59" t="s">
        <v>3015</v>
      </c>
      <c r="E1149" s="65">
        <v>801</v>
      </c>
      <c r="F1149" s="67" t="s">
        <v>1592</v>
      </c>
      <c r="G1149" s="65">
        <f t="shared" si="0"/>
        <v>80103</v>
      </c>
      <c r="H1149" s="67" t="s">
        <v>1593</v>
      </c>
      <c r="I1149" s="67" t="s">
        <v>325</v>
      </c>
      <c r="J1149" s="67" t="str">
        <f>INDEX(数据元说明!A:F,MATCH(I1149,数据元说明!C:C,0),2)</f>
        <v>001001</v>
      </c>
      <c r="K1149" s="67" t="str">
        <f>INDEX(数据元说明!A:F,MATCH(I1149,数据元说明!C:C,0),5)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49" s="67" t="str">
        <f>INDEX(数据元说明!A:F,MATCH(I1149,数据元说明!C:C,0),6)</f>
        <v>C..450</v>
      </c>
      <c r="M1149" s="68" t="s">
        <v>3018</v>
      </c>
      <c r="N1149" s="67" t="s">
        <v>1601</v>
      </c>
      <c r="O1149" s="67"/>
      <c r="P1149" s="67"/>
    </row>
    <row r="1150" ht="39.95" hidden="1" customHeight="1" outlineLevel="1" spans="1:16">
      <c r="A1150" s="68"/>
      <c r="B1150" s="67"/>
      <c r="C1150" s="59" t="s">
        <v>235</v>
      </c>
      <c r="D1150" s="59" t="s">
        <v>3015</v>
      </c>
      <c r="E1150" s="65">
        <v>801</v>
      </c>
      <c r="F1150" s="67" t="s">
        <v>488</v>
      </c>
      <c r="G1150" s="65">
        <f t="shared" si="0"/>
        <v>80104</v>
      </c>
      <c r="H1150" s="67" t="s">
        <v>1699</v>
      </c>
      <c r="I1150" s="67" t="s">
        <v>488</v>
      </c>
      <c r="J1150" s="67" t="str">
        <f>INDEX(数据元说明!A:F,MATCH(I1150,数据元说明!C:C,0),2)</f>
        <v>002001</v>
      </c>
      <c r="K1150" s="67" t="str">
        <f>INDEX(数据元说明!A:F,MATCH(I1150,数据元说明!C:C,0),5)</f>
        <v>银行自定义的唯一识别客户的标识。供应链融资的填写供应链融资编码。</v>
      </c>
      <c r="L1150" s="67" t="str">
        <f>INDEX(数据元说明!A:F,MATCH(I1150,数据元说明!C:C,0),6)</f>
        <v>C..60</v>
      </c>
      <c r="M1150" s="68" t="s">
        <v>3019</v>
      </c>
      <c r="N1150" s="67" t="s">
        <v>1583</v>
      </c>
      <c r="O1150" s="67"/>
      <c r="P1150" s="67" t="s">
        <v>1634</v>
      </c>
    </row>
    <row r="1151" ht="39.95" hidden="1" customHeight="1" outlineLevel="1" spans="1:16">
      <c r="A1151" s="68"/>
      <c r="B1151" s="67"/>
      <c r="C1151" s="59" t="s">
        <v>235</v>
      </c>
      <c r="D1151" s="59" t="s">
        <v>3015</v>
      </c>
      <c r="E1151" s="65">
        <v>801</v>
      </c>
      <c r="F1151" s="67" t="s">
        <v>1837</v>
      </c>
      <c r="G1151" s="65">
        <f t="shared" si="0"/>
        <v>80105</v>
      </c>
      <c r="H1151" s="67" t="s">
        <v>1838</v>
      </c>
      <c r="I1151" s="67" t="s">
        <v>325</v>
      </c>
      <c r="J1151" s="67" t="str">
        <f>INDEX(数据元说明!A:F,MATCH(I1151,数据元说明!C:C,0),2)</f>
        <v>001001</v>
      </c>
      <c r="K1151" s="67" t="str">
        <f>INDEX(数据元说明!A:F,MATCH(I1151,数据元说明!C:C,0),5)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51" s="67" t="str">
        <f>INDEX(数据元说明!A:F,MATCH(I1151,数据元说明!C:C,0),6)</f>
        <v>C..450</v>
      </c>
      <c r="M1151" s="68" t="s">
        <v>3020</v>
      </c>
      <c r="N1151" s="67" t="s">
        <v>1601</v>
      </c>
      <c r="O1151" s="67"/>
      <c r="P1151" s="67"/>
    </row>
    <row r="1152" ht="39.95" hidden="1" customHeight="1" outlineLevel="1" spans="1:16">
      <c r="A1152" s="73"/>
      <c r="B1152" s="71"/>
      <c r="C1152" s="59" t="s">
        <v>235</v>
      </c>
      <c r="D1152" s="59" t="s">
        <v>3015</v>
      </c>
      <c r="E1152" s="65">
        <v>801</v>
      </c>
      <c r="F1152" s="67" t="s">
        <v>492</v>
      </c>
      <c r="G1152" s="65">
        <f t="shared" si="0"/>
        <v>80106</v>
      </c>
      <c r="H1152" s="67" t="s">
        <v>1639</v>
      </c>
      <c r="I1152" s="67" t="s">
        <v>492</v>
      </c>
      <c r="J1152" s="67" t="str">
        <f>INDEX(数据元说明!A:F,MATCH(I1152,数据元说明!C:C,0),2)</f>
        <v>002002</v>
      </c>
      <c r="K1152" s="68" t="str">
        <f>INDEX(数据元说明!A:F,MATCH(I1152,数据元说明!C:C,0),5)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152" s="67" t="str">
        <f>INDEX(数据元说明!A:F,MATCH(I1152,数据元说明!C:C,0),6)</f>
        <v>C..60</v>
      </c>
      <c r="M1152" s="69"/>
      <c r="N1152" s="69"/>
      <c r="O1152" s="69"/>
      <c r="P1152" s="69"/>
    </row>
    <row r="1153" ht="39.95" hidden="1" customHeight="1" outlineLevel="1" spans="1:16">
      <c r="A1153" s="68"/>
      <c r="B1153" s="67"/>
      <c r="C1153" s="59" t="s">
        <v>235</v>
      </c>
      <c r="D1153" s="59" t="s">
        <v>3015</v>
      </c>
      <c r="E1153" s="65">
        <v>801</v>
      </c>
      <c r="F1153" s="67" t="s">
        <v>496</v>
      </c>
      <c r="G1153" s="65">
        <f t="shared" si="0"/>
        <v>80107</v>
      </c>
      <c r="H1153" s="67" t="s">
        <v>1640</v>
      </c>
      <c r="I1153" s="67" t="s">
        <v>496</v>
      </c>
      <c r="J1153" s="67" t="str">
        <f>INDEX(数据元说明!A:F,MATCH(I1153,数据元说明!C:C,0),2)</f>
        <v>002003</v>
      </c>
      <c r="K1153" s="67" t="str">
        <f>INDEX(数据元说明!A:F,MATCH(I1153,数据元说明!C:C,0),5)</f>
        <v>与证件类别对应的证件号码。涉及个人身份证件时需按照本规范给定规则进行脱敏处理。</v>
      </c>
      <c r="L1153" s="67" t="str">
        <f>INDEX(数据元说明!A:F,MATCH(I1153,数据元说明!C:C,0),6)</f>
        <v>C..70</v>
      </c>
      <c r="M1153" s="68" t="s">
        <v>1998</v>
      </c>
      <c r="N1153" s="67" t="s">
        <v>1583</v>
      </c>
      <c r="O1153" s="67" t="s">
        <v>322</v>
      </c>
      <c r="P1153" s="67"/>
    </row>
    <row r="1154" ht="39.95" hidden="1" customHeight="1" outlineLevel="1" spans="1:16">
      <c r="A1154" s="68"/>
      <c r="B1154" s="67"/>
      <c r="C1154" s="59" t="s">
        <v>235</v>
      </c>
      <c r="D1154" s="59" t="s">
        <v>3015</v>
      </c>
      <c r="E1154" s="65">
        <v>801</v>
      </c>
      <c r="F1154" s="67" t="s">
        <v>3021</v>
      </c>
      <c r="G1154" s="65">
        <f t="shared" si="0"/>
        <v>80108</v>
      </c>
      <c r="H1154" s="67" t="s">
        <v>3022</v>
      </c>
      <c r="I1154" s="67" t="s">
        <v>605</v>
      </c>
      <c r="J1154" s="67" t="str">
        <f>INDEX(数据元说明!A:F,MATCH(I1154,数据元说明!C:C,0),2)</f>
        <v>003001</v>
      </c>
      <c r="K1154" s="67" t="str">
        <f>INDEX(数据元说明!A:F,MATCH(I1154,数据元说明!C:C,0),5)</f>
        <v>系统内最细一级的账号，无唯一性约束，不需要和序号、子序号等做拼接。</v>
      </c>
      <c r="L1154" s="67" t="str">
        <f>INDEX(数据元说明!A:F,MATCH(I1154,数据元说明!C:C,0),6)</f>
        <v>C..60</v>
      </c>
      <c r="M1154" s="68" t="s">
        <v>3023</v>
      </c>
      <c r="N1154" s="67" t="s">
        <v>1583</v>
      </c>
      <c r="O1154" s="68" t="s">
        <v>2359</v>
      </c>
      <c r="P1154" s="67" t="s">
        <v>1634</v>
      </c>
    </row>
    <row r="1155" ht="39.95" hidden="1" customHeight="1" outlineLevel="1" spans="1:16">
      <c r="A1155" s="68"/>
      <c r="B1155" s="67"/>
      <c r="C1155" s="59" t="s">
        <v>235</v>
      </c>
      <c r="D1155" s="59" t="s">
        <v>3015</v>
      </c>
      <c r="E1155" s="65">
        <v>801</v>
      </c>
      <c r="F1155" s="67" t="s">
        <v>654</v>
      </c>
      <c r="G1155" s="65">
        <f t="shared" si="0"/>
        <v>80109</v>
      </c>
      <c r="H1155" s="67" t="s">
        <v>2155</v>
      </c>
      <c r="I1155" s="67" t="s">
        <v>654</v>
      </c>
      <c r="J1155" s="67" t="str">
        <f>INDEX(数据元说明!A:F,MATCH(I1155,数据元说明!C:C,0),2)</f>
        <v>003013</v>
      </c>
      <c r="K1155" s="67" t="str">
        <f>INDEX(数据元说明!A:F,MATCH(I1155,数据元说明!C:C,0),5)</f>
        <v>正常，预销户，销户，冻结，止付，其他-银行自定义。无法以枚举类型填报的，以“其他-XX”填报，其中“XX”为银行自定义类型。</v>
      </c>
      <c r="L1155" s="67" t="str">
        <f>INDEX(数据元说明!A:F,MATCH(I1155,数据元说明!C:C,0),6)</f>
        <v>C..30</v>
      </c>
      <c r="M1155" s="68"/>
      <c r="N1155" s="67" t="s">
        <v>1583</v>
      </c>
      <c r="O1155" s="67" t="s">
        <v>321</v>
      </c>
      <c r="P1155" s="67" t="s">
        <v>1648</v>
      </c>
    </row>
    <row r="1156" ht="39.95" hidden="1" customHeight="1" outlineLevel="1" spans="1:16">
      <c r="A1156" s="68"/>
      <c r="B1156" s="67"/>
      <c r="C1156" s="59" t="s">
        <v>235</v>
      </c>
      <c r="D1156" s="59" t="s">
        <v>3015</v>
      </c>
      <c r="E1156" s="65">
        <v>801</v>
      </c>
      <c r="F1156" s="67" t="s">
        <v>942</v>
      </c>
      <c r="G1156" s="65">
        <f t="shared" si="0"/>
        <v>80110</v>
      </c>
      <c r="H1156" s="67" t="s">
        <v>1999</v>
      </c>
      <c r="I1156" s="67" t="s">
        <v>942</v>
      </c>
      <c r="J1156" s="67" t="str">
        <f>INDEX(数据元说明!A:F,MATCH(I1156,数据元说明!C:C,0),2)</f>
        <v>006001</v>
      </c>
      <c r="K1156" s="67" t="str">
        <f>INDEX(数据元说明!A:F,MATCH(I1156,数据元说明!C:C,0),5)</f>
        <v>卡号，可以是借记卡号，贷记卡号等。</v>
      </c>
      <c r="L1156" s="67" t="str">
        <f>INDEX(数据元说明!A:F,MATCH(I1156,数据元说明!C:C,0),6)</f>
        <v>C..60</v>
      </c>
      <c r="M1156" s="68" t="s">
        <v>1679</v>
      </c>
      <c r="N1156" s="67" t="s">
        <v>1583</v>
      </c>
      <c r="O1156" s="67"/>
      <c r="P1156" s="67" t="s">
        <v>1634</v>
      </c>
    </row>
    <row r="1157" ht="39.95" hidden="1" customHeight="1" outlineLevel="1" spans="1:16">
      <c r="A1157" s="73"/>
      <c r="B1157" s="71"/>
      <c r="C1157" s="59" t="s">
        <v>235</v>
      </c>
      <c r="D1157" s="59" t="s">
        <v>3015</v>
      </c>
      <c r="E1157" s="65">
        <v>801</v>
      </c>
      <c r="F1157" s="67" t="s">
        <v>962</v>
      </c>
      <c r="G1157" s="65">
        <f t="shared" si="0"/>
        <v>80111</v>
      </c>
      <c r="H1157" s="67" t="s">
        <v>3024</v>
      </c>
      <c r="I1157" s="67" t="s">
        <v>962</v>
      </c>
      <c r="J1157" s="67" t="str">
        <f>INDEX(数据元说明!A:F,MATCH(I1157,数据元说明!C:C,0),2)</f>
        <v>006006</v>
      </c>
      <c r="K1157" s="68" t="str">
        <f>INDEX(数据元说明!A:F,MATCH(I1157,数据元说明!C:C,0),5)</f>
        <v>信用卡片种类名称。</v>
      </c>
      <c r="L1157" s="67" t="str">
        <f>INDEX(数据元说明!A:F,MATCH(I1157,数据元说明!C:C,0),6)</f>
        <v>C..60</v>
      </c>
      <c r="M1157" s="69"/>
      <c r="N1157" s="69"/>
      <c r="O1157" s="69"/>
      <c r="P1157" s="69"/>
    </row>
    <row r="1158" ht="39.95" hidden="1" customHeight="1" outlineLevel="1" spans="1:16">
      <c r="A1158" s="73"/>
      <c r="B1158" s="71"/>
      <c r="C1158" s="59" t="s">
        <v>235</v>
      </c>
      <c r="D1158" s="59" t="s">
        <v>3015</v>
      </c>
      <c r="E1158" s="65">
        <v>801</v>
      </c>
      <c r="F1158" s="67" t="s">
        <v>966</v>
      </c>
      <c r="G1158" s="65">
        <f t="shared" si="0"/>
        <v>80112</v>
      </c>
      <c r="H1158" s="67" t="s">
        <v>3025</v>
      </c>
      <c r="I1158" s="67" t="s">
        <v>966</v>
      </c>
      <c r="J1158" s="67" t="str">
        <f>INDEX(数据元说明!A:F,MATCH(I1158,数据元说明!C:C,0),2)</f>
        <v>006007</v>
      </c>
      <c r="K1158" s="67" t="str">
        <f>INDEX(数据元说明!A:F,MATCH(I1158,数据元说明!C:C,0),5)</f>
        <v>个人卡，单位卡。</v>
      </c>
      <c r="L1158" s="67" t="str">
        <f>INDEX(数据元说明!A:F,MATCH(I1158,数据元说明!C:C,0),6)</f>
        <v>C9</v>
      </c>
      <c r="M1158" s="69" t="s">
        <v>3026</v>
      </c>
      <c r="N1158" s="67" t="s">
        <v>1601</v>
      </c>
      <c r="O1158" s="69"/>
      <c r="P1158" s="69"/>
    </row>
    <row r="1159" ht="39.95" hidden="1" customHeight="1" outlineLevel="1" spans="1:16">
      <c r="A1159" s="73"/>
      <c r="B1159" s="71"/>
      <c r="C1159" s="59" t="s">
        <v>235</v>
      </c>
      <c r="D1159" s="59" t="s">
        <v>3015</v>
      </c>
      <c r="E1159" s="65">
        <v>801</v>
      </c>
      <c r="F1159" s="67" t="s">
        <v>971</v>
      </c>
      <c r="G1159" s="65">
        <f t="shared" si="0"/>
        <v>80113</v>
      </c>
      <c r="H1159" s="67" t="s">
        <v>3027</v>
      </c>
      <c r="I1159" s="67" t="s">
        <v>971</v>
      </c>
      <c r="J1159" s="67" t="str">
        <f>INDEX(数据元说明!A:F,MATCH(I1159,数据元说明!C:C,0),2)</f>
        <v>006008</v>
      </c>
      <c r="K1159" s="68" t="str">
        <f>INDEX(数据元说明!A:F,MATCH(I1159,数据元说明!C:C,0),5)</f>
        <v>中文字典或中文描述，银行自定义。</v>
      </c>
      <c r="L1159" s="67" t="str">
        <f>INDEX(数据元说明!A:F,MATCH(I1159,数据元说明!C:C,0),6)</f>
        <v>C..60</v>
      </c>
      <c r="M1159" s="68"/>
      <c r="N1159" s="68"/>
      <c r="O1159" s="68"/>
      <c r="P1159" s="69"/>
    </row>
    <row r="1160" ht="39.95" hidden="1" customHeight="1" outlineLevel="1" spans="1:16">
      <c r="A1160" s="73"/>
      <c r="B1160" s="71"/>
      <c r="C1160" s="59" t="s">
        <v>235</v>
      </c>
      <c r="D1160" s="59" t="s">
        <v>3015</v>
      </c>
      <c r="E1160" s="65">
        <v>801</v>
      </c>
      <c r="F1160" s="67" t="s">
        <v>3028</v>
      </c>
      <c r="G1160" s="65">
        <f t="shared" si="0"/>
        <v>80114</v>
      </c>
      <c r="H1160" s="67" t="s">
        <v>3029</v>
      </c>
      <c r="I1160" s="67" t="s">
        <v>454</v>
      </c>
      <c r="J1160" s="67" t="str">
        <f>INDEX(数据元说明!A:F,MATCH(I1160,数据元说明!C:C,0),2)</f>
        <v>001031</v>
      </c>
      <c r="K1160" s="68" t="str">
        <f>INDEX(数据元说明!A:F,MATCH(I1160,数据元说明!C:C,0),5)</f>
        <v>多个名称</v>
      </c>
      <c r="L1160" s="67" t="str">
        <f>INDEX(数据元说明!A:F,MATCH(I1160,数据元说明!C:C,0),6)</f>
        <v>C..3000</v>
      </c>
      <c r="M1160" s="68" t="s">
        <v>3030</v>
      </c>
      <c r="N1160" s="68"/>
      <c r="O1160" s="68"/>
      <c r="P1160" s="69"/>
    </row>
    <row r="1161" ht="39.95" hidden="1" customHeight="1" outlineLevel="1" spans="1:16">
      <c r="A1161" s="73"/>
      <c r="B1161" s="71"/>
      <c r="C1161" s="59" t="s">
        <v>235</v>
      </c>
      <c r="D1161" s="59" t="s">
        <v>3015</v>
      </c>
      <c r="E1161" s="65">
        <v>801</v>
      </c>
      <c r="F1161" s="67" t="s">
        <v>974</v>
      </c>
      <c r="G1161" s="65">
        <f t="shared" si="0"/>
        <v>80115</v>
      </c>
      <c r="H1161" s="67" t="s">
        <v>3031</v>
      </c>
      <c r="I1161" s="67" t="s">
        <v>974</v>
      </c>
      <c r="J1161" s="67" t="str">
        <f>INDEX(数据元说明!A:F,MATCH(I1161,数据元说明!C:C,0),2)</f>
        <v>006009</v>
      </c>
      <c r="K1161" s="68" t="str">
        <f>INDEX(数据元说明!A:F,MATCH(I1161,数据元说明!C:C,0),5)</f>
        <v>银行网点、银行卡中心直销、银行官方网站（含网银渠道）、手机终端（银行APP）、合作发卡、第三方机构引流、其他-银行自定义。无法以枚举类型填报的，以“其他-XX”填报，其中XX为银行自定义类型。</v>
      </c>
      <c r="L1161" s="67" t="str">
        <f>INDEX(数据元说明!A:F,MATCH(I1161,数据元说明!C:C,0),6)</f>
        <v>C..60</v>
      </c>
      <c r="M1161" s="68" t="s">
        <v>3032</v>
      </c>
      <c r="N1161" s="67" t="s">
        <v>1601</v>
      </c>
      <c r="O1161" s="68"/>
      <c r="P1161" s="69"/>
    </row>
    <row r="1162" ht="39.95" hidden="1" customHeight="1" outlineLevel="1" spans="1:16">
      <c r="A1162" s="73"/>
      <c r="B1162" s="71"/>
      <c r="C1162" s="59" t="s">
        <v>235</v>
      </c>
      <c r="D1162" s="59" t="s">
        <v>3015</v>
      </c>
      <c r="E1162" s="65">
        <v>801</v>
      </c>
      <c r="F1162" s="67" t="s">
        <v>2010</v>
      </c>
      <c r="G1162" s="65">
        <f t="shared" si="0"/>
        <v>80116</v>
      </c>
      <c r="H1162" s="67" t="s">
        <v>2011</v>
      </c>
      <c r="I1162" s="67" t="s">
        <v>345</v>
      </c>
      <c r="J1162" s="67" t="str">
        <f>INDEX(数据元说明!A:F,MATCH(I1162,数据元说明!C:C,0),2)</f>
        <v>001005</v>
      </c>
      <c r="K1162" s="68" t="str">
        <f>INDEX(数据元说明!A:F,MATCH(I1162,数据元说明!C:C,0),5)</f>
        <v>YYYYMMDD，默认值99991231。</v>
      </c>
      <c r="L1162" s="67" t="str">
        <f>INDEX(数据元说明!A:F,MATCH(I1162,数据元说明!C:C,0),6)</f>
        <v>C8</v>
      </c>
      <c r="M1162" s="68"/>
      <c r="N1162" s="68"/>
      <c r="O1162" s="68"/>
      <c r="P1162" s="69"/>
    </row>
    <row r="1163" ht="39.95" hidden="1" customHeight="1" outlineLevel="1" spans="1:16">
      <c r="A1163" s="73"/>
      <c r="B1163" s="84"/>
      <c r="C1163" s="59" t="s">
        <v>235</v>
      </c>
      <c r="D1163" s="59" t="s">
        <v>3015</v>
      </c>
      <c r="E1163" s="65">
        <v>801</v>
      </c>
      <c r="F1163" s="68" t="s">
        <v>2012</v>
      </c>
      <c r="G1163" s="65">
        <f t="shared" si="0"/>
        <v>80117</v>
      </c>
      <c r="H1163" s="68" t="s">
        <v>3033</v>
      </c>
      <c r="I1163" s="68" t="s">
        <v>409</v>
      </c>
      <c r="J1163" s="67" t="str">
        <f>INDEX(数据元说明!A:F,MATCH(I1163,数据元说明!C:C,0),2)</f>
        <v>001020</v>
      </c>
      <c r="K1163" s="68" t="str">
        <f>INDEX(数据元说明!A:F,MATCH(I1163,数据元说明!C:C,0),5)</f>
        <v>柜员编号，银行自定义。</v>
      </c>
      <c r="L1163" s="67" t="str">
        <f>INDEX(数据元说明!A:F,MATCH(I1163,数据元说明!C:C,0),6)</f>
        <v>C..30</v>
      </c>
      <c r="M1163" s="69" t="s">
        <v>3034</v>
      </c>
      <c r="N1163" s="67" t="s">
        <v>1583</v>
      </c>
      <c r="O1163" s="68" t="s">
        <v>2359</v>
      </c>
      <c r="P1163" s="69"/>
    </row>
    <row r="1164" ht="39.95" hidden="1" customHeight="1" outlineLevel="1" spans="1:16">
      <c r="A1164" s="68"/>
      <c r="B1164" s="67"/>
      <c r="C1164" s="59" t="s">
        <v>235</v>
      </c>
      <c r="D1164" s="59" t="s">
        <v>3015</v>
      </c>
      <c r="E1164" s="65">
        <v>801</v>
      </c>
      <c r="F1164" s="67" t="s">
        <v>950</v>
      </c>
      <c r="G1164" s="65">
        <f t="shared" si="0"/>
        <v>80118</v>
      </c>
      <c r="H1164" s="67" t="s">
        <v>2015</v>
      </c>
      <c r="I1164" s="67" t="s">
        <v>950</v>
      </c>
      <c r="J1164" s="67" t="str">
        <f>INDEX(数据元说明!A:F,MATCH(I1164,数据元说明!C:C,0),2)</f>
        <v>006003</v>
      </c>
      <c r="K1164" s="67" t="str">
        <f>INDEX(数据元说明!A:F,MATCH(I1164,数据元说明!C:C,0),5)</f>
        <v>未激活，正常，注销，冻结，睡眠，挂失，其他-银行自定义。以枚举类型填报，如果无法以枚举类型填报的，以“其他-XX”填报，其中XX为银行自定义的卡片状态。</v>
      </c>
      <c r="L1164" s="67" t="str">
        <f>INDEX(数据元说明!A:F,MATCH(I1164,数据元说明!C:C,0),6)</f>
        <v>C..30</v>
      </c>
      <c r="M1164" s="68" t="s">
        <v>2016</v>
      </c>
      <c r="N1164" s="67" t="s">
        <v>1583</v>
      </c>
      <c r="O1164" s="67" t="s">
        <v>321</v>
      </c>
      <c r="P1164" s="67" t="s">
        <v>1648</v>
      </c>
    </row>
    <row r="1165" ht="39.95" hidden="1" customHeight="1" outlineLevel="1" spans="1:16">
      <c r="A1165" s="73"/>
      <c r="B1165" s="71"/>
      <c r="C1165" s="59" t="s">
        <v>235</v>
      </c>
      <c r="D1165" s="59" t="s">
        <v>3015</v>
      </c>
      <c r="E1165" s="65">
        <v>801</v>
      </c>
      <c r="F1165" s="67" t="s">
        <v>3035</v>
      </c>
      <c r="G1165" s="65">
        <f t="shared" si="0"/>
        <v>80119</v>
      </c>
      <c r="H1165" s="67" t="s">
        <v>3036</v>
      </c>
      <c r="I1165" s="67" t="s">
        <v>330</v>
      </c>
      <c r="J1165" s="67" t="str">
        <f>INDEX(数据元说明!A:F,MATCH(I1165,数据元说明!C:C,0),2)</f>
        <v>001002</v>
      </c>
      <c r="K1165" s="68" t="str">
        <f>INDEX(数据元说明!A:F,MATCH(I1165,数据元说明!C:C,0),5)</f>
        <v>是，否。</v>
      </c>
      <c r="L1165" s="67" t="str">
        <f>INDEX(数据元说明!A:F,MATCH(I1165,数据元说明!C:C,0),6)</f>
        <v>C3</v>
      </c>
      <c r="M1165" s="68"/>
      <c r="N1165" s="68"/>
      <c r="O1165" s="68"/>
      <c r="P1165" s="69"/>
    </row>
    <row r="1166" ht="39.95" hidden="1" customHeight="1" outlineLevel="1" spans="1:16">
      <c r="A1166" s="73"/>
      <c r="B1166" s="71"/>
      <c r="C1166" s="59" t="s">
        <v>235</v>
      </c>
      <c r="D1166" s="59" t="s">
        <v>3015</v>
      </c>
      <c r="E1166" s="65">
        <v>801</v>
      </c>
      <c r="F1166" s="67" t="s">
        <v>3037</v>
      </c>
      <c r="G1166" s="65">
        <f t="shared" si="0"/>
        <v>80120</v>
      </c>
      <c r="H1166" s="67" t="s">
        <v>3038</v>
      </c>
      <c r="I1166" s="67" t="s">
        <v>942</v>
      </c>
      <c r="J1166" s="67" t="str">
        <f>INDEX(数据元说明!A:F,MATCH(I1166,数据元说明!C:C,0),2)</f>
        <v>006001</v>
      </c>
      <c r="K1166" s="68" t="str">
        <f>INDEX(数据元说明!A:F,MATCH(I1166,数据元说明!C:C,0),5)</f>
        <v>卡号，可以是借记卡号，贷记卡号等。</v>
      </c>
      <c r="L1166" s="67" t="str">
        <f>INDEX(数据元说明!A:F,MATCH(I1166,数据元说明!C:C,0),6)</f>
        <v>C..60</v>
      </c>
      <c r="M1166" s="68" t="s">
        <v>3039</v>
      </c>
      <c r="N1166" s="68"/>
      <c r="O1166" s="68"/>
      <c r="P1166" s="69"/>
    </row>
    <row r="1167" ht="39.95" hidden="1" customHeight="1" outlineLevel="1" spans="1:16">
      <c r="A1167" s="73"/>
      <c r="B1167" s="71"/>
      <c r="C1167" s="59" t="s">
        <v>235</v>
      </c>
      <c r="D1167" s="59" t="s">
        <v>3015</v>
      </c>
      <c r="E1167" s="65">
        <v>801</v>
      </c>
      <c r="F1167" s="73" t="s">
        <v>844</v>
      </c>
      <c r="G1167" s="65">
        <f t="shared" si="0"/>
        <v>80121</v>
      </c>
      <c r="H1167" s="73" t="s">
        <v>2317</v>
      </c>
      <c r="I1167" s="73" t="s">
        <v>844</v>
      </c>
      <c r="J1167" s="67" t="str">
        <f>INDEX(数据元说明!A:F,MATCH(I1167,数据元说明!C:C,0),2)</f>
        <v>005026</v>
      </c>
      <c r="K1167" s="68" t="str">
        <f>INDEX(数据元说明!A:F,MATCH(I1167,数据元说明!C:C,0),5)</f>
        <v>抵押，质押，保证，信用，混合，其他-银行自定义。若无法以枚举类型填写，则以“其他-XX”填报，其中“XX”为银行自定义类型。</v>
      </c>
      <c r="L1167" s="67" t="str">
        <f>INDEX(数据元说明!A:F,MATCH(I1167,数据元说明!C:C,0),6)</f>
        <v>C..60</v>
      </c>
      <c r="M1167" s="68"/>
      <c r="N1167" s="68"/>
      <c r="O1167" s="68"/>
      <c r="P1167" s="69"/>
    </row>
    <row r="1168" ht="39.95" hidden="1" customHeight="1" outlineLevel="1" spans="1:16">
      <c r="A1168" s="73"/>
      <c r="B1168" s="71"/>
      <c r="C1168" s="59" t="s">
        <v>235</v>
      </c>
      <c r="D1168" s="59" t="s">
        <v>3015</v>
      </c>
      <c r="E1168" s="65">
        <v>801</v>
      </c>
      <c r="F1168" s="73" t="s">
        <v>742</v>
      </c>
      <c r="G1168" s="65">
        <f t="shared" si="0"/>
        <v>80122</v>
      </c>
      <c r="H1168" s="73" t="s">
        <v>3040</v>
      </c>
      <c r="I1168" s="73" t="s">
        <v>742</v>
      </c>
      <c r="J1168" s="67" t="str">
        <f>INDEX(数据元说明!A:F,MATCH(I1168,数据元说明!C:C,0),2)</f>
        <v>004009</v>
      </c>
      <c r="K1168" s="68" t="str">
        <f>INDEX(数据元说明!A:F,MATCH(I1168,数据元说明!C:C,0),5)</f>
        <v>中文字典或中文描述，银行自定义。</v>
      </c>
      <c r="L1168" s="67" t="str">
        <f>INDEX(数据元说明!A:F,MATCH(I1168,数据元说明!C:C,0),6)</f>
        <v>C..600</v>
      </c>
      <c r="M1168" s="68" t="s">
        <v>3041</v>
      </c>
      <c r="N1168" s="67" t="s">
        <v>1583</v>
      </c>
      <c r="O1168" s="67" t="s">
        <v>484</v>
      </c>
      <c r="P1168" s="69"/>
    </row>
    <row r="1169" ht="39.95" hidden="1" customHeight="1" outlineLevel="1" spans="1:16">
      <c r="A1169" s="73"/>
      <c r="B1169" s="71"/>
      <c r="C1169" s="59" t="s">
        <v>235</v>
      </c>
      <c r="D1169" s="59" t="s">
        <v>3015</v>
      </c>
      <c r="E1169" s="65">
        <v>801</v>
      </c>
      <c r="F1169" s="67" t="s">
        <v>3042</v>
      </c>
      <c r="G1169" s="65">
        <f t="shared" si="0"/>
        <v>80123</v>
      </c>
      <c r="H1169" s="67" t="s">
        <v>3043</v>
      </c>
      <c r="I1169" s="67" t="s">
        <v>330</v>
      </c>
      <c r="J1169" s="67" t="str">
        <f>INDEX(数据元说明!A:F,MATCH(I1169,数据元说明!C:C,0),2)</f>
        <v>001002</v>
      </c>
      <c r="K1169" s="68" t="str">
        <f>INDEX(数据元说明!A:F,MATCH(I1169,数据元说明!C:C,0),5)</f>
        <v>是，否。</v>
      </c>
      <c r="L1169" s="67" t="str">
        <f>INDEX(数据元说明!A:F,MATCH(I1169,数据元说明!C:C,0),6)</f>
        <v>C3</v>
      </c>
      <c r="M1169" s="68"/>
      <c r="N1169" s="68"/>
      <c r="O1169" s="68"/>
      <c r="P1169" s="69"/>
    </row>
    <row r="1170" ht="39.95" hidden="1" customHeight="1" outlineLevel="1" spans="1:16">
      <c r="A1170" s="73"/>
      <c r="B1170" s="71"/>
      <c r="C1170" s="59" t="s">
        <v>235</v>
      </c>
      <c r="D1170" s="59" t="s">
        <v>3015</v>
      </c>
      <c r="E1170" s="65">
        <v>801</v>
      </c>
      <c r="F1170" s="67" t="s">
        <v>3044</v>
      </c>
      <c r="G1170" s="65">
        <f t="shared" si="0"/>
        <v>80124</v>
      </c>
      <c r="H1170" s="67" t="s">
        <v>3045</v>
      </c>
      <c r="I1170" s="67" t="s">
        <v>330</v>
      </c>
      <c r="J1170" s="67" t="str">
        <f>INDEX(数据元说明!A:F,MATCH(I1170,数据元说明!C:C,0),2)</f>
        <v>001002</v>
      </c>
      <c r="K1170" s="68" t="str">
        <f>INDEX(数据元说明!A:F,MATCH(I1170,数据元说明!C:C,0),5)</f>
        <v>是，否。</v>
      </c>
      <c r="L1170" s="67" t="str">
        <f>INDEX(数据元说明!A:F,MATCH(I1170,数据元说明!C:C,0),6)</f>
        <v>C3</v>
      </c>
      <c r="M1170" s="85" t="s">
        <v>3046</v>
      </c>
      <c r="N1170" s="68"/>
      <c r="O1170" s="68"/>
      <c r="P1170" s="69"/>
    </row>
    <row r="1171" ht="39.95" hidden="1" customHeight="1" outlineLevel="1" spans="1:16">
      <c r="A1171" s="73"/>
      <c r="B1171" s="71"/>
      <c r="C1171" s="59" t="s">
        <v>235</v>
      </c>
      <c r="D1171" s="59" t="s">
        <v>3015</v>
      </c>
      <c r="E1171" s="65">
        <v>801</v>
      </c>
      <c r="F1171" s="67" t="s">
        <v>3047</v>
      </c>
      <c r="G1171" s="65">
        <f t="shared" si="0"/>
        <v>80125</v>
      </c>
      <c r="H1171" s="67" t="s">
        <v>3048</v>
      </c>
      <c r="I1171" s="67" t="s">
        <v>330</v>
      </c>
      <c r="J1171" s="67" t="str">
        <f>INDEX(数据元说明!A:F,MATCH(I1171,数据元说明!C:C,0),2)</f>
        <v>001002</v>
      </c>
      <c r="K1171" s="68" t="str">
        <f>INDEX(数据元说明!A:F,MATCH(I1171,数据元说明!C:C,0),5)</f>
        <v>是，否。</v>
      </c>
      <c r="L1171" s="67" t="str">
        <f>INDEX(数据元说明!A:F,MATCH(I1171,数据元说明!C:C,0),6)</f>
        <v>C3</v>
      </c>
      <c r="M1171" s="68" t="s">
        <v>3049</v>
      </c>
      <c r="N1171" s="68"/>
      <c r="O1171" s="68"/>
      <c r="P1171" s="69"/>
    </row>
    <row r="1172" ht="39.95" hidden="1" customHeight="1" outlineLevel="1" spans="1:16">
      <c r="A1172" s="73"/>
      <c r="B1172" s="71"/>
      <c r="C1172" s="59" t="s">
        <v>235</v>
      </c>
      <c r="D1172" s="59" t="s">
        <v>3015</v>
      </c>
      <c r="E1172" s="65">
        <v>801</v>
      </c>
      <c r="F1172" s="67" t="s">
        <v>3050</v>
      </c>
      <c r="G1172" s="65">
        <f t="shared" si="0"/>
        <v>80126</v>
      </c>
      <c r="H1172" s="67" t="s">
        <v>3051</v>
      </c>
      <c r="I1172" s="67" t="s">
        <v>1033</v>
      </c>
      <c r="J1172" s="67" t="str">
        <f>INDEX(数据元说明!A:F,MATCH(I1172,数据元说明!C:C,0),2)</f>
        <v>007005</v>
      </c>
      <c r="K1172" s="68" t="str">
        <f>INDEX(数据元说明!A:F,MATCH(I1172,数据元说明!C:C,0),5)</f>
        <v>盗刷,套现,用于投资,流向房地产,用于生产经营,其他-银行自定义。无法以枚举类型填报的，以“其他-XX”填报，其中XX为银行自定义类型。</v>
      </c>
      <c r="L1172" s="67" t="str">
        <f>INDEX(数据元说明!A:F,MATCH(I1172,数据元说明!C:C,0),6)</f>
        <v>C..60</v>
      </c>
      <c r="M1172" s="68"/>
      <c r="N1172" s="68"/>
      <c r="O1172" s="68"/>
      <c r="P1172" s="69"/>
    </row>
    <row r="1173" ht="39.95" hidden="1" customHeight="1" outlineLevel="1" spans="1:16">
      <c r="A1173" s="73"/>
      <c r="B1173" s="71"/>
      <c r="C1173" s="59" t="s">
        <v>235</v>
      </c>
      <c r="D1173" s="59" t="s">
        <v>3015</v>
      </c>
      <c r="E1173" s="65">
        <v>801</v>
      </c>
      <c r="F1173" s="67" t="s">
        <v>3052</v>
      </c>
      <c r="G1173" s="65">
        <f t="shared" si="0"/>
        <v>80127</v>
      </c>
      <c r="H1173" s="67" t="s">
        <v>3053</v>
      </c>
      <c r="I1173" s="67" t="s">
        <v>1041</v>
      </c>
      <c r="J1173" s="67" t="str">
        <f>INDEX(数据元说明!A:F,MATCH(I1173,数据元说明!C:C,0),2)</f>
        <v>007007</v>
      </c>
      <c r="K1173" s="68" t="str">
        <f>INDEX(数据元说明!A:F,MATCH(I1173,数据元说明!C:C,0),5)</f>
        <v>警告,降额,止付,提前还款，其他-银行自定义。无法以枚举类型填报的，以“其他-XX”填报，其中XX为银行自定义类型。</v>
      </c>
      <c r="L1173" s="67" t="str">
        <f>INDEX(数据元说明!A:F,MATCH(I1173,数据元说明!C:C,0),6)</f>
        <v>C..60</v>
      </c>
      <c r="M1173" s="68"/>
      <c r="N1173" s="68"/>
      <c r="O1173" s="68"/>
      <c r="P1173" s="69"/>
    </row>
    <row r="1174" s="40" customFormat="1" ht="39.95" hidden="1" customHeight="1" outlineLevel="1" spans="1:16">
      <c r="A1174" s="73"/>
      <c r="B1174" s="71"/>
      <c r="C1174" s="59" t="s">
        <v>235</v>
      </c>
      <c r="D1174" s="59" t="s">
        <v>3015</v>
      </c>
      <c r="E1174" s="65">
        <v>801</v>
      </c>
      <c r="F1174" s="67" t="s">
        <v>3054</v>
      </c>
      <c r="G1174" s="65">
        <f t="shared" si="0"/>
        <v>80128</v>
      </c>
      <c r="H1174" s="67" t="s">
        <v>3055</v>
      </c>
      <c r="I1174" s="67" t="s">
        <v>325</v>
      </c>
      <c r="J1174" s="67" t="str">
        <f>INDEX(数据元说明!A:F,MATCH(I1174,数据元说明!C:C,0),2)</f>
        <v>001001</v>
      </c>
      <c r="K1174" s="68" t="str">
        <f>INDEX(数据元说明!A:F,MATCH(I1174,数据元说明!C:C,0),5)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74" s="67" t="str">
        <f>INDEX(数据元说明!A:F,MATCH(I1174,数据元说明!C:C,0),6)</f>
        <v>C..450</v>
      </c>
      <c r="M1174" s="68" t="s">
        <v>3056</v>
      </c>
      <c r="N1174" s="68"/>
      <c r="O1174" s="68"/>
      <c r="P1174" s="69"/>
    </row>
    <row r="1175" s="40" customFormat="1" ht="39.95" hidden="1" customHeight="1" outlineLevel="1" spans="1:16">
      <c r="A1175" s="73"/>
      <c r="B1175" s="71"/>
      <c r="C1175" s="59" t="s">
        <v>235</v>
      </c>
      <c r="D1175" s="59" t="s">
        <v>3015</v>
      </c>
      <c r="E1175" s="65">
        <v>801</v>
      </c>
      <c r="F1175" s="67" t="s">
        <v>3057</v>
      </c>
      <c r="G1175" s="65">
        <f t="shared" si="0"/>
        <v>80129</v>
      </c>
      <c r="H1175" s="67" t="s">
        <v>3058</v>
      </c>
      <c r="I1175" s="67" t="s">
        <v>552</v>
      </c>
      <c r="J1175" s="67" t="str">
        <f>INDEX(数据元说明!A:F,MATCH(I1175,数据元说明!C:C,0),2)</f>
        <v>002016</v>
      </c>
      <c r="K1175" s="68" t="str">
        <f>INDEX(数据元说明!A:F,MATCH(I1175,数据元说明!C:C,0),5)</f>
        <v>已登记统一社会信用代码的，填18位统一社会信用代码；未登记统一社会信用代码的，填组织机构代码。境外机构、临时验资户类客户填写默认值0</v>
      </c>
      <c r="L1175" s="67" t="str">
        <f>INDEX(数据元说明!A:F,MATCH(I1175,数据元说明!C:C,0),6)</f>
        <v>C..40</v>
      </c>
      <c r="M1175" s="68" t="s">
        <v>3059</v>
      </c>
      <c r="N1175" s="68"/>
      <c r="O1175" s="68"/>
      <c r="P1175" s="69"/>
    </row>
    <row r="1176" ht="39.95" hidden="1" customHeight="1" outlineLevel="1" spans="1:16">
      <c r="A1176" s="73"/>
      <c r="B1176" s="71"/>
      <c r="C1176" s="59" t="s">
        <v>235</v>
      </c>
      <c r="D1176" s="59" t="s">
        <v>3015</v>
      </c>
      <c r="E1176" s="65">
        <v>801</v>
      </c>
      <c r="F1176" s="67" t="s">
        <v>3060</v>
      </c>
      <c r="G1176" s="65">
        <f t="shared" si="0"/>
        <v>80130</v>
      </c>
      <c r="H1176" s="67" t="s">
        <v>3061</v>
      </c>
      <c r="I1176" s="67" t="s">
        <v>330</v>
      </c>
      <c r="J1176" s="67" t="str">
        <f>INDEX(数据元说明!A:F,MATCH(I1176,数据元说明!C:C,0),2)</f>
        <v>001002</v>
      </c>
      <c r="K1176" s="68" t="str">
        <f>INDEX(数据元说明!A:F,MATCH(I1176,数据元说明!C:C,0),5)</f>
        <v>是，否。</v>
      </c>
      <c r="L1176" s="67" t="str">
        <f>INDEX(数据元说明!A:F,MATCH(I1176,数据元说明!C:C,0),6)</f>
        <v>C3</v>
      </c>
      <c r="M1176" s="68"/>
      <c r="N1176" s="68"/>
      <c r="O1176" s="68"/>
      <c r="P1176" s="69"/>
    </row>
    <row r="1177" ht="39.95" hidden="1" customHeight="1" outlineLevel="1" spans="1:16">
      <c r="A1177" s="73"/>
      <c r="B1177" s="71"/>
      <c r="C1177" s="59" t="s">
        <v>235</v>
      </c>
      <c r="D1177" s="59" t="s">
        <v>3015</v>
      </c>
      <c r="E1177" s="65">
        <v>801</v>
      </c>
      <c r="F1177" s="67" t="s">
        <v>3062</v>
      </c>
      <c r="G1177" s="65">
        <f t="shared" si="0"/>
        <v>80131</v>
      </c>
      <c r="H1177" s="67" t="s">
        <v>3063</v>
      </c>
      <c r="I1177" s="67" t="s">
        <v>746</v>
      </c>
      <c r="J1177" s="67" t="str">
        <f>INDEX(数据元说明!A:F,MATCH(I1177,数据元说明!C:C,0),2)</f>
        <v>005001</v>
      </c>
      <c r="K1177" s="68" t="str">
        <f>INDEX(数据元说明!A:F,MATCH(I1177,数据元说明!C:C,0),5)</f>
        <v>银行内部产品中文名称，银行自定义。</v>
      </c>
      <c r="L1177" s="67" t="str">
        <f>INDEX(数据元说明!A:F,MATCH(I1177,数据元说明!C:C,0),6)</f>
        <v>C..300</v>
      </c>
      <c r="M1177" s="68"/>
      <c r="N1177" s="68"/>
      <c r="O1177" s="68"/>
      <c r="P1177" s="69"/>
    </row>
    <row r="1178" ht="39.95" hidden="1" customHeight="1" outlineLevel="1" spans="1:16">
      <c r="A1178" s="73"/>
      <c r="B1178" s="71"/>
      <c r="C1178" s="59" t="s">
        <v>235</v>
      </c>
      <c r="D1178" s="59" t="s">
        <v>3015</v>
      </c>
      <c r="E1178" s="65">
        <v>801</v>
      </c>
      <c r="F1178" s="67" t="s">
        <v>3064</v>
      </c>
      <c r="G1178" s="65">
        <f t="shared" si="0"/>
        <v>80132</v>
      </c>
      <c r="H1178" s="67" t="s">
        <v>3065</v>
      </c>
      <c r="I1178" s="67" t="s">
        <v>325</v>
      </c>
      <c r="J1178" s="67" t="str">
        <f>INDEX(数据元说明!A:F,MATCH(I1178,数据元说明!C:C,0),2)</f>
        <v>001001</v>
      </c>
      <c r="K1178" s="68" t="str">
        <f>INDEX(数据元说明!A:F,MATCH(I1178,数据元说明!C:C,0),5)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78" s="67" t="str">
        <f>INDEX(数据元说明!A:F,MATCH(I1178,数据元说明!C:C,0),6)</f>
        <v>C..450</v>
      </c>
      <c r="M1178" s="68"/>
      <c r="N1178" s="68"/>
      <c r="O1178" s="68"/>
      <c r="P1178" s="69"/>
    </row>
    <row r="1179" ht="39.95" hidden="1" customHeight="1" outlineLevel="1" spans="1:16">
      <c r="A1179" s="73"/>
      <c r="B1179" s="71"/>
      <c r="C1179" s="59" t="s">
        <v>235</v>
      </c>
      <c r="D1179" s="59" t="s">
        <v>3015</v>
      </c>
      <c r="E1179" s="65">
        <v>801</v>
      </c>
      <c r="F1179" s="67" t="s">
        <v>3066</v>
      </c>
      <c r="G1179" s="65">
        <f t="shared" si="0"/>
        <v>80133</v>
      </c>
      <c r="H1179" s="67" t="s">
        <v>3067</v>
      </c>
      <c r="I1179" s="67" t="s">
        <v>552</v>
      </c>
      <c r="J1179" s="67" t="str">
        <f>INDEX(数据元说明!A:F,MATCH(I1179,数据元说明!C:C,0),2)</f>
        <v>002016</v>
      </c>
      <c r="K1179" s="68" t="str">
        <f>INDEX(数据元说明!A:F,MATCH(I1179,数据元说明!C:C,0),5)</f>
        <v>已登记统一社会信用代码的，填18位统一社会信用代码；未登记统一社会信用代码的，填组织机构代码。境外机构、临时验资户类客户填写默认值0</v>
      </c>
      <c r="L1179" s="67" t="str">
        <f>INDEX(数据元说明!A:F,MATCH(I1179,数据元说明!C:C,0),6)</f>
        <v>C..40</v>
      </c>
      <c r="M1179" s="68"/>
      <c r="N1179" s="68"/>
      <c r="O1179" s="68"/>
      <c r="P1179" s="69"/>
    </row>
    <row r="1180" ht="39.95" hidden="1" customHeight="1" outlineLevel="1" spans="1:16">
      <c r="A1180" s="73"/>
      <c r="B1180" s="71"/>
      <c r="C1180" s="59" t="s">
        <v>235</v>
      </c>
      <c r="D1180" s="59" t="s">
        <v>3015</v>
      </c>
      <c r="E1180" s="65">
        <v>801</v>
      </c>
      <c r="F1180" s="67" t="s">
        <v>3068</v>
      </c>
      <c r="G1180" s="65">
        <f t="shared" si="0"/>
        <v>80134</v>
      </c>
      <c r="H1180" s="67" t="s">
        <v>3069</v>
      </c>
      <c r="I1180" s="67" t="s">
        <v>330</v>
      </c>
      <c r="J1180" s="67" t="str">
        <f>INDEX(数据元说明!A:F,MATCH(I1180,数据元说明!C:C,0),2)</f>
        <v>001002</v>
      </c>
      <c r="K1180" s="68" t="str">
        <f>INDEX(数据元说明!A:F,MATCH(I1180,数据元说明!C:C,0),5)</f>
        <v>是，否。</v>
      </c>
      <c r="L1180" s="67" t="str">
        <f>INDEX(数据元说明!A:F,MATCH(I1180,数据元说明!C:C,0),6)</f>
        <v>C3</v>
      </c>
      <c r="M1180" s="68" t="s">
        <v>3070</v>
      </c>
      <c r="N1180" s="68"/>
      <c r="O1180" s="68"/>
      <c r="P1180" s="69"/>
    </row>
    <row r="1181" ht="39.95" hidden="1" customHeight="1" outlineLevel="1" spans="1:16">
      <c r="A1181" s="68"/>
      <c r="B1181" s="67"/>
      <c r="C1181" s="59" t="s">
        <v>235</v>
      </c>
      <c r="D1181" s="59" t="s">
        <v>3015</v>
      </c>
      <c r="E1181" s="65">
        <v>801</v>
      </c>
      <c r="F1181" s="67" t="s">
        <v>3071</v>
      </c>
      <c r="G1181" s="65">
        <f t="shared" si="0"/>
        <v>80135</v>
      </c>
      <c r="H1181" s="67" t="s">
        <v>3072</v>
      </c>
      <c r="I1181" s="67" t="s">
        <v>634</v>
      </c>
      <c r="J1181" s="67" t="str">
        <f>INDEX(数据元说明!A:F,MATCH(I1181,数据元说明!C:C,0),2)</f>
        <v>003008</v>
      </c>
      <c r="K1181" s="67" t="str">
        <f>INDEX(数据元说明!A:F,MATCH(I1181,数据元说明!C:C,0),5)</f>
        <v>与币种相对应金额。</v>
      </c>
      <c r="L1181" s="67" t="str">
        <f>INDEX(数据元说明!A:F,MATCH(I1181,数据元说明!C:C,0),6)</f>
        <v>D20.2</v>
      </c>
      <c r="M1181" s="68" t="s">
        <v>3073</v>
      </c>
      <c r="N1181" s="67" t="s">
        <v>1583</v>
      </c>
      <c r="O1181" s="67" t="s">
        <v>484</v>
      </c>
      <c r="P1181" s="67"/>
    </row>
    <row r="1182" ht="39.95" hidden="1" customHeight="1" outlineLevel="1" spans="1:16">
      <c r="A1182" s="73"/>
      <c r="B1182" s="71"/>
      <c r="C1182" s="59" t="s">
        <v>235</v>
      </c>
      <c r="D1182" s="59" t="s">
        <v>3015</v>
      </c>
      <c r="E1182" s="65">
        <v>801</v>
      </c>
      <c r="F1182" s="67" t="s">
        <v>3074</v>
      </c>
      <c r="G1182" s="65">
        <f t="shared" si="0"/>
        <v>80136</v>
      </c>
      <c r="H1182" s="67" t="s">
        <v>3075</v>
      </c>
      <c r="I1182" s="67" t="s">
        <v>642</v>
      </c>
      <c r="J1182" s="67" t="str">
        <f>INDEX(数据元说明!A:F,MATCH(I1182,数据元说明!C:C,0),2)</f>
        <v>003010</v>
      </c>
      <c r="K1182" s="68" t="str">
        <f>INDEX(数据元说明!A:F,MATCH(I1182,数据元说明!C:C,0),5)</f>
        <v>遵循《GB/T 12406 表示货币和资金的代码》的字母代码，如CNY。上述文件所列币种无法涵盖的，允许银行自定义填报。多个币种合计折算为人民币（本外币合计）的，填报为BWB。</v>
      </c>
      <c r="L1182" s="67" t="str">
        <f>INDEX(数据元说明!A:F,MATCH(I1182,数据元说明!C:C,0),6)</f>
        <v>C3</v>
      </c>
      <c r="M1182" s="68" t="s">
        <v>3076</v>
      </c>
      <c r="N1182" s="68"/>
      <c r="O1182" s="68"/>
      <c r="P1182" s="69"/>
    </row>
    <row r="1183" ht="39.95" hidden="1" customHeight="1" outlineLevel="1" spans="1:16">
      <c r="A1183" s="68"/>
      <c r="B1183" s="67"/>
      <c r="C1183" s="59" t="s">
        <v>235</v>
      </c>
      <c r="D1183" s="59" t="s">
        <v>3015</v>
      </c>
      <c r="E1183" s="65">
        <v>801</v>
      </c>
      <c r="F1183" s="67" t="s">
        <v>3077</v>
      </c>
      <c r="G1183" s="65">
        <f t="shared" si="0"/>
        <v>80137</v>
      </c>
      <c r="H1183" s="67" t="s">
        <v>3078</v>
      </c>
      <c r="I1183" s="67" t="s">
        <v>634</v>
      </c>
      <c r="J1183" s="67" t="str">
        <f>INDEX(数据元说明!A:F,MATCH(I1183,数据元说明!C:C,0),2)</f>
        <v>003008</v>
      </c>
      <c r="K1183" s="67" t="str">
        <f>INDEX(数据元说明!A:F,MATCH(I1183,数据元说明!C:C,0),5)</f>
        <v>与币种相对应金额。</v>
      </c>
      <c r="L1183" s="67" t="str">
        <f>INDEX(数据元说明!A:F,MATCH(I1183,数据元说明!C:C,0),6)</f>
        <v>D20.2</v>
      </c>
      <c r="M1183" s="68" t="s">
        <v>3073</v>
      </c>
      <c r="N1183" s="67" t="s">
        <v>1583</v>
      </c>
      <c r="O1183" s="67" t="s">
        <v>484</v>
      </c>
      <c r="P1183" s="67"/>
    </row>
    <row r="1184" ht="39.95" hidden="1" customHeight="1" outlineLevel="1" spans="1:16">
      <c r="A1184" s="73"/>
      <c r="B1184" s="71"/>
      <c r="C1184" s="59" t="s">
        <v>235</v>
      </c>
      <c r="D1184" s="59" t="s">
        <v>3015</v>
      </c>
      <c r="E1184" s="65">
        <v>801</v>
      </c>
      <c r="F1184" s="67" t="s">
        <v>3079</v>
      </c>
      <c r="G1184" s="65">
        <f t="shared" si="0"/>
        <v>80138</v>
      </c>
      <c r="H1184" s="67" t="s">
        <v>3080</v>
      </c>
      <c r="I1184" s="67" t="s">
        <v>638</v>
      </c>
      <c r="J1184" s="67" t="str">
        <f>INDEX(数据元说明!A:F,MATCH(I1184,数据元说明!C:C,0),2)</f>
        <v>003009</v>
      </c>
      <c r="K1184" s="68" t="str">
        <f>INDEX(数据元说明!A:F,MATCH(I1184,数据元说明!C:C,0),5)</f>
        <v>与币种相对应金额。(以正数填列。如信贷分户账，某客户初次获得贷款1万元，此时余额为10000；如活期存款明细，某客户初次开户存入10000元，此时余额为10000）</v>
      </c>
      <c r="L1184" s="67" t="str">
        <f>INDEX(数据元说明!A:F,MATCH(I1184,数据元说明!C:C,0),6)</f>
        <v>D20.2</v>
      </c>
      <c r="M1184" s="68" t="s">
        <v>3081</v>
      </c>
      <c r="N1184" s="67" t="s">
        <v>1601</v>
      </c>
      <c r="O1184" s="68"/>
      <c r="P1184" s="69"/>
    </row>
    <row r="1185" ht="39.95" hidden="1" customHeight="1" outlineLevel="1" spans="1:16">
      <c r="A1185" s="68"/>
      <c r="B1185" s="67"/>
      <c r="C1185" s="59" t="s">
        <v>235</v>
      </c>
      <c r="D1185" s="59" t="s">
        <v>3015</v>
      </c>
      <c r="E1185" s="65">
        <v>801</v>
      </c>
      <c r="F1185" s="67" t="s">
        <v>3082</v>
      </c>
      <c r="G1185" s="65">
        <f t="shared" si="0"/>
        <v>80139</v>
      </c>
      <c r="H1185" s="67" t="s">
        <v>3083</v>
      </c>
      <c r="I1185" s="67" t="s">
        <v>638</v>
      </c>
      <c r="J1185" s="67" t="str">
        <f>INDEX(数据元说明!A:F,MATCH(I1185,数据元说明!C:C,0),2)</f>
        <v>003009</v>
      </c>
      <c r="K1185" s="67" t="str">
        <f>INDEX(数据元说明!A:F,MATCH(I1185,数据元说明!C:C,0),5)</f>
        <v>与币种相对应金额。(以正数填列。如信贷分户账，某客户初次获得贷款1万元，此时余额为10000；如活期存款明细，某客户初次开户存入10000元，此时余额为10000）</v>
      </c>
      <c r="L1185" s="67" t="str">
        <f>INDEX(数据元说明!A:F,MATCH(I1185,数据元说明!C:C,0),6)</f>
        <v>D20.2</v>
      </c>
      <c r="M1185" s="68" t="s">
        <v>3084</v>
      </c>
      <c r="N1185" s="67" t="s">
        <v>1601</v>
      </c>
      <c r="O1185" s="67" t="s">
        <v>484</v>
      </c>
      <c r="P1185" s="67"/>
    </row>
    <row r="1186" ht="39.95" hidden="1" customHeight="1" outlineLevel="1" spans="1:16">
      <c r="A1186" s="73"/>
      <c r="B1186" s="71"/>
      <c r="C1186" s="59" t="s">
        <v>235</v>
      </c>
      <c r="D1186" s="59" t="s">
        <v>3015</v>
      </c>
      <c r="E1186" s="65">
        <v>801</v>
      </c>
      <c r="F1186" s="67" t="s">
        <v>3085</v>
      </c>
      <c r="G1186" s="65">
        <f t="shared" si="0"/>
        <v>80140</v>
      </c>
      <c r="H1186" s="67" t="s">
        <v>3086</v>
      </c>
      <c r="I1186" s="67" t="s">
        <v>345</v>
      </c>
      <c r="J1186" s="67" t="str">
        <f>INDEX(数据元说明!A:F,MATCH(I1186,数据元说明!C:C,0),2)</f>
        <v>001005</v>
      </c>
      <c r="K1186" s="68" t="str">
        <f>INDEX(数据元说明!A:F,MATCH(I1186,数据元说明!C:C,0),5)</f>
        <v>YYYYMMDD，默认值99991231。</v>
      </c>
      <c r="L1186" s="67" t="str">
        <f>INDEX(数据元说明!A:F,MATCH(I1186,数据元说明!C:C,0),6)</f>
        <v>C8</v>
      </c>
      <c r="M1186" s="68"/>
      <c r="N1186" s="68"/>
      <c r="O1186" s="68"/>
      <c r="P1186" s="69"/>
    </row>
    <row r="1187" ht="39.95" hidden="1" customHeight="1" outlineLevel="1" spans="1:16">
      <c r="A1187" s="68"/>
      <c r="B1187" s="67"/>
      <c r="C1187" s="59" t="s">
        <v>235</v>
      </c>
      <c r="D1187" s="59" t="s">
        <v>3015</v>
      </c>
      <c r="E1187" s="65">
        <v>801</v>
      </c>
      <c r="F1187" s="67" t="s">
        <v>3087</v>
      </c>
      <c r="G1187" s="65">
        <f t="shared" si="0"/>
        <v>80141</v>
      </c>
      <c r="H1187" s="67" t="s">
        <v>3088</v>
      </c>
      <c r="I1187" s="67" t="s">
        <v>345</v>
      </c>
      <c r="J1187" s="67" t="str">
        <f>INDEX(数据元说明!A:F,MATCH(I1187,数据元说明!C:C,0),2)</f>
        <v>001005</v>
      </c>
      <c r="K1187" s="67" t="str">
        <f>INDEX(数据元说明!A:F,MATCH(I1187,数据元说明!C:C,0),5)</f>
        <v>YYYYMMDD，默认值99991231。</v>
      </c>
      <c r="L1187" s="67" t="str">
        <f>INDEX(数据元说明!A:F,MATCH(I1187,数据元说明!C:C,0),6)</f>
        <v>C8</v>
      </c>
      <c r="M1187" s="68" t="s">
        <v>3089</v>
      </c>
      <c r="N1187" s="67" t="s">
        <v>1583</v>
      </c>
      <c r="O1187" s="67"/>
      <c r="P1187" s="67" t="s">
        <v>1648</v>
      </c>
    </row>
    <row r="1188" ht="39.95" hidden="1" customHeight="1" outlineLevel="1" spans="1:16">
      <c r="A1188" s="73"/>
      <c r="B1188" s="71"/>
      <c r="C1188" s="59" t="s">
        <v>235</v>
      </c>
      <c r="D1188" s="59" t="s">
        <v>3015</v>
      </c>
      <c r="E1188" s="65">
        <v>801</v>
      </c>
      <c r="F1188" s="67" t="s">
        <v>3090</v>
      </c>
      <c r="G1188" s="65">
        <f t="shared" si="0"/>
        <v>80142</v>
      </c>
      <c r="H1188" s="67" t="s">
        <v>3091</v>
      </c>
      <c r="I1188" s="67" t="s">
        <v>409</v>
      </c>
      <c r="J1188" s="67" t="str">
        <f>INDEX(数据元说明!A:F,MATCH(I1188,数据元说明!C:C,0),2)</f>
        <v>001020</v>
      </c>
      <c r="K1188" s="68" t="str">
        <f>INDEX(数据元说明!A:F,MATCH(I1188,数据元说明!C:C,0),5)</f>
        <v>柜员编号，银行自定义。</v>
      </c>
      <c r="L1188" s="67" t="str">
        <f>INDEX(数据元说明!A:F,MATCH(I1188,数据元说明!C:C,0),6)</f>
        <v>C..30</v>
      </c>
      <c r="M1188" s="68" t="s">
        <v>3092</v>
      </c>
      <c r="N1188" s="67" t="s">
        <v>1583</v>
      </c>
      <c r="O1188" s="68" t="s">
        <v>2102</v>
      </c>
      <c r="P1188" s="69"/>
    </row>
    <row r="1189" ht="39.95" hidden="1" customHeight="1" outlineLevel="1" spans="1:16">
      <c r="A1189" s="77"/>
      <c r="B1189" s="64"/>
      <c r="C1189" s="59" t="s">
        <v>235</v>
      </c>
      <c r="D1189" s="59" t="s">
        <v>3015</v>
      </c>
      <c r="E1189" s="65">
        <v>801</v>
      </c>
      <c r="F1189" s="67" t="s">
        <v>484</v>
      </c>
      <c r="G1189" s="65">
        <f t="shared" si="0"/>
        <v>80143</v>
      </c>
      <c r="H1189" s="67" t="s">
        <v>1623</v>
      </c>
      <c r="I1189" s="67" t="s">
        <v>484</v>
      </c>
      <c r="J1189" s="67" t="str">
        <f>INDEX(数据元说明!A:F,MATCH(I1189,数据元说明!C:C,0),2)</f>
        <v>001038</v>
      </c>
      <c r="K1189" s="68" t="str">
        <f>INDEX(数据元说明!A:F,MATCH(I1189,数据元说明!C:C,0),5)</f>
        <v>银行自定义。</v>
      </c>
      <c r="L1189" s="67" t="str">
        <f>INDEX(数据元说明!A:F,MATCH(I1189,数据元说明!C:C,0),6)</f>
        <v>C..600</v>
      </c>
      <c r="M1189" s="68" t="s">
        <v>1624</v>
      </c>
      <c r="N1189" s="68" t="s">
        <v>1601</v>
      </c>
      <c r="O1189" s="68"/>
      <c r="P1189" s="68"/>
    </row>
    <row r="1190" ht="39.95" hidden="1" customHeight="1" outlineLevel="1" spans="1:16">
      <c r="A1190" s="77"/>
      <c r="B1190" s="64"/>
      <c r="C1190" s="59" t="s">
        <v>235</v>
      </c>
      <c r="D1190" s="59" t="s">
        <v>3015</v>
      </c>
      <c r="E1190" s="65">
        <v>801</v>
      </c>
      <c r="F1190" s="67" t="s">
        <v>1625</v>
      </c>
      <c r="G1190" s="65">
        <f t="shared" si="0"/>
        <v>80144</v>
      </c>
      <c r="H1190" s="67" t="s">
        <v>1626</v>
      </c>
      <c r="I1190" s="67" t="s">
        <v>345</v>
      </c>
      <c r="J1190" s="67" t="str">
        <f>INDEX(数据元说明!A:F,MATCH(I1190,数据元说明!C:C,0),2)</f>
        <v>001005</v>
      </c>
      <c r="K1190" s="68" t="str">
        <f>INDEX(数据元说明!A:F,MATCH(I1190,数据元说明!C:C,0),5)</f>
        <v>YYYYMMDD，默认值99991231。</v>
      </c>
      <c r="L1190" s="67" t="str">
        <f>INDEX(数据元说明!A:F,MATCH(I1190,数据元说明!C:C,0),6)</f>
        <v>C8</v>
      </c>
      <c r="M1190" s="68" t="s">
        <v>1627</v>
      </c>
      <c r="N1190" s="68"/>
      <c r="O1190" s="68"/>
      <c r="P1190" s="69"/>
    </row>
    <row r="1191" ht="39.95" hidden="1" customHeight="1" collapsed="1" spans="1:16">
      <c r="A1191" s="73"/>
      <c r="B1191" s="71"/>
      <c r="C1191" s="59" t="s">
        <v>239</v>
      </c>
      <c r="D1191" s="59" t="s">
        <v>3093</v>
      </c>
      <c r="E1191" s="65">
        <v>802</v>
      </c>
      <c r="F1191" s="67"/>
      <c r="G1191" s="65"/>
      <c r="H1191" s="67"/>
      <c r="I1191" s="67"/>
      <c r="J1191" s="67"/>
      <c r="K1191" s="68"/>
      <c r="L1191" s="67"/>
      <c r="M1191" s="68" t="str">
        <f>INDEX(表结构总览!D:G,MATCH(D1191,表结构总览!D:D,0),4)</f>
        <v>影响信用卡余额变动的交易明细，不包括查询交易，以信用账号、卡号中取较小粒度报送。已核销卡的交易明细不再报送。</v>
      </c>
      <c r="N1191" s="68" t="s">
        <v>1583</v>
      </c>
      <c r="O1191" s="68" t="s">
        <v>484</v>
      </c>
      <c r="P1191" s="69"/>
    </row>
    <row r="1192" ht="39.95" hidden="1" customHeight="1" spans="1:16">
      <c r="A1192" s="73"/>
      <c r="B1192" s="71"/>
      <c r="C1192" s="59" t="s">
        <v>239</v>
      </c>
      <c r="D1192" s="59" t="s">
        <v>3093</v>
      </c>
      <c r="E1192" s="65">
        <v>802</v>
      </c>
      <c r="F1192" s="67" t="s">
        <v>709</v>
      </c>
      <c r="G1192" s="65">
        <v>80201</v>
      </c>
      <c r="H1192" s="67" t="s">
        <v>2157</v>
      </c>
      <c r="I1192" s="67" t="s">
        <v>709</v>
      </c>
      <c r="J1192" s="67" t="str">
        <f>INDEX(数据元说明!A:F,MATCH(I1192,数据元说明!C:C,0),2)</f>
        <v>004001</v>
      </c>
      <c r="K1192" s="68" t="str">
        <f>INDEX(数据元说明!A:F,MATCH(I1192,数据元说明!C:C,0),5)</f>
        <v>唯一标识该笔交易的编号，银行自定义。可以是业务编号，也可以是交易系统中使用的时间戳，需能够体现交易次序，如：时间戳(纳秒)：1530027865231834600。</v>
      </c>
      <c r="L1192" s="67" t="str">
        <f>INDEX(数据元说明!A:F,MATCH(I1192,数据元说明!C:C,0),6)</f>
        <v>C..100</v>
      </c>
      <c r="M1192" s="68" t="s">
        <v>1679</v>
      </c>
      <c r="N1192" s="68" t="s">
        <v>1601</v>
      </c>
      <c r="O1192" s="80"/>
      <c r="P1192" s="68"/>
    </row>
    <row r="1193" ht="39.95" hidden="1" customHeight="1" outlineLevel="1" spans="1:16">
      <c r="A1193" s="77"/>
      <c r="B1193" s="64"/>
      <c r="C1193" s="59" t="s">
        <v>239</v>
      </c>
      <c r="D1193" s="59" t="s">
        <v>3093</v>
      </c>
      <c r="E1193" s="65">
        <v>802</v>
      </c>
      <c r="F1193" s="67" t="s">
        <v>373</v>
      </c>
      <c r="G1193" s="65">
        <v>80202</v>
      </c>
      <c r="H1193" s="67" t="s">
        <v>1588</v>
      </c>
      <c r="I1193" s="67" t="s">
        <v>373</v>
      </c>
      <c r="J1193" s="67" t="str">
        <f>INDEX(数据元说明!A:F,MATCH(I1193,数据元说明!C:C,0),2)</f>
        <v>001011</v>
      </c>
      <c r="K1193" s="68" t="str">
        <f>INDEX(数据元说明!A:F,MATCH(I1193,数据元说明!C:C,0),5)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93" s="67" t="str">
        <f>INDEX(数据元说明!A:F,MATCH(I1193,数据元说明!C:C,0),6)</f>
        <v>C..30</v>
      </c>
      <c r="M1193" s="68" t="s">
        <v>3016</v>
      </c>
      <c r="N1193" s="68"/>
      <c r="O1193" s="68"/>
      <c r="P1193" s="68"/>
    </row>
    <row r="1194" ht="39.95" hidden="1" customHeight="1" outlineLevel="1" spans="1:16">
      <c r="A1194" s="73"/>
      <c r="B1194" s="71"/>
      <c r="C1194" s="59" t="s">
        <v>239</v>
      </c>
      <c r="D1194" s="59" t="s">
        <v>3093</v>
      </c>
      <c r="E1194" s="65">
        <v>802</v>
      </c>
      <c r="F1194" s="67" t="s">
        <v>377</v>
      </c>
      <c r="G1194" s="65">
        <v>80203</v>
      </c>
      <c r="H1194" s="67" t="s">
        <v>1586</v>
      </c>
      <c r="I1194" s="67" t="s">
        <v>377</v>
      </c>
      <c r="J1194" s="67" t="str">
        <f>INDEX(数据元说明!A:F,MATCH(I1194,数据元说明!C:C,0),2)</f>
        <v>001012</v>
      </c>
      <c r="K1194" s="68" t="str">
        <f>INDEX(数据元说明!A:F,MATCH(I1194,数据元说明!C:C,0),5)</f>
        <v>银行内部机构号。应具有标识机构的唯一性。</v>
      </c>
      <c r="L1194" s="67" t="str">
        <f>INDEX(数据元说明!A:F,MATCH(I1194,数据元说明!C:C,0),6)</f>
        <v>C..30</v>
      </c>
      <c r="M1194" s="68" t="s">
        <v>3017</v>
      </c>
      <c r="N1194" s="68"/>
      <c r="O1194" s="68"/>
      <c r="P1194" s="69"/>
    </row>
    <row r="1195" ht="39.95" hidden="1" customHeight="1" outlineLevel="1" spans="1:16">
      <c r="A1195" s="77"/>
      <c r="B1195" s="64"/>
      <c r="C1195" s="59" t="s">
        <v>239</v>
      </c>
      <c r="D1195" s="59" t="s">
        <v>3093</v>
      </c>
      <c r="E1195" s="65">
        <v>802</v>
      </c>
      <c r="F1195" s="67" t="s">
        <v>1592</v>
      </c>
      <c r="G1195" s="65">
        <v>80204</v>
      </c>
      <c r="H1195" s="67" t="s">
        <v>1593</v>
      </c>
      <c r="I1195" s="67" t="s">
        <v>325</v>
      </c>
      <c r="J1195" s="67" t="str">
        <f>INDEX(数据元说明!A:F,MATCH(I1195,数据元说明!C:C,0),2)</f>
        <v>001001</v>
      </c>
      <c r="K1195" s="68" t="str">
        <f>INDEX(数据元说明!A:F,MATCH(I1195,数据元说明!C:C,0),5)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95" s="67" t="str">
        <f>INDEX(数据元说明!A:F,MATCH(I1195,数据元说明!C:C,0),6)</f>
        <v>C..450</v>
      </c>
      <c r="M1195" s="68" t="s">
        <v>3018</v>
      </c>
      <c r="N1195" s="68" t="s">
        <v>1601</v>
      </c>
      <c r="O1195" s="68"/>
      <c r="P1195" s="69"/>
    </row>
    <row r="1196" ht="39.95" hidden="1" customHeight="1" outlineLevel="1" spans="1:16">
      <c r="A1196" s="73"/>
      <c r="B1196" s="71"/>
      <c r="C1196" s="59" t="s">
        <v>239</v>
      </c>
      <c r="D1196" s="59" t="s">
        <v>3093</v>
      </c>
      <c r="E1196" s="65">
        <v>802</v>
      </c>
      <c r="F1196" s="67" t="s">
        <v>2125</v>
      </c>
      <c r="G1196" s="65">
        <v>80205</v>
      </c>
      <c r="H1196" s="67" t="s">
        <v>2126</v>
      </c>
      <c r="I1196" s="67" t="s">
        <v>609</v>
      </c>
      <c r="J1196" s="67" t="str">
        <f>INDEX(数据元说明!A:F,MATCH(I1196,数据元说明!C:C,0),2)</f>
        <v>003002</v>
      </c>
      <c r="K1196" s="68" t="str">
        <f>INDEX(数据元说明!A:F,MATCH(I1196,数据元说明!C:C,0),5)</f>
        <v>机构实际使用的总账会计科目编码。</v>
      </c>
      <c r="L1196" s="67" t="str">
        <f>INDEX(数据元说明!A:F,MATCH(I1196,数据元说明!C:C,0),6)</f>
        <v>C..60</v>
      </c>
      <c r="M1196" s="68" t="s">
        <v>2219</v>
      </c>
      <c r="N1196" s="68" t="s">
        <v>1583</v>
      </c>
      <c r="O1196" s="68" t="s">
        <v>1577</v>
      </c>
      <c r="P1196" s="69"/>
    </row>
    <row r="1197" ht="39.95" hidden="1" customHeight="1" outlineLevel="1" spans="1:16">
      <c r="A1197" s="73"/>
      <c r="B1197" s="71"/>
      <c r="C1197" s="59" t="s">
        <v>239</v>
      </c>
      <c r="D1197" s="59" t="s">
        <v>3093</v>
      </c>
      <c r="E1197" s="65">
        <v>802</v>
      </c>
      <c r="F1197" s="67" t="s">
        <v>2128</v>
      </c>
      <c r="G1197" s="65">
        <v>80206</v>
      </c>
      <c r="H1197" s="67" t="s">
        <v>2129</v>
      </c>
      <c r="I1197" s="67" t="s">
        <v>613</v>
      </c>
      <c r="J1197" s="67" t="str">
        <f>INDEX(数据元说明!A:F,MATCH(I1197,数据元说明!C:C,0),2)</f>
        <v>003003</v>
      </c>
      <c r="K1197" s="68" t="str">
        <f>INDEX(数据元说明!A:F,MATCH(I1197,数据元说明!C:C,0),5)</f>
        <v>机构实际使用的总账会计科目编码对应的名称。</v>
      </c>
      <c r="L1197" s="67" t="str">
        <f>INDEX(数据元说明!A:F,MATCH(I1197,数据元说明!C:C,0),6)</f>
        <v>C..300</v>
      </c>
      <c r="M1197" s="68" t="s">
        <v>2219</v>
      </c>
      <c r="N1197" s="68" t="s">
        <v>1583</v>
      </c>
      <c r="O1197" s="68" t="s">
        <v>484</v>
      </c>
      <c r="P1197" s="69"/>
    </row>
    <row r="1198" ht="39.95" hidden="1" customHeight="1" outlineLevel="1" spans="1:16">
      <c r="A1198" s="73"/>
      <c r="B1198" s="71"/>
      <c r="C1198" s="59" t="s">
        <v>239</v>
      </c>
      <c r="D1198" s="59" t="s">
        <v>3093</v>
      </c>
      <c r="E1198" s="65">
        <v>802</v>
      </c>
      <c r="F1198" s="67" t="s">
        <v>488</v>
      </c>
      <c r="G1198" s="65">
        <v>80207</v>
      </c>
      <c r="H1198" s="67" t="s">
        <v>1699</v>
      </c>
      <c r="I1198" s="67" t="s">
        <v>488</v>
      </c>
      <c r="J1198" s="67" t="str">
        <f>INDEX(数据元说明!A:F,MATCH(I1198,数据元说明!C:C,0),2)</f>
        <v>002001</v>
      </c>
      <c r="K1198" s="68" t="str">
        <f>INDEX(数据元说明!A:F,MATCH(I1198,数据元说明!C:C,0),5)</f>
        <v>银行自定义的唯一识别客户的标识。供应链融资的填写供应链融资编码。</v>
      </c>
      <c r="L1198" s="67" t="str">
        <f>INDEX(数据元说明!A:F,MATCH(I1198,数据元说明!C:C,0),6)</f>
        <v>C..60</v>
      </c>
      <c r="M1198" s="68" t="s">
        <v>3094</v>
      </c>
      <c r="N1198" s="68" t="s">
        <v>1601</v>
      </c>
      <c r="O1198" s="68"/>
      <c r="P1198" s="69"/>
    </row>
    <row r="1199" ht="39.95" hidden="1" customHeight="1" collapsed="1" spans="1:16">
      <c r="A1199" s="77"/>
      <c r="B1199" s="64"/>
      <c r="C1199" s="59" t="s">
        <v>239</v>
      </c>
      <c r="D1199" s="59" t="s">
        <v>3093</v>
      </c>
      <c r="E1199" s="65">
        <v>802</v>
      </c>
      <c r="F1199" s="67" t="s">
        <v>1837</v>
      </c>
      <c r="G1199" s="65">
        <v>80208</v>
      </c>
      <c r="H1199" s="75" t="s">
        <v>1838</v>
      </c>
      <c r="I1199" s="67" t="s">
        <v>325</v>
      </c>
      <c r="J1199" s="67" t="str">
        <f>INDEX(数据元说明!A:F,MATCH(I1199,数据元说明!C:C,0),2)</f>
        <v>001001</v>
      </c>
      <c r="K1199" s="68" t="str">
        <f>INDEX(数据元说明!A:F,MATCH(I1199,数据元说明!C:C,0),5)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199" s="67" t="str">
        <f>INDEX(数据元说明!A:F,MATCH(I1199,数据元说明!C:C,0),6)</f>
        <v>C..450</v>
      </c>
      <c r="M1199" s="68" t="s">
        <v>2300</v>
      </c>
      <c r="N1199" s="68" t="s">
        <v>1601</v>
      </c>
      <c r="O1199" s="68"/>
      <c r="P1199" s="68"/>
    </row>
    <row r="1200" ht="39.95" hidden="1" customHeight="1" spans="1:16">
      <c r="A1200" s="77"/>
      <c r="B1200" s="64"/>
      <c r="C1200" s="59" t="s">
        <v>239</v>
      </c>
      <c r="D1200" s="59" t="s">
        <v>3093</v>
      </c>
      <c r="E1200" s="65">
        <v>802</v>
      </c>
      <c r="F1200" s="67" t="s">
        <v>492</v>
      </c>
      <c r="G1200" s="65">
        <v>80209</v>
      </c>
      <c r="H1200" s="75" t="s">
        <v>1639</v>
      </c>
      <c r="I1200" s="67" t="s">
        <v>492</v>
      </c>
      <c r="J1200" s="67" t="str">
        <f>INDEX(数据元说明!A:F,MATCH(I1200,数据元说明!C:C,0),2)</f>
        <v>002002</v>
      </c>
      <c r="K1200" s="68" t="str">
        <f>INDEX(数据元说明!A:F,MATCH(I1200,数据元说明!C:C,0),5)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200" s="67" t="str">
        <f>INDEX(数据元说明!A:F,MATCH(I1200,数据元说明!C:C,0),6)</f>
        <v>C..60</v>
      </c>
      <c r="M1200" s="68" t="s">
        <v>3095</v>
      </c>
      <c r="N1200" s="68" t="s">
        <v>1601</v>
      </c>
      <c r="O1200" s="68"/>
      <c r="P1200" s="68"/>
    </row>
    <row r="1201" ht="39.95" hidden="1" customHeight="1" spans="1:16">
      <c r="A1201" s="77"/>
      <c r="B1201" s="64"/>
      <c r="C1201" s="59" t="s">
        <v>239</v>
      </c>
      <c r="D1201" s="59" t="s">
        <v>3093</v>
      </c>
      <c r="E1201" s="65">
        <v>802</v>
      </c>
      <c r="F1201" s="67" t="s">
        <v>496</v>
      </c>
      <c r="G1201" s="65">
        <v>80210</v>
      </c>
      <c r="H1201" s="75" t="s">
        <v>1640</v>
      </c>
      <c r="I1201" s="67" t="s">
        <v>496</v>
      </c>
      <c r="J1201" s="67" t="str">
        <f>INDEX(数据元说明!A:F,MATCH(I1201,数据元说明!C:C,0),2)</f>
        <v>002003</v>
      </c>
      <c r="K1201" s="68" t="str">
        <f>INDEX(数据元说明!A:F,MATCH(I1201,数据元说明!C:C,0),5)</f>
        <v>与证件类别对应的证件号码。涉及个人身份证件时需按照本规范给定规则进行脱敏处理。</v>
      </c>
      <c r="L1201" s="67" t="str">
        <f>INDEX(数据元说明!A:F,MATCH(I1201,数据元说明!C:C,0),6)</f>
        <v>C..70</v>
      </c>
      <c r="M1201" s="68" t="s">
        <v>3096</v>
      </c>
      <c r="N1201" s="68" t="s">
        <v>1583</v>
      </c>
      <c r="O1201" s="68" t="s">
        <v>3097</v>
      </c>
      <c r="P1201" s="68" t="s">
        <v>1634</v>
      </c>
    </row>
    <row r="1202" ht="39.95" hidden="1" customHeight="1" outlineLevel="1" spans="1:16">
      <c r="A1202" s="73"/>
      <c r="B1202" s="71"/>
      <c r="C1202" s="59" t="s">
        <v>239</v>
      </c>
      <c r="D1202" s="59" t="s">
        <v>3093</v>
      </c>
      <c r="E1202" s="65">
        <v>802</v>
      </c>
      <c r="F1202" s="67" t="s">
        <v>3021</v>
      </c>
      <c r="G1202" s="65">
        <v>80211</v>
      </c>
      <c r="H1202" s="67" t="s">
        <v>3022</v>
      </c>
      <c r="I1202" s="67" t="s">
        <v>605</v>
      </c>
      <c r="J1202" s="67" t="str">
        <f>INDEX(数据元说明!A:F,MATCH(I1202,数据元说明!C:C,0),2)</f>
        <v>003001</v>
      </c>
      <c r="K1202" s="68" t="str">
        <f>INDEX(数据元说明!A:F,MATCH(I1202,数据元说明!C:C,0),5)</f>
        <v>系统内最细一级的账号，无唯一性约束，不需要和序号、子序号等做拼接。</v>
      </c>
      <c r="L1202" s="67" t="str">
        <f>INDEX(数据元说明!A:F,MATCH(I1202,数据元说明!C:C,0),6)</f>
        <v>C..60</v>
      </c>
      <c r="M1202" s="68" t="s">
        <v>3098</v>
      </c>
      <c r="N1202" s="68" t="s">
        <v>1583</v>
      </c>
      <c r="O1202" s="68" t="s">
        <v>2359</v>
      </c>
      <c r="P1202" s="69" t="s">
        <v>1634</v>
      </c>
    </row>
    <row r="1203" ht="39.95" hidden="1" customHeight="1" outlineLevel="1" spans="1:16">
      <c r="A1203" s="73"/>
      <c r="B1203" s="71"/>
      <c r="C1203" s="59" t="s">
        <v>239</v>
      </c>
      <c r="D1203" s="59" t="s">
        <v>3093</v>
      </c>
      <c r="E1203" s="65">
        <v>802</v>
      </c>
      <c r="F1203" s="67" t="s">
        <v>942</v>
      </c>
      <c r="G1203" s="65">
        <v>80212</v>
      </c>
      <c r="H1203" s="67" t="s">
        <v>1999</v>
      </c>
      <c r="I1203" s="67" t="s">
        <v>942</v>
      </c>
      <c r="J1203" s="67" t="str">
        <f>INDEX(数据元说明!A:F,MATCH(I1203,数据元说明!C:C,0),2)</f>
        <v>006001</v>
      </c>
      <c r="K1203" s="68" t="str">
        <f>INDEX(数据元说明!A:F,MATCH(I1203,数据元说明!C:C,0),5)</f>
        <v>卡号，可以是借记卡号，贷记卡号等。</v>
      </c>
      <c r="L1203" s="67" t="str">
        <f>INDEX(数据元说明!A:F,MATCH(I1203,数据元说明!C:C,0),6)</f>
        <v>C..60</v>
      </c>
      <c r="M1203" s="68" t="s">
        <v>3099</v>
      </c>
      <c r="N1203" s="68" t="s">
        <v>1583</v>
      </c>
      <c r="O1203" s="68"/>
      <c r="P1203" s="69" t="s">
        <v>1634</v>
      </c>
    </row>
    <row r="1204" ht="39.95" hidden="1" customHeight="1" outlineLevel="1" spans="1:16">
      <c r="A1204" s="73"/>
      <c r="B1204" s="71"/>
      <c r="C1204" s="59" t="s">
        <v>239</v>
      </c>
      <c r="D1204" s="59" t="s">
        <v>3093</v>
      </c>
      <c r="E1204" s="65">
        <v>802</v>
      </c>
      <c r="F1204" s="67" t="s">
        <v>738</v>
      </c>
      <c r="G1204" s="65">
        <v>80213</v>
      </c>
      <c r="H1204" s="67" t="s">
        <v>3100</v>
      </c>
      <c r="I1204" s="67" t="s">
        <v>738</v>
      </c>
      <c r="J1204" s="67" t="str">
        <f>INDEX(数据元说明!A:F,MATCH(I1204,数据元说明!C:C,0),2)</f>
        <v>004008</v>
      </c>
      <c r="K1204" s="68" t="str">
        <f>INDEX(数据元说明!A:F,MATCH(I1204,数据元说明!C:C,0),5)</f>
        <v>现金交易，还款交易，消费交易，转账交易，其他-银行自定义。以枚举类型填报，如无法以枚举类型填报，则以“其他-XX”填报，其中“XX”为银行自定义类型。</v>
      </c>
      <c r="L1204" s="67" t="str">
        <f>INDEX(数据元说明!A:F,MATCH(I1204,数据元说明!C:C,0),6)</f>
        <v>C..60</v>
      </c>
      <c r="M1204" s="68" t="s">
        <v>3101</v>
      </c>
      <c r="N1204" s="80" t="s">
        <v>1583</v>
      </c>
      <c r="O1204" s="80" t="s">
        <v>1660</v>
      </c>
      <c r="P1204" s="80"/>
    </row>
    <row r="1205" ht="39.95" hidden="1" customHeight="1" outlineLevel="1" spans="1:16">
      <c r="A1205" s="77"/>
      <c r="B1205" s="64"/>
      <c r="C1205" s="59" t="s">
        <v>239</v>
      </c>
      <c r="D1205" s="59" t="s">
        <v>3093</v>
      </c>
      <c r="E1205" s="65">
        <v>802</v>
      </c>
      <c r="F1205" s="67" t="s">
        <v>700</v>
      </c>
      <c r="G1205" s="65">
        <v>80214</v>
      </c>
      <c r="H1205" s="67" t="s">
        <v>2165</v>
      </c>
      <c r="I1205" s="67" t="s">
        <v>700</v>
      </c>
      <c r="J1205" s="67" t="str">
        <f>INDEX(数据元说明!A:F,MATCH(I1205,数据元说明!C:C,0),2)</f>
        <v>003024</v>
      </c>
      <c r="K1205" s="68" t="str">
        <f>INDEX(数据元说明!A:F,MATCH(I1205,数据元说明!C:C,0),5)</f>
        <v>借，贷。</v>
      </c>
      <c r="L1205" s="67" t="str">
        <f>INDEX(数据元说明!A:F,MATCH(I1205,数据元说明!C:C,0),6)</f>
        <v>C3</v>
      </c>
      <c r="M1205" s="68"/>
      <c r="N1205" s="68" t="s">
        <v>1583</v>
      </c>
      <c r="O1205" s="68" t="s">
        <v>322</v>
      </c>
      <c r="P1205" s="69"/>
    </row>
    <row r="1206" ht="39.95" hidden="1" customHeight="1" outlineLevel="1" spans="1:16">
      <c r="A1206" s="73"/>
      <c r="B1206" s="71"/>
      <c r="C1206" s="59" t="s">
        <v>239</v>
      </c>
      <c r="D1206" s="59" t="s">
        <v>3093</v>
      </c>
      <c r="E1206" s="65">
        <v>802</v>
      </c>
      <c r="F1206" s="67" t="s">
        <v>2166</v>
      </c>
      <c r="G1206" s="65">
        <v>80215</v>
      </c>
      <c r="H1206" s="67" t="s">
        <v>2167</v>
      </c>
      <c r="I1206" s="67" t="s">
        <v>345</v>
      </c>
      <c r="J1206" s="67" t="str">
        <f>INDEX(数据元说明!A:F,MATCH(I1206,数据元说明!C:C,0),2)</f>
        <v>001005</v>
      </c>
      <c r="K1206" s="68" t="str">
        <f>INDEX(数据元说明!A:F,MATCH(I1206,数据元说明!C:C,0),5)</f>
        <v>YYYYMMDD，默认值99991231。</v>
      </c>
      <c r="L1206" s="67" t="str">
        <f>INDEX(数据元说明!A:F,MATCH(I1206,数据元说明!C:C,0),6)</f>
        <v>C8</v>
      </c>
      <c r="M1206" s="68" t="s">
        <v>3102</v>
      </c>
      <c r="N1206" s="68"/>
      <c r="O1206" s="68"/>
      <c r="P1206" s="69"/>
    </row>
    <row r="1207" ht="39.95" hidden="1" customHeight="1" outlineLevel="1" spans="1:16">
      <c r="A1207" s="77"/>
      <c r="B1207" s="64"/>
      <c r="C1207" s="59" t="s">
        <v>239</v>
      </c>
      <c r="D1207" s="59" t="s">
        <v>3093</v>
      </c>
      <c r="E1207" s="65">
        <v>802</v>
      </c>
      <c r="F1207" s="67" t="s">
        <v>2169</v>
      </c>
      <c r="G1207" s="65">
        <v>80216</v>
      </c>
      <c r="H1207" s="67" t="s">
        <v>2170</v>
      </c>
      <c r="I1207" s="67" t="s">
        <v>355</v>
      </c>
      <c r="J1207" s="67" t="str">
        <f>INDEX(数据元说明!A:F,MATCH(I1207,数据元说明!C:C,0),2)</f>
        <v>001007</v>
      </c>
      <c r="K1207" s="68" t="str">
        <f>INDEX(数据元说明!A:F,MATCH(I1207,数据元说明!C:C,0),5)</f>
        <v>24小时制时间，精确到秒。hhmmss，默认值000000。</v>
      </c>
      <c r="L1207" s="67" t="str">
        <f>INDEX(数据元说明!A:F,MATCH(I1207,数据元说明!C:C,0),6)</f>
        <v>C6</v>
      </c>
      <c r="M1207" s="68" t="s">
        <v>2171</v>
      </c>
      <c r="N1207" s="68"/>
      <c r="O1207" s="80"/>
      <c r="P1207" s="68"/>
    </row>
    <row r="1208" ht="39.95" hidden="1" customHeight="1" outlineLevel="1" spans="1:16">
      <c r="A1208" s="73"/>
      <c r="B1208" s="71"/>
      <c r="C1208" s="59" t="s">
        <v>239</v>
      </c>
      <c r="D1208" s="59" t="s">
        <v>3093</v>
      </c>
      <c r="E1208" s="65">
        <v>802</v>
      </c>
      <c r="F1208" s="67" t="s">
        <v>642</v>
      </c>
      <c r="G1208" s="65">
        <v>80217</v>
      </c>
      <c r="H1208" s="67" t="s">
        <v>1914</v>
      </c>
      <c r="I1208" s="67" t="s">
        <v>642</v>
      </c>
      <c r="J1208" s="67" t="str">
        <f>INDEX(数据元说明!A:F,MATCH(I1208,数据元说明!C:C,0),2)</f>
        <v>003010</v>
      </c>
      <c r="K1208" s="68" t="str">
        <f>INDEX(数据元说明!A:F,MATCH(I1208,数据元说明!C:C,0),5)</f>
        <v>遵循《GB/T 12406 表示货币和资金的代码》的字母代码，如CNY。上述文件所列币种无法涵盖的，允许银行自定义填报。多个币种合计折算为人民币（本外币合计）的，填报为BWB。</v>
      </c>
      <c r="L1208" s="67" t="str">
        <f>INDEX(数据元说明!A:F,MATCH(I1208,数据元说明!C:C,0),6)</f>
        <v>C3</v>
      </c>
      <c r="M1208" s="68" t="s">
        <v>3103</v>
      </c>
      <c r="N1208" s="68"/>
      <c r="O1208" s="68"/>
      <c r="P1208" s="69"/>
    </row>
    <row r="1209" ht="39.95" hidden="1" customHeight="1" outlineLevel="1" spans="1:16">
      <c r="A1209" s="73"/>
      <c r="B1209" s="71"/>
      <c r="C1209" s="59" t="s">
        <v>239</v>
      </c>
      <c r="D1209" s="59" t="s">
        <v>3093</v>
      </c>
      <c r="E1209" s="65">
        <v>802</v>
      </c>
      <c r="F1209" s="67" t="s">
        <v>2172</v>
      </c>
      <c r="G1209" s="65">
        <v>80218</v>
      </c>
      <c r="H1209" s="67" t="s">
        <v>2173</v>
      </c>
      <c r="I1209" s="67" t="s">
        <v>634</v>
      </c>
      <c r="J1209" s="67" t="str">
        <f>INDEX(数据元说明!A:F,MATCH(I1209,数据元说明!C:C,0),2)</f>
        <v>003008</v>
      </c>
      <c r="K1209" s="68" t="str">
        <f>INDEX(数据元说明!A:F,MATCH(I1209,数据元说明!C:C,0),5)</f>
        <v>与币种相对应金额。</v>
      </c>
      <c r="L1209" s="67" t="str">
        <f>INDEX(数据元说明!A:F,MATCH(I1209,数据元说明!C:C,0),6)</f>
        <v>D20.2</v>
      </c>
      <c r="M1209" s="69"/>
      <c r="N1209" s="68"/>
      <c r="O1209" s="68"/>
      <c r="P1209" s="68"/>
    </row>
    <row r="1210" ht="39.95" hidden="1" customHeight="1" outlineLevel="1" spans="1:16">
      <c r="A1210" s="73"/>
      <c r="B1210" s="71"/>
      <c r="C1210" s="59" t="s">
        <v>239</v>
      </c>
      <c r="D1210" s="59" t="s">
        <v>3093</v>
      </c>
      <c r="E1210" s="65">
        <v>802</v>
      </c>
      <c r="F1210" s="67" t="s">
        <v>2174</v>
      </c>
      <c r="G1210" s="65">
        <v>80219</v>
      </c>
      <c r="H1210" s="67" t="s">
        <v>2175</v>
      </c>
      <c r="I1210" s="67" t="s">
        <v>638</v>
      </c>
      <c r="J1210" s="67" t="str">
        <f>INDEX(数据元说明!A:F,MATCH(I1210,数据元说明!C:C,0),2)</f>
        <v>003009</v>
      </c>
      <c r="K1210" s="68" t="str">
        <f>INDEX(数据元说明!A:F,MATCH(I1210,数据元说明!C:C,0),5)</f>
        <v>与币种相对应金额。(以正数填列。如信贷分户账，某客户初次获得贷款1万元，此时余额为10000；如活期存款明细，某客户初次开户存入10000元，此时余额为10000）</v>
      </c>
      <c r="L1210" s="67" t="str">
        <f>INDEX(数据元说明!A:F,MATCH(I1210,数据元说明!C:C,0),6)</f>
        <v>D20.2</v>
      </c>
      <c r="M1210" s="68" t="s">
        <v>3104</v>
      </c>
      <c r="N1210" s="68" t="s">
        <v>1601</v>
      </c>
      <c r="O1210" s="68"/>
      <c r="P1210" s="68"/>
    </row>
    <row r="1211" ht="39.95" hidden="1" customHeight="1" outlineLevel="1" spans="1:16">
      <c r="A1211" s="77"/>
      <c r="B1211" s="64"/>
      <c r="C1211" s="59" t="s">
        <v>239</v>
      </c>
      <c r="D1211" s="59" t="s">
        <v>3093</v>
      </c>
      <c r="E1211" s="65">
        <v>802</v>
      </c>
      <c r="F1211" s="67" t="s">
        <v>2177</v>
      </c>
      <c r="G1211" s="65">
        <v>80220</v>
      </c>
      <c r="H1211" s="67" t="s">
        <v>2178</v>
      </c>
      <c r="I1211" s="67" t="s">
        <v>704</v>
      </c>
      <c r="J1211" s="67" t="str">
        <f>INDEX(数据元说明!A:F,MATCH(I1211,数据元说明!C:C,0),2)</f>
        <v>003025</v>
      </c>
      <c r="K1211" s="68" t="str">
        <f>INDEX(数据元说明!A:F,MATCH(I1211,数据元说明!C:C,0),5)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211" s="67" t="str">
        <f>INDEX(数据元说明!A:F,MATCH(I1211,数据元说明!C:C,0),6)</f>
        <v>C..60</v>
      </c>
      <c r="M1211" s="68" t="s">
        <v>3105</v>
      </c>
      <c r="N1211" s="68" t="s">
        <v>1583</v>
      </c>
      <c r="O1211" s="68" t="s">
        <v>484</v>
      </c>
      <c r="P1211" s="69"/>
    </row>
    <row r="1212" ht="39.95" hidden="1" customHeight="1" outlineLevel="1" spans="1:16">
      <c r="A1212" s="73"/>
      <c r="B1212" s="71"/>
      <c r="C1212" s="59" t="s">
        <v>239</v>
      </c>
      <c r="D1212" s="59" t="s">
        <v>3093</v>
      </c>
      <c r="E1212" s="65">
        <v>802</v>
      </c>
      <c r="F1212" s="67" t="s">
        <v>2180</v>
      </c>
      <c r="G1212" s="65">
        <v>80221</v>
      </c>
      <c r="H1212" s="67" t="s">
        <v>2181</v>
      </c>
      <c r="I1212" s="67" t="s">
        <v>646</v>
      </c>
      <c r="J1212" s="67" t="str">
        <f>INDEX(数据元说明!A:F,MATCH(I1212,数据元说明!C:C,0),2)</f>
        <v>003011</v>
      </c>
      <c r="K1212" s="68" t="str">
        <f>INDEX(数据元说明!A:F,MATCH(I1212,数据元说明!C:C,0),5)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1212" s="67" t="str">
        <f>INDEX(数据元说明!A:F,MATCH(I1212,数据元说明!C:C,0),6)</f>
        <v>C..450</v>
      </c>
      <c r="M1212" s="68" t="s">
        <v>3106</v>
      </c>
      <c r="N1212" s="68" t="s">
        <v>1583</v>
      </c>
      <c r="O1212" s="68" t="s">
        <v>1660</v>
      </c>
      <c r="P1212" s="68"/>
    </row>
    <row r="1213" ht="39.95" hidden="1" customHeight="1" outlineLevel="1" spans="1:16">
      <c r="A1213" s="73"/>
      <c r="B1213" s="71"/>
      <c r="C1213" s="59" t="s">
        <v>239</v>
      </c>
      <c r="D1213" s="59" t="s">
        <v>3093</v>
      </c>
      <c r="E1213" s="65">
        <v>802</v>
      </c>
      <c r="F1213" s="67" t="s">
        <v>2182</v>
      </c>
      <c r="G1213" s="65">
        <v>80222</v>
      </c>
      <c r="H1213" s="67" t="s">
        <v>2183</v>
      </c>
      <c r="I1213" s="67" t="s">
        <v>369</v>
      </c>
      <c r="J1213" s="67" t="str">
        <f>INDEX(数据元说明!A:F,MATCH(I1213,数据元说明!C:C,0),2)</f>
        <v>001010</v>
      </c>
      <c r="K1213" s="68" t="str">
        <f>INDEX(数据元说明!A:F,MATCH(I1213,数据元说明!C:C,0),5)</f>
        <v>12位人行支付行号或SWIFT行号。</v>
      </c>
      <c r="L1213" s="67" t="str">
        <f>INDEX(数据元说明!A:F,MATCH(I1213,数据元说明!C:C,0),6)</f>
        <v>C..30</v>
      </c>
      <c r="M1213" s="80" t="s">
        <v>3107</v>
      </c>
      <c r="N1213" s="80" t="s">
        <v>1583</v>
      </c>
      <c r="O1213" s="80" t="s">
        <v>484</v>
      </c>
      <c r="P1213" s="80"/>
    </row>
    <row r="1214" ht="39.95" hidden="1" customHeight="1" outlineLevel="1" spans="1:16">
      <c r="A1214" s="73"/>
      <c r="B1214" s="71"/>
      <c r="C1214" s="59" t="s">
        <v>239</v>
      </c>
      <c r="D1214" s="59" t="s">
        <v>3093</v>
      </c>
      <c r="E1214" s="65">
        <v>802</v>
      </c>
      <c r="F1214" s="67" t="s">
        <v>2184</v>
      </c>
      <c r="G1214" s="65">
        <v>80223</v>
      </c>
      <c r="H1214" s="67" t="s">
        <v>2185</v>
      </c>
      <c r="I1214" s="67" t="s">
        <v>325</v>
      </c>
      <c r="J1214" s="67" t="str">
        <f>INDEX(数据元说明!A:F,MATCH(I1214,数据元说明!C:C,0),2)</f>
        <v>001001</v>
      </c>
      <c r="K1214" s="68" t="str">
        <f>INDEX(数据元说明!A:F,MATCH(I1214,数据元说明!C:C,0),5)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214" s="67" t="str">
        <f>INDEX(数据元说明!A:F,MATCH(I1214,数据元说明!C:C,0),6)</f>
        <v>C..450</v>
      </c>
      <c r="M1214" s="80" t="s">
        <v>3108</v>
      </c>
      <c r="N1214" s="80" t="s">
        <v>1583</v>
      </c>
      <c r="O1214" s="80" t="s">
        <v>1695</v>
      </c>
      <c r="P1214" s="80"/>
    </row>
    <row r="1215" ht="39.95" hidden="1" customHeight="1" collapsed="1" spans="1:16">
      <c r="A1215" s="77"/>
      <c r="B1215" s="64"/>
      <c r="C1215" s="59" t="s">
        <v>239</v>
      </c>
      <c r="D1215" s="59" t="s">
        <v>3093</v>
      </c>
      <c r="E1215" s="65">
        <v>802</v>
      </c>
      <c r="F1215" s="67" t="s">
        <v>978</v>
      </c>
      <c r="G1215" s="65">
        <v>80224</v>
      </c>
      <c r="H1215" s="75" t="s">
        <v>2039</v>
      </c>
      <c r="I1215" s="67" t="s">
        <v>978</v>
      </c>
      <c r="J1215" s="67" t="str">
        <f>INDEX(数据元说明!A:F,MATCH(I1215,数据元说明!C:C,0),2)</f>
        <v>006010</v>
      </c>
      <c r="K1215" s="75" t="str">
        <f>INDEX(数据元说明!A:F,MATCH(I1215,数据元说明!C:C,0),5)</f>
        <v>唯一识别商户的编码。可以是商业银行自有商户编号，也可以是第三方支付机构收单交易显示的商户编号。</v>
      </c>
      <c r="L1215" s="67" t="str">
        <f>INDEX(数据元说明!A:F,MATCH(I1215,数据元说明!C:C,0),6)</f>
        <v>C..200</v>
      </c>
      <c r="M1215" s="68" t="s">
        <v>3109</v>
      </c>
      <c r="N1215" s="68" t="s">
        <v>1583</v>
      </c>
      <c r="O1215" s="68" t="s">
        <v>484</v>
      </c>
      <c r="P1215" s="68"/>
    </row>
    <row r="1216" ht="39.95" hidden="1" customHeight="1" spans="1:16">
      <c r="A1216" s="77"/>
      <c r="B1216" s="64"/>
      <c r="C1216" s="59" t="s">
        <v>239</v>
      </c>
      <c r="D1216" s="59" t="s">
        <v>3093</v>
      </c>
      <c r="E1216" s="65">
        <v>802</v>
      </c>
      <c r="F1216" s="67" t="s">
        <v>983</v>
      </c>
      <c r="G1216" s="65">
        <v>80225</v>
      </c>
      <c r="H1216" s="75" t="s">
        <v>2041</v>
      </c>
      <c r="I1216" s="67" t="s">
        <v>983</v>
      </c>
      <c r="J1216" s="67" t="str">
        <f>INDEX(数据元说明!A:F,MATCH(I1216,数据元说明!C:C,0),2)</f>
        <v>006011</v>
      </c>
      <c r="K1216" s="75" t="str">
        <f>INDEX(数据元说明!A:F,MATCH(I1216,数据元说明!C:C,0),5)</f>
        <v>商户注册登记的名称。</v>
      </c>
      <c r="L1216" s="67" t="str">
        <f>INDEX(数据元说明!A:F,MATCH(I1216,数据元说明!C:C,0),6)</f>
        <v>C..450</v>
      </c>
      <c r="M1216" s="68" t="s">
        <v>3110</v>
      </c>
      <c r="N1216" s="68" t="s">
        <v>1583</v>
      </c>
      <c r="O1216" s="68" t="s">
        <v>484</v>
      </c>
      <c r="P1216" s="68"/>
    </row>
    <row r="1217" ht="39.95" hidden="1" customHeight="1" outlineLevel="1" spans="1:16">
      <c r="A1217" s="77"/>
      <c r="B1217" s="64"/>
      <c r="C1217" s="59" t="s">
        <v>239</v>
      </c>
      <c r="D1217" s="59" t="s">
        <v>3093</v>
      </c>
      <c r="E1217" s="65">
        <v>802</v>
      </c>
      <c r="F1217" s="67" t="s">
        <v>725</v>
      </c>
      <c r="G1217" s="65">
        <v>80226</v>
      </c>
      <c r="H1217" s="67" t="s">
        <v>1792</v>
      </c>
      <c r="I1217" s="67" t="s">
        <v>725</v>
      </c>
      <c r="J1217" s="67" t="str">
        <f>INDEX(数据元说明!A:F,MATCH(I1217,数据元说明!C:C,0),2)</f>
        <v>004005</v>
      </c>
      <c r="K1217" s="68" t="str">
        <f>INDEX(数据元说明!A:F,MATCH(I1217,数据元说明!C:C,0),5)</f>
        <v>银行自定义交易内容的简要描述。</v>
      </c>
      <c r="L1217" s="67" t="str">
        <f>INDEX(数据元说明!A:F,MATCH(I1217,数据元说明!C:C,0),6)</f>
        <v>C..600</v>
      </c>
      <c r="M1217" s="68"/>
      <c r="N1217" s="68" t="s">
        <v>1583</v>
      </c>
      <c r="O1217" s="68" t="s">
        <v>321</v>
      </c>
      <c r="P1217" s="68"/>
    </row>
    <row r="1218" ht="39.95" hidden="1" customHeight="1" collapsed="1" spans="1:16">
      <c r="A1218" s="77"/>
      <c r="B1218" s="64"/>
      <c r="C1218" s="59" t="s">
        <v>239</v>
      </c>
      <c r="D1218" s="59" t="s">
        <v>3093</v>
      </c>
      <c r="E1218" s="65">
        <v>802</v>
      </c>
      <c r="F1218" s="67" t="s">
        <v>1004</v>
      </c>
      <c r="G1218" s="65">
        <v>80227</v>
      </c>
      <c r="H1218" s="75" t="s">
        <v>3111</v>
      </c>
      <c r="I1218" s="67" t="s">
        <v>1004</v>
      </c>
      <c r="J1218" s="67" t="str">
        <f>INDEX(数据元说明!A:F,MATCH(I1218,数据元说明!C:C,0),2)</f>
        <v>006016</v>
      </c>
      <c r="K1218" s="68" t="str">
        <f>INDEX(数据元说明!A:F,MATCH(I1218,数据元说明!C:C,0),5)</f>
        <v>线上，线下</v>
      </c>
      <c r="L1218" s="67" t="str">
        <f>INDEX(数据元说明!A:F,MATCH(I1218,数据元说明!C:C,0),6)</f>
        <v>C6</v>
      </c>
      <c r="M1218" s="68" t="s">
        <v>3112</v>
      </c>
      <c r="N1218" s="68" t="s">
        <v>1601</v>
      </c>
      <c r="O1218" s="68"/>
      <c r="P1218" s="68"/>
    </row>
    <row r="1219" ht="39.95" hidden="1" customHeight="1" outlineLevel="1" spans="1:16">
      <c r="A1219" s="77"/>
      <c r="B1219" s="64"/>
      <c r="C1219" s="59" t="s">
        <v>239</v>
      </c>
      <c r="D1219" s="59" t="s">
        <v>3093</v>
      </c>
      <c r="E1219" s="65">
        <v>802</v>
      </c>
      <c r="F1219" s="68" t="s">
        <v>2689</v>
      </c>
      <c r="G1219" s="65">
        <v>80228</v>
      </c>
      <c r="H1219" s="67" t="s">
        <v>2690</v>
      </c>
      <c r="I1219" s="68" t="s">
        <v>642</v>
      </c>
      <c r="J1219" s="68" t="str">
        <f>INDEX(数据元说明!A:F,MATCH(I1219,数据元说明!C:C,0),2)</f>
        <v>003010</v>
      </c>
      <c r="K1219" s="68" t="str">
        <f>INDEX(数据元说明!A:F,MATCH(I1219,数据元说明!C:C,0),5)</f>
        <v>遵循《GB/T 12406 表示货币和资金的代码》的字母代码，如CNY。上述文件所列币种无法涵盖的，允许银行自定义填报。多个币种合计折算为人民币（本外币合计）的，填报为BWB。</v>
      </c>
      <c r="L1219" s="68" t="str">
        <f>INDEX(数据元说明!A:F,MATCH(I1219,数据元说明!C:C,0),6)</f>
        <v>C3</v>
      </c>
      <c r="M1219" s="68" t="s">
        <v>2691</v>
      </c>
      <c r="N1219" s="68" t="s">
        <v>1601</v>
      </c>
      <c r="O1219" s="68"/>
      <c r="P1219" s="68"/>
    </row>
    <row r="1220" ht="39.95" hidden="1" customHeight="1" outlineLevel="1" spans="1:16">
      <c r="A1220" s="77"/>
      <c r="B1220" s="64"/>
      <c r="C1220" s="59" t="s">
        <v>239</v>
      </c>
      <c r="D1220" s="59" t="s">
        <v>3093</v>
      </c>
      <c r="E1220" s="65">
        <v>802</v>
      </c>
      <c r="F1220" s="67" t="s">
        <v>2692</v>
      </c>
      <c r="G1220" s="65">
        <v>80229</v>
      </c>
      <c r="H1220" s="67" t="s">
        <v>2693</v>
      </c>
      <c r="I1220" s="67" t="s">
        <v>634</v>
      </c>
      <c r="J1220" s="67" t="str">
        <f>INDEX(数据元说明!A:F,MATCH(I1220,数据元说明!C:C,0),2)</f>
        <v>003008</v>
      </c>
      <c r="K1220" s="68" t="str">
        <f>INDEX(数据元说明!A:F,MATCH(I1220,数据元说明!C:C,0),5)</f>
        <v>与币种相对应金额。</v>
      </c>
      <c r="L1220" s="67" t="str">
        <f>INDEX(数据元说明!A:F,MATCH(I1220,数据元说明!C:C,0),6)</f>
        <v>D20.2</v>
      </c>
      <c r="M1220" s="68" t="s">
        <v>2694</v>
      </c>
      <c r="N1220" s="68" t="s">
        <v>1583</v>
      </c>
      <c r="O1220" s="68" t="s">
        <v>484</v>
      </c>
      <c r="P1220" s="68" t="s">
        <v>1634</v>
      </c>
    </row>
    <row r="1221" ht="39.95" hidden="1" customHeight="1" outlineLevel="1" spans="1:16">
      <c r="A1221" s="77"/>
      <c r="B1221" s="64"/>
      <c r="C1221" s="59" t="s">
        <v>239</v>
      </c>
      <c r="D1221" s="59" t="s">
        <v>3093</v>
      </c>
      <c r="E1221" s="65">
        <v>802</v>
      </c>
      <c r="F1221" s="67" t="s">
        <v>3113</v>
      </c>
      <c r="G1221" s="65">
        <v>80230</v>
      </c>
      <c r="H1221" s="67" t="s">
        <v>3114</v>
      </c>
      <c r="I1221" s="67" t="s">
        <v>345</v>
      </c>
      <c r="J1221" s="67" t="str">
        <f>INDEX(数据元说明!A:F,MATCH(I1221,数据元说明!C:C,0),2)</f>
        <v>001005</v>
      </c>
      <c r="K1221" s="68" t="str">
        <f>INDEX(数据元说明!A:F,MATCH(I1221,数据元说明!C:C,0),5)</f>
        <v>YYYYMMDD，默认值99991231。</v>
      </c>
      <c r="L1221" s="67" t="str">
        <f>INDEX(数据元说明!A:F,MATCH(I1221,数据元说明!C:C,0),6)</f>
        <v>C8</v>
      </c>
      <c r="M1221" s="68" t="s">
        <v>3115</v>
      </c>
      <c r="N1221" s="68" t="s">
        <v>1583</v>
      </c>
      <c r="O1221" s="68" t="s">
        <v>484</v>
      </c>
      <c r="P1221" s="69"/>
    </row>
    <row r="1222" ht="39.95" hidden="1" customHeight="1" outlineLevel="1" spans="1:16">
      <c r="A1222" s="77"/>
      <c r="B1222" s="64"/>
      <c r="C1222" s="59" t="s">
        <v>239</v>
      </c>
      <c r="D1222" s="59" t="s">
        <v>3093</v>
      </c>
      <c r="E1222" s="65">
        <v>802</v>
      </c>
      <c r="F1222" s="67" t="s">
        <v>3116</v>
      </c>
      <c r="G1222" s="65">
        <v>80231</v>
      </c>
      <c r="H1222" s="67" t="s">
        <v>3117</v>
      </c>
      <c r="I1222" s="67" t="s">
        <v>345</v>
      </c>
      <c r="J1222" s="67" t="str">
        <f>INDEX(数据元说明!A:F,MATCH(I1222,数据元说明!C:C,0),2)</f>
        <v>001005</v>
      </c>
      <c r="K1222" s="68" t="str">
        <f>INDEX(数据元说明!A:F,MATCH(I1222,数据元说明!C:C,0),5)</f>
        <v>YYYYMMDD，默认值99991231。</v>
      </c>
      <c r="L1222" s="67" t="str">
        <f>INDEX(数据元说明!A:F,MATCH(I1222,数据元说明!C:C,0),6)</f>
        <v>C8</v>
      </c>
      <c r="M1222" s="68" t="s">
        <v>3118</v>
      </c>
      <c r="N1222" s="68" t="s">
        <v>1583</v>
      </c>
      <c r="O1222" s="68" t="s">
        <v>484</v>
      </c>
      <c r="P1222" s="69"/>
    </row>
    <row r="1223" ht="39.95" hidden="1" customHeight="1" outlineLevel="1" spans="1:16">
      <c r="A1223" s="77"/>
      <c r="B1223" s="64"/>
      <c r="C1223" s="59" t="s">
        <v>239</v>
      </c>
      <c r="D1223" s="59" t="s">
        <v>3093</v>
      </c>
      <c r="E1223" s="65">
        <v>802</v>
      </c>
      <c r="F1223" s="67" t="s">
        <v>3119</v>
      </c>
      <c r="G1223" s="65">
        <v>80232</v>
      </c>
      <c r="H1223" s="67" t="s">
        <v>3120</v>
      </c>
      <c r="I1223" s="67" t="s">
        <v>330</v>
      </c>
      <c r="J1223" s="67" t="str">
        <f>INDEX(数据元说明!A:F,MATCH(I1223,数据元说明!C:C,0),2)</f>
        <v>001002</v>
      </c>
      <c r="K1223" s="68" t="str">
        <f>INDEX(数据元说明!A:F,MATCH(I1223,数据元说明!C:C,0),5)</f>
        <v>是，否。</v>
      </c>
      <c r="L1223" s="67" t="str">
        <f>INDEX(数据元说明!A:F,MATCH(I1223,数据元说明!C:C,0),6)</f>
        <v>C3</v>
      </c>
      <c r="M1223" s="68" t="s">
        <v>3121</v>
      </c>
      <c r="N1223" s="68" t="s">
        <v>1583</v>
      </c>
      <c r="O1223" s="68" t="s">
        <v>1577</v>
      </c>
      <c r="P1223" s="68"/>
    </row>
    <row r="1224" ht="39.95" hidden="1" customHeight="1" outlineLevel="1" spans="1:16">
      <c r="A1224" s="77"/>
      <c r="B1224" s="64"/>
      <c r="C1224" s="59" t="s">
        <v>239</v>
      </c>
      <c r="D1224" s="59" t="s">
        <v>3093</v>
      </c>
      <c r="E1224" s="65">
        <v>802</v>
      </c>
      <c r="F1224" s="67" t="s">
        <v>3122</v>
      </c>
      <c r="G1224" s="65">
        <v>80233</v>
      </c>
      <c r="H1224" s="67" t="s">
        <v>3123</v>
      </c>
      <c r="I1224" s="67" t="s">
        <v>330</v>
      </c>
      <c r="J1224" s="67" t="str">
        <f>INDEX(数据元说明!A:F,MATCH(I1224,数据元说明!C:C,0),2)</f>
        <v>001002</v>
      </c>
      <c r="K1224" s="68" t="str">
        <f>INDEX(数据元说明!A:F,MATCH(I1224,数据元说明!C:C,0),5)</f>
        <v>是，否。</v>
      </c>
      <c r="L1224" s="67" t="str">
        <f>INDEX(数据元说明!A:F,MATCH(I1224,数据元说明!C:C,0),6)</f>
        <v>C3</v>
      </c>
      <c r="M1224" s="68" t="s">
        <v>3124</v>
      </c>
      <c r="N1224" s="68" t="s">
        <v>1583</v>
      </c>
      <c r="O1224" s="68" t="s">
        <v>1577</v>
      </c>
      <c r="P1224" s="68"/>
    </row>
    <row r="1225" ht="39.95" hidden="1" customHeight="1" outlineLevel="1" spans="1:16">
      <c r="A1225" s="77"/>
      <c r="B1225" s="64"/>
      <c r="C1225" s="59" t="s">
        <v>239</v>
      </c>
      <c r="D1225" s="59" t="s">
        <v>3093</v>
      </c>
      <c r="E1225" s="65">
        <v>802</v>
      </c>
      <c r="F1225" s="67" t="s">
        <v>717</v>
      </c>
      <c r="G1225" s="65">
        <v>80234</v>
      </c>
      <c r="H1225" s="67" t="s">
        <v>2191</v>
      </c>
      <c r="I1225" s="67" t="s">
        <v>717</v>
      </c>
      <c r="J1225" s="67" t="str">
        <f>INDEX(数据元说明!A:F,MATCH(I1225,数据元说明!C:C,0),2)</f>
        <v>004003</v>
      </c>
      <c r="K1225" s="68" t="str">
        <f>INDEX(数据元说明!A:F,MATCH(I1225,数据元说明!C:C,0),5)</f>
        <v>柜面，ATM，VTM，POS，网银，手机银行，银联交易，第三方支付-银行自定义，其他-银行自定义。交易类型为第三方支付的，以“第三方支付-XX”填报，其中“XX”为第三方支付平台名称。如无法以枚举类型填报，则以“其他-XX”填报，其中“XX”为银行自定义类型。</v>
      </c>
      <c r="L1225" s="67" t="str">
        <f>INDEX(数据元说明!A:F,MATCH(I1225,数据元说明!C:C,0),6)</f>
        <v>C..60</v>
      </c>
      <c r="M1225" s="69" t="s">
        <v>2192</v>
      </c>
      <c r="N1225" s="68" t="s">
        <v>1583</v>
      </c>
      <c r="O1225" s="68" t="s">
        <v>321</v>
      </c>
      <c r="P1225" s="68" t="s">
        <v>1648</v>
      </c>
    </row>
    <row r="1226" ht="39.95" hidden="1" customHeight="1" outlineLevel="1" spans="1:16">
      <c r="A1226" s="73"/>
      <c r="B1226" s="71"/>
      <c r="C1226" s="59" t="s">
        <v>239</v>
      </c>
      <c r="D1226" s="59" t="s">
        <v>3093</v>
      </c>
      <c r="E1226" s="65">
        <v>802</v>
      </c>
      <c r="F1226" s="67" t="s">
        <v>475</v>
      </c>
      <c r="G1226" s="65">
        <v>80235</v>
      </c>
      <c r="H1226" s="67" t="s">
        <v>2193</v>
      </c>
      <c r="I1226" s="67" t="s">
        <v>475</v>
      </c>
      <c r="J1226" s="67" t="str">
        <f>INDEX(数据元说明!A:F,MATCH(I1226,数据元说明!C:C,0),2)</f>
        <v>001036</v>
      </c>
      <c r="K1226" s="68" t="str">
        <f>INDEX(数据元说明!A:F,MATCH(I1226,数据元说明!C:C,0),5)</f>
        <v>点分十进制格式表示的IPV4地址，或者IPV6地址。</v>
      </c>
      <c r="L1226" s="67" t="str">
        <f>INDEX(数据元说明!A:F,MATCH(I1226,数据元说明!C:C,0),6)</f>
        <v>C..40</v>
      </c>
      <c r="M1226" s="69" t="s">
        <v>3125</v>
      </c>
      <c r="N1226" s="68" t="s">
        <v>1601</v>
      </c>
      <c r="O1226" s="68"/>
      <c r="P1226" s="68"/>
    </row>
    <row r="1227" ht="39.95" hidden="1" customHeight="1" outlineLevel="1" spans="1:16">
      <c r="A1227" s="73"/>
      <c r="B1227" s="71"/>
      <c r="C1227" s="59" t="s">
        <v>239</v>
      </c>
      <c r="D1227" s="59" t="s">
        <v>3093</v>
      </c>
      <c r="E1227" s="65">
        <v>802</v>
      </c>
      <c r="F1227" s="67" t="s">
        <v>480</v>
      </c>
      <c r="G1227" s="65">
        <v>80236</v>
      </c>
      <c r="H1227" s="67" t="s">
        <v>2195</v>
      </c>
      <c r="I1227" s="67" t="s">
        <v>480</v>
      </c>
      <c r="J1227" s="67" t="str">
        <f>INDEX(数据元说明!A:F,MATCH(I1227,数据元说明!C:C,0),2)</f>
        <v>001037</v>
      </c>
      <c r="K1227" s="68" t="str">
        <f>INDEX(数据元说明!A:F,MATCH(I1227,数据元说明!C:C,0),5)</f>
        <v>网络设备唯一的网络标识：
1.可以是MAC地址，以12个16进制数表示（6个字节），每个字节以英文半角冒号（:）隔开。
2.若交易渠道为网银、手机银行，Android7.0以上系统可填报设备IMEI码；IOS7以上系统科填报UUID码，唯一对应设备即可。</v>
      </c>
      <c r="L1227" s="67" t="str">
        <f>INDEX(数据元说明!A:F,MATCH(I1227,数据元说明!C:C,0),6)</f>
        <v>C..60</v>
      </c>
      <c r="M1227" s="69" t="s">
        <v>3126</v>
      </c>
      <c r="N1227" s="68" t="s">
        <v>1601</v>
      </c>
      <c r="O1227" s="68"/>
      <c r="P1227" s="68"/>
    </row>
    <row r="1228" ht="39.95" hidden="1" customHeight="1" outlineLevel="1" spans="1:16">
      <c r="A1228" s="77"/>
      <c r="B1228" s="64"/>
      <c r="C1228" s="59" t="s">
        <v>239</v>
      </c>
      <c r="D1228" s="59" t="s">
        <v>3093</v>
      </c>
      <c r="E1228" s="65">
        <v>802</v>
      </c>
      <c r="F1228" s="67" t="s">
        <v>484</v>
      </c>
      <c r="G1228" s="65">
        <v>80237</v>
      </c>
      <c r="H1228" s="67" t="s">
        <v>1623</v>
      </c>
      <c r="I1228" s="67" t="s">
        <v>484</v>
      </c>
      <c r="J1228" s="67" t="str">
        <f>INDEX(数据元说明!A:F,MATCH(I1228,数据元说明!C:C,0),2)</f>
        <v>001038</v>
      </c>
      <c r="K1228" s="68" t="str">
        <f>INDEX(数据元说明!A:F,MATCH(I1228,数据元说明!C:C,0),5)</f>
        <v>银行自定义。</v>
      </c>
      <c r="L1228" s="67" t="str">
        <f>INDEX(数据元说明!A:F,MATCH(I1228,数据元说明!C:C,0),6)</f>
        <v>C..600</v>
      </c>
      <c r="M1228" s="68" t="s">
        <v>1624</v>
      </c>
      <c r="N1228" s="68" t="s">
        <v>1583</v>
      </c>
      <c r="O1228" s="68"/>
      <c r="P1228" s="68" t="s">
        <v>1648</v>
      </c>
    </row>
    <row r="1229" ht="39.95" hidden="1" customHeight="1" outlineLevel="1" spans="1:16">
      <c r="A1229" s="77"/>
      <c r="B1229" s="64"/>
      <c r="C1229" s="59" t="s">
        <v>239</v>
      </c>
      <c r="D1229" s="59" t="s">
        <v>3093</v>
      </c>
      <c r="E1229" s="65">
        <v>802</v>
      </c>
      <c r="F1229" s="67" t="s">
        <v>1625</v>
      </c>
      <c r="G1229" s="65">
        <v>80238</v>
      </c>
      <c r="H1229" s="67" t="s">
        <v>1626</v>
      </c>
      <c r="I1229" s="67" t="s">
        <v>345</v>
      </c>
      <c r="J1229" s="67" t="str">
        <f>INDEX(数据元说明!A:F,MATCH(I1229,数据元说明!C:C,0),2)</f>
        <v>001005</v>
      </c>
      <c r="K1229" s="68" t="str">
        <f>INDEX(数据元说明!A:F,MATCH(I1229,数据元说明!C:C,0),5)</f>
        <v>YYYYMMDD，默认值99991231。</v>
      </c>
      <c r="L1229" s="67" t="str">
        <f>INDEX(数据元说明!A:F,MATCH(I1229,数据元说明!C:C,0),6)</f>
        <v>C8</v>
      </c>
      <c r="M1229" s="68" t="s">
        <v>1627</v>
      </c>
      <c r="N1229" s="68"/>
      <c r="O1229" s="68"/>
      <c r="P1229" s="68"/>
    </row>
    <row r="1230" ht="39.95" hidden="1" customHeight="1" collapsed="1" spans="1:16">
      <c r="A1230" s="73"/>
      <c r="B1230" s="71"/>
      <c r="C1230" s="59" t="s">
        <v>243</v>
      </c>
      <c r="D1230" s="59" t="s">
        <v>3127</v>
      </c>
      <c r="E1230" s="65">
        <v>803</v>
      </c>
      <c r="F1230" s="67"/>
      <c r="G1230" s="65"/>
      <c r="H1230" s="67"/>
      <c r="I1230" s="67"/>
      <c r="J1230" s="67"/>
      <c r="K1230" s="68"/>
      <c r="L1230" s="67"/>
      <c r="M1230" s="68" t="str">
        <f>INDEX(表结构总览!D:G,MATCH(D1230,表结构总览!D:D,0),4)</f>
        <v>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v>
      </c>
      <c r="N1230" s="68" t="s">
        <v>1583</v>
      </c>
      <c r="O1230" s="68" t="s">
        <v>3128</v>
      </c>
      <c r="P1230" s="69"/>
    </row>
    <row r="1231" ht="39.95" hidden="1" customHeight="1" outlineLevel="1" spans="1:16">
      <c r="A1231" s="77"/>
      <c r="B1231" s="64"/>
      <c r="C1231" s="59" t="s">
        <v>243</v>
      </c>
      <c r="D1231" s="59" t="s">
        <v>3127</v>
      </c>
      <c r="E1231" s="65">
        <v>803</v>
      </c>
      <c r="F1231" s="67" t="s">
        <v>373</v>
      </c>
      <c r="G1231" s="65">
        <v>80301</v>
      </c>
      <c r="H1231" s="67" t="s">
        <v>1588</v>
      </c>
      <c r="I1231" s="67" t="s">
        <v>373</v>
      </c>
      <c r="J1231" s="67" t="str">
        <f>INDEX(数据元说明!A:F,MATCH(I1231,数据元说明!C:C,0),2)</f>
        <v>001011</v>
      </c>
      <c r="K1231" s="68" t="str">
        <f>INDEX(数据元说明!A:F,MATCH(I1231,数据元说明!C:C,0),5)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31" s="67" t="str">
        <f>INDEX(数据元说明!A:F,MATCH(I1231,数据元说明!C:C,0),6)</f>
        <v>C..30</v>
      </c>
      <c r="M1231" s="68" t="s">
        <v>3129</v>
      </c>
      <c r="N1231" s="68"/>
      <c r="O1231" s="68"/>
      <c r="P1231" s="68"/>
    </row>
    <row r="1232" ht="39.95" hidden="1" customHeight="1" collapsed="1" spans="1:16">
      <c r="A1232" s="77"/>
      <c r="B1232" s="64"/>
      <c r="C1232" s="59" t="s">
        <v>243</v>
      </c>
      <c r="D1232" s="59" t="s">
        <v>3127</v>
      </c>
      <c r="E1232" s="65">
        <v>803</v>
      </c>
      <c r="F1232" s="67" t="s">
        <v>377</v>
      </c>
      <c r="G1232" s="65">
        <v>80302</v>
      </c>
      <c r="H1232" s="75" t="s">
        <v>1586</v>
      </c>
      <c r="I1232" s="67" t="s">
        <v>377</v>
      </c>
      <c r="J1232" s="67" t="str">
        <f>INDEX(数据元说明!A:F,MATCH(I1232,数据元说明!C:C,0),2)</f>
        <v>001012</v>
      </c>
      <c r="K1232" s="68" t="str">
        <f>INDEX(数据元说明!A:F,MATCH(I1232,数据元说明!C:C,0),5)</f>
        <v>银行内部机构号。应具有标识机构的唯一性。</v>
      </c>
      <c r="L1232" s="67" t="str">
        <f>INDEX(数据元说明!A:F,MATCH(I1232,数据元说明!C:C,0),6)</f>
        <v>C..30</v>
      </c>
      <c r="M1232" s="68" t="s">
        <v>1761</v>
      </c>
      <c r="N1232" s="68"/>
      <c r="O1232" s="68"/>
      <c r="P1232" s="68"/>
    </row>
    <row r="1233" ht="39.95" hidden="1" customHeight="1" spans="1:16">
      <c r="A1233" s="77"/>
      <c r="B1233" s="64"/>
      <c r="C1233" s="59" t="s">
        <v>243</v>
      </c>
      <c r="D1233" s="59" t="s">
        <v>3127</v>
      </c>
      <c r="E1233" s="65">
        <v>803</v>
      </c>
      <c r="F1233" s="67" t="s">
        <v>1592</v>
      </c>
      <c r="G1233" s="65">
        <v>80303</v>
      </c>
      <c r="H1233" s="75" t="s">
        <v>1593</v>
      </c>
      <c r="I1233" s="67" t="s">
        <v>325</v>
      </c>
      <c r="J1233" s="67" t="str">
        <f>INDEX(数据元说明!A:F,MATCH(I1233,数据元说明!C:C,0),2)</f>
        <v>001001</v>
      </c>
      <c r="K1233" s="68" t="str">
        <f>INDEX(数据元说明!A:F,MATCH(I1233,数据元说明!C:C,0),5)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233" s="67" t="str">
        <f>INDEX(数据元说明!A:F,MATCH(I1233,数据元说明!C:C,0),6)</f>
        <v>C..450</v>
      </c>
      <c r="M1233" s="68" t="s">
        <v>1762</v>
      </c>
      <c r="N1233" s="68" t="s">
        <v>1583</v>
      </c>
      <c r="O1233" s="68" t="s">
        <v>322</v>
      </c>
      <c r="P1233" s="68"/>
    </row>
    <row r="1234" ht="39.95" hidden="1" customHeight="1" spans="1:16">
      <c r="A1234" s="77"/>
      <c r="B1234" s="64"/>
      <c r="C1234" s="59" t="s">
        <v>243</v>
      </c>
      <c r="D1234" s="59" t="s">
        <v>3127</v>
      </c>
      <c r="E1234" s="65">
        <v>803</v>
      </c>
      <c r="F1234" s="67" t="s">
        <v>488</v>
      </c>
      <c r="G1234" s="65">
        <v>80304</v>
      </c>
      <c r="H1234" s="75" t="s">
        <v>1699</v>
      </c>
      <c r="I1234" s="67" t="s">
        <v>488</v>
      </c>
      <c r="J1234" s="67" t="str">
        <f>INDEX(数据元说明!A:F,MATCH(I1234,数据元说明!C:C,0),2)</f>
        <v>002001</v>
      </c>
      <c r="K1234" s="68" t="str">
        <f>INDEX(数据元说明!A:F,MATCH(I1234,数据元说明!C:C,0),5)</f>
        <v>银行自定义的唯一识别客户的标识。供应链融资的填写供应链融资编码。</v>
      </c>
      <c r="L1234" s="67" t="str">
        <f>INDEX(数据元说明!A:F,MATCH(I1234,数据元说明!C:C,0),6)</f>
        <v>C..60</v>
      </c>
      <c r="M1234" s="68" t="s">
        <v>3130</v>
      </c>
      <c r="N1234" s="68"/>
      <c r="O1234" s="68"/>
      <c r="P1234" s="68"/>
    </row>
    <row r="1235" ht="39.95" hidden="1" customHeight="1" spans="1:16">
      <c r="A1235" s="77"/>
      <c r="B1235" s="64"/>
      <c r="C1235" s="59" t="s">
        <v>243</v>
      </c>
      <c r="D1235" s="59" t="s">
        <v>3127</v>
      </c>
      <c r="E1235" s="65">
        <v>803</v>
      </c>
      <c r="F1235" s="67" t="s">
        <v>1837</v>
      </c>
      <c r="G1235" s="65">
        <v>80305</v>
      </c>
      <c r="H1235" s="75" t="s">
        <v>1838</v>
      </c>
      <c r="I1235" s="67" t="s">
        <v>325</v>
      </c>
      <c r="J1235" s="67" t="str">
        <f>INDEX(数据元说明!A:F,MATCH(I1235,数据元说明!C:C,0),2)</f>
        <v>001001</v>
      </c>
      <c r="K1235" s="68" t="str">
        <f>INDEX(数据元说明!A:F,MATCH(I1235,数据元说明!C:C,0),5)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235" s="67" t="str">
        <f>INDEX(数据元说明!A:F,MATCH(I1235,数据元说明!C:C,0),6)</f>
        <v>C..450</v>
      </c>
      <c r="M1235" s="68" t="s">
        <v>2300</v>
      </c>
      <c r="N1235" s="68" t="s">
        <v>1601</v>
      </c>
      <c r="O1235" s="68"/>
      <c r="P1235" s="68"/>
    </row>
    <row r="1236" ht="39.95" hidden="1" customHeight="1" spans="1:16">
      <c r="A1236" s="77"/>
      <c r="B1236" s="64"/>
      <c r="C1236" s="59" t="s">
        <v>243</v>
      </c>
      <c r="D1236" s="59" t="s">
        <v>3127</v>
      </c>
      <c r="E1236" s="65">
        <v>803</v>
      </c>
      <c r="F1236" s="67" t="s">
        <v>492</v>
      </c>
      <c r="G1236" s="65">
        <v>80306</v>
      </c>
      <c r="H1236" s="75" t="s">
        <v>1639</v>
      </c>
      <c r="I1236" s="67" t="s">
        <v>492</v>
      </c>
      <c r="J1236" s="67" t="str">
        <f>INDEX(数据元说明!A:F,MATCH(I1236,数据元说明!C:C,0),2)</f>
        <v>002002</v>
      </c>
      <c r="K1236" s="68" t="str">
        <f>INDEX(数据元说明!A:F,MATCH(I1236,数据元说明!C:C,0),5)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236" s="67" t="str">
        <f>INDEX(数据元说明!A:F,MATCH(I1236,数据元说明!C:C,0),6)</f>
        <v>C..60</v>
      </c>
      <c r="M1236" s="68" t="s">
        <v>3131</v>
      </c>
      <c r="N1236" s="68" t="s">
        <v>1601</v>
      </c>
      <c r="O1236" s="68"/>
      <c r="P1236" s="68"/>
    </row>
    <row r="1237" ht="39.95" hidden="1" customHeight="1" spans="1:16">
      <c r="A1237" s="77"/>
      <c r="B1237" s="64"/>
      <c r="C1237" s="59" t="s">
        <v>243</v>
      </c>
      <c r="D1237" s="59" t="s">
        <v>3127</v>
      </c>
      <c r="E1237" s="65">
        <v>803</v>
      </c>
      <c r="F1237" s="67" t="s">
        <v>496</v>
      </c>
      <c r="G1237" s="65">
        <v>80307</v>
      </c>
      <c r="H1237" s="75" t="s">
        <v>1640</v>
      </c>
      <c r="I1237" s="67" t="s">
        <v>496</v>
      </c>
      <c r="J1237" s="67" t="str">
        <f>INDEX(数据元说明!A:F,MATCH(I1237,数据元说明!C:C,0),2)</f>
        <v>002003</v>
      </c>
      <c r="K1237" s="68" t="str">
        <f>INDEX(数据元说明!A:F,MATCH(I1237,数据元说明!C:C,0),5)</f>
        <v>与证件类别对应的证件号码。涉及个人身份证件时需按照本规范给定规则进行脱敏处理。</v>
      </c>
      <c r="L1237" s="67" t="str">
        <f>INDEX(数据元说明!A:F,MATCH(I1237,数据元说明!C:C,0),6)</f>
        <v>C..70</v>
      </c>
      <c r="M1237" s="68" t="s">
        <v>3132</v>
      </c>
      <c r="N1237" s="68" t="s">
        <v>1583</v>
      </c>
      <c r="O1237" s="68" t="s">
        <v>3097</v>
      </c>
      <c r="P1237" s="68"/>
    </row>
    <row r="1238" ht="39.95" hidden="1" customHeight="1" outlineLevel="1" spans="1:16">
      <c r="A1238" s="68"/>
      <c r="B1238" s="67"/>
      <c r="C1238" s="59" t="s">
        <v>243</v>
      </c>
      <c r="D1238" s="59" t="s">
        <v>3127</v>
      </c>
      <c r="E1238" s="65">
        <v>803</v>
      </c>
      <c r="F1238" s="67" t="s">
        <v>3021</v>
      </c>
      <c r="G1238" s="65">
        <v>80308</v>
      </c>
      <c r="H1238" s="67" t="s">
        <v>3022</v>
      </c>
      <c r="I1238" s="67" t="s">
        <v>605</v>
      </c>
      <c r="J1238" s="67" t="str">
        <f>INDEX(数据元说明!A:F,MATCH(I1238,数据元说明!C:C,0),2)</f>
        <v>003001</v>
      </c>
      <c r="K1238" s="67" t="str">
        <f>INDEX(数据元说明!A:F,MATCH(I1238,数据元说明!C:C,0),5)</f>
        <v>系统内最细一级的账号，无唯一性约束，不需要和序号、子序号等做拼接。</v>
      </c>
      <c r="L1238" s="67" t="str">
        <f>INDEX(数据元说明!A:F,MATCH(I1238,数据元说明!C:C,0),6)</f>
        <v>C..60</v>
      </c>
      <c r="M1238" s="68" t="s">
        <v>3133</v>
      </c>
      <c r="N1238" s="67" t="s">
        <v>1583</v>
      </c>
      <c r="O1238" s="67" t="s">
        <v>484</v>
      </c>
      <c r="P1238" s="67"/>
    </row>
    <row r="1239" ht="39.95" hidden="1" customHeight="1" outlineLevel="1" spans="1:16">
      <c r="A1239" s="68"/>
      <c r="B1239" s="67"/>
      <c r="C1239" s="59" t="s">
        <v>243</v>
      </c>
      <c r="D1239" s="59" t="s">
        <v>3127</v>
      </c>
      <c r="E1239" s="65">
        <v>803</v>
      </c>
      <c r="F1239" s="67" t="s">
        <v>654</v>
      </c>
      <c r="G1239" s="65">
        <v>80309</v>
      </c>
      <c r="H1239" s="67" t="s">
        <v>2155</v>
      </c>
      <c r="I1239" s="67" t="s">
        <v>654</v>
      </c>
      <c r="J1239" s="67" t="str">
        <f>INDEX(数据元说明!A:F,MATCH(I1239,数据元说明!C:C,0),2)</f>
        <v>003013</v>
      </c>
      <c r="K1239" s="67" t="str">
        <f>INDEX(数据元说明!A:F,MATCH(I1239,数据元说明!C:C,0),5)</f>
        <v>正常，预销户，销户，冻结，止付，其他-银行自定义。无法以枚举类型填报的，以“其他-XX”填报，其中“XX”为银行自定义类型。</v>
      </c>
      <c r="L1239" s="67" t="str">
        <f>INDEX(数据元说明!A:F,MATCH(I1239,数据元说明!C:C,0),6)</f>
        <v>C..30</v>
      </c>
      <c r="M1239" s="68"/>
      <c r="N1239" s="67" t="s">
        <v>1583</v>
      </c>
      <c r="O1239" s="67" t="s">
        <v>1577</v>
      </c>
      <c r="P1239" s="67"/>
    </row>
    <row r="1240" ht="39.95" hidden="1" customHeight="1" collapsed="1" spans="1:16">
      <c r="A1240" s="77"/>
      <c r="B1240" s="64"/>
      <c r="C1240" s="59" t="s">
        <v>243</v>
      </c>
      <c r="D1240" s="59" t="s">
        <v>3127</v>
      </c>
      <c r="E1240" s="65">
        <v>803</v>
      </c>
      <c r="F1240" s="67" t="s">
        <v>642</v>
      </c>
      <c r="G1240" s="65">
        <v>80310</v>
      </c>
      <c r="H1240" s="75" t="s">
        <v>1914</v>
      </c>
      <c r="I1240" s="67" t="s">
        <v>642</v>
      </c>
      <c r="J1240" s="67" t="str">
        <f>INDEX(数据元说明!A:F,MATCH(I1240,数据元说明!C:C,0),2)</f>
        <v>003010</v>
      </c>
      <c r="K1240" s="68" t="str">
        <f>INDEX(数据元说明!A:F,MATCH(I1240,数据元说明!C:C,0),5)</f>
        <v>遵循《GB/T 12406 表示货币和资金的代码》的字母代码，如CNY。上述文件所列币种无法涵盖的，允许银行自定义填报。多个币种合计折算为人民币（本外币合计）的，填报为BWB。</v>
      </c>
      <c r="L1240" s="67" t="str">
        <f>INDEX(数据元说明!A:F,MATCH(I1240,数据元说明!C:C,0),6)</f>
        <v>C3</v>
      </c>
      <c r="M1240" s="68" t="s">
        <v>3134</v>
      </c>
      <c r="N1240" s="68" t="s">
        <v>1601</v>
      </c>
      <c r="O1240" s="68"/>
      <c r="P1240" s="68"/>
    </row>
    <row r="1241" ht="39.95" hidden="1" customHeight="1" outlineLevel="1" spans="1:16">
      <c r="A1241" s="73"/>
      <c r="B1241" s="71"/>
      <c r="C1241" s="59" t="s">
        <v>243</v>
      </c>
      <c r="D1241" s="59" t="s">
        <v>3127</v>
      </c>
      <c r="E1241" s="65">
        <v>803</v>
      </c>
      <c r="F1241" s="67" t="s">
        <v>2174</v>
      </c>
      <c r="G1241" s="65">
        <v>80311</v>
      </c>
      <c r="H1241" s="67" t="s">
        <v>2175</v>
      </c>
      <c r="I1241" s="67" t="s">
        <v>638</v>
      </c>
      <c r="J1241" s="67" t="str">
        <f>INDEX(数据元说明!A:F,MATCH(I1241,数据元说明!C:C,0),2)</f>
        <v>003009</v>
      </c>
      <c r="K1241" s="68" t="str">
        <f>INDEX(数据元说明!A:F,MATCH(I1241,数据元说明!C:C,0),5)</f>
        <v>与币种相对应金额。(以正数填列。如信贷分户账，某客户初次获得贷款1万元，此时余额为10000；如活期存款明细，某客户初次开户存入10000元，此时余额为10000）</v>
      </c>
      <c r="L1241" s="67" t="str">
        <f>INDEX(数据元说明!A:F,MATCH(I1241,数据元说明!C:C,0),6)</f>
        <v>D20.2</v>
      </c>
      <c r="M1241" s="68" t="s">
        <v>3135</v>
      </c>
      <c r="N1241" s="68" t="s">
        <v>1601</v>
      </c>
      <c r="O1241" s="68"/>
      <c r="P1241" s="68"/>
    </row>
    <row r="1242" ht="39.95" hidden="1" customHeight="1" outlineLevel="1" spans="1:16">
      <c r="A1242" s="68"/>
      <c r="B1242" s="67"/>
      <c r="C1242" s="59" t="s">
        <v>243</v>
      </c>
      <c r="D1242" s="59" t="s">
        <v>3127</v>
      </c>
      <c r="E1242" s="65">
        <v>803</v>
      </c>
      <c r="F1242" s="67" t="s">
        <v>3136</v>
      </c>
      <c r="G1242" s="65">
        <v>80312</v>
      </c>
      <c r="H1242" s="67" t="s">
        <v>3137</v>
      </c>
      <c r="I1242" s="67" t="s">
        <v>634</v>
      </c>
      <c r="J1242" s="67" t="str">
        <f>INDEX(数据元说明!A:F,MATCH(I1242,数据元说明!C:C,0),2)</f>
        <v>003008</v>
      </c>
      <c r="K1242" s="67" t="str">
        <f>INDEX(数据元说明!A:F,MATCH(I1242,数据元说明!C:C,0),5)</f>
        <v>与币种相对应金额。</v>
      </c>
      <c r="L1242" s="67" t="str">
        <f>INDEX(数据元说明!A:F,MATCH(I1242,数据元说明!C:C,0),6)</f>
        <v>D20.2</v>
      </c>
      <c r="M1242" s="68" t="s">
        <v>3138</v>
      </c>
      <c r="N1242" s="67" t="s">
        <v>1583</v>
      </c>
      <c r="O1242" s="67" t="s">
        <v>484</v>
      </c>
      <c r="P1242" s="67"/>
    </row>
    <row r="1243" ht="39.95" hidden="1" customHeight="1" outlineLevel="1" spans="1:16">
      <c r="A1243" s="68"/>
      <c r="B1243" s="67"/>
      <c r="C1243" s="59" t="s">
        <v>243</v>
      </c>
      <c r="D1243" s="59" t="s">
        <v>3127</v>
      </c>
      <c r="E1243" s="65">
        <v>803</v>
      </c>
      <c r="F1243" s="67" t="s">
        <v>3139</v>
      </c>
      <c r="G1243" s="65">
        <v>80313</v>
      </c>
      <c r="H1243" s="67" t="s">
        <v>3140</v>
      </c>
      <c r="I1243" s="67" t="s">
        <v>634</v>
      </c>
      <c r="J1243" s="67" t="str">
        <f>INDEX(数据元说明!A:F,MATCH(I1243,数据元说明!C:C,0),2)</f>
        <v>003008</v>
      </c>
      <c r="K1243" s="67" t="str">
        <f>INDEX(数据元说明!A:F,MATCH(I1243,数据元说明!C:C,0),5)</f>
        <v>与币种相对应金额。</v>
      </c>
      <c r="L1243" s="67" t="str">
        <f>INDEX(数据元说明!A:F,MATCH(I1243,数据元说明!C:C,0),6)</f>
        <v>D20.2</v>
      </c>
      <c r="M1243" s="68"/>
      <c r="N1243" s="67" t="s">
        <v>1583</v>
      </c>
      <c r="O1243" s="67" t="s">
        <v>484</v>
      </c>
      <c r="P1243" s="67"/>
    </row>
    <row r="1244" ht="39.95" hidden="1" customHeight="1" outlineLevel="1" spans="1:16">
      <c r="A1244" s="68"/>
      <c r="B1244" s="67"/>
      <c r="C1244" s="59" t="s">
        <v>243</v>
      </c>
      <c r="D1244" s="59" t="s">
        <v>3127</v>
      </c>
      <c r="E1244" s="65">
        <v>803</v>
      </c>
      <c r="F1244" s="67" t="s">
        <v>3141</v>
      </c>
      <c r="G1244" s="65">
        <v>80314</v>
      </c>
      <c r="H1244" s="67" t="s">
        <v>3142</v>
      </c>
      <c r="I1244" s="67" t="s">
        <v>345</v>
      </c>
      <c r="J1244" s="67" t="str">
        <f>INDEX(数据元说明!A:F,MATCH(I1244,数据元说明!C:C,0),2)</f>
        <v>001005</v>
      </c>
      <c r="K1244" s="67" t="str">
        <f>INDEX(数据元说明!A:F,MATCH(I1244,数据元说明!C:C,0),5)</f>
        <v>YYYYMMDD，默认值99991231。</v>
      </c>
      <c r="L1244" s="67" t="str">
        <f>INDEX(数据元说明!A:F,MATCH(I1244,数据元说明!C:C,0),6)</f>
        <v>C8</v>
      </c>
      <c r="M1244" s="68"/>
      <c r="N1244" s="67" t="s">
        <v>1583</v>
      </c>
      <c r="O1244" s="67" t="s">
        <v>484</v>
      </c>
      <c r="P1244" s="67"/>
    </row>
    <row r="1245" ht="39.95" hidden="1" customHeight="1" outlineLevel="1" spans="1:16">
      <c r="A1245" s="68"/>
      <c r="B1245" s="67"/>
      <c r="C1245" s="59" t="s">
        <v>243</v>
      </c>
      <c r="D1245" s="59" t="s">
        <v>3127</v>
      </c>
      <c r="E1245" s="65">
        <v>803</v>
      </c>
      <c r="F1245" s="67" t="s">
        <v>3143</v>
      </c>
      <c r="G1245" s="65">
        <v>80315</v>
      </c>
      <c r="H1245" s="67" t="s">
        <v>3144</v>
      </c>
      <c r="I1245" s="67" t="s">
        <v>634</v>
      </c>
      <c r="J1245" s="67" t="str">
        <f>INDEX(数据元说明!A:F,MATCH(I1245,数据元说明!C:C,0),2)</f>
        <v>003008</v>
      </c>
      <c r="K1245" s="67" t="str">
        <f>INDEX(数据元说明!A:F,MATCH(I1245,数据元说明!C:C,0),5)</f>
        <v>与币种相对应金额。</v>
      </c>
      <c r="L1245" s="67" t="str">
        <f>INDEX(数据元说明!A:F,MATCH(I1245,数据元说明!C:C,0),6)</f>
        <v>D20.2</v>
      </c>
      <c r="M1245" s="68" t="s">
        <v>3145</v>
      </c>
      <c r="N1245" s="67" t="s">
        <v>1583</v>
      </c>
      <c r="O1245" s="67" t="s">
        <v>484</v>
      </c>
      <c r="P1245" s="67"/>
    </row>
    <row r="1246" ht="39.95" hidden="1" customHeight="1" outlineLevel="1" spans="1:16">
      <c r="A1246" s="73"/>
      <c r="B1246" s="71"/>
      <c r="C1246" s="59" t="s">
        <v>243</v>
      </c>
      <c r="D1246" s="59" t="s">
        <v>3127</v>
      </c>
      <c r="E1246" s="65">
        <v>803</v>
      </c>
      <c r="F1246" s="67" t="s">
        <v>3146</v>
      </c>
      <c r="G1246" s="65">
        <v>80316</v>
      </c>
      <c r="H1246" s="67" t="s">
        <v>3147</v>
      </c>
      <c r="I1246" s="67" t="s">
        <v>634</v>
      </c>
      <c r="J1246" s="67" t="str">
        <f>INDEX(数据元说明!A:F,MATCH(I1246,数据元说明!C:C,0),2)</f>
        <v>003008</v>
      </c>
      <c r="K1246" s="68" t="str">
        <f>INDEX(数据元说明!A:F,MATCH(I1246,数据元说明!C:C,0),5)</f>
        <v>与币种相对应金额。</v>
      </c>
      <c r="L1246" s="67" t="str">
        <f>INDEX(数据元说明!A:F,MATCH(I1246,数据元说明!C:C,0),6)</f>
        <v>D20.2</v>
      </c>
      <c r="M1246" s="68" t="s">
        <v>3148</v>
      </c>
      <c r="N1246" s="68" t="s">
        <v>1583</v>
      </c>
      <c r="O1246" s="67" t="s">
        <v>484</v>
      </c>
      <c r="P1246" s="69"/>
    </row>
    <row r="1247" ht="39.95" hidden="1" customHeight="1" outlineLevel="1" spans="1:16">
      <c r="A1247" s="68"/>
      <c r="B1247" s="67"/>
      <c r="C1247" s="59" t="s">
        <v>243</v>
      </c>
      <c r="D1247" s="59" t="s">
        <v>3127</v>
      </c>
      <c r="E1247" s="65">
        <v>803</v>
      </c>
      <c r="F1247" s="67" t="s">
        <v>3149</v>
      </c>
      <c r="G1247" s="65">
        <v>80317</v>
      </c>
      <c r="H1247" s="67" t="s">
        <v>3150</v>
      </c>
      <c r="I1247" s="67" t="s">
        <v>634</v>
      </c>
      <c r="J1247" s="67" t="str">
        <f>INDEX(数据元说明!A:F,MATCH(I1247,数据元说明!C:C,0),2)</f>
        <v>003008</v>
      </c>
      <c r="K1247" s="67" t="str">
        <f>INDEX(数据元说明!A:F,MATCH(I1247,数据元说明!C:C,0),5)</f>
        <v>与币种相对应金额。</v>
      </c>
      <c r="L1247" s="67" t="str">
        <f>INDEX(数据元说明!A:F,MATCH(I1247,数据元说明!C:C,0),6)</f>
        <v>D20.2</v>
      </c>
      <c r="M1247" s="68" t="s">
        <v>3151</v>
      </c>
      <c r="N1247" s="67" t="s">
        <v>1601</v>
      </c>
      <c r="O1247" s="67" t="s">
        <v>484</v>
      </c>
      <c r="P1247" s="67"/>
    </row>
    <row r="1248" ht="39.95" hidden="1" customHeight="1" collapsed="1" spans="1:16">
      <c r="A1248" s="77"/>
      <c r="B1248" s="64"/>
      <c r="C1248" s="59" t="s">
        <v>243</v>
      </c>
      <c r="D1248" s="59" t="s">
        <v>3127</v>
      </c>
      <c r="E1248" s="65">
        <v>803</v>
      </c>
      <c r="F1248" s="67" t="s">
        <v>3152</v>
      </c>
      <c r="G1248" s="65">
        <v>80318</v>
      </c>
      <c r="H1248" s="75" t="s">
        <v>3153</v>
      </c>
      <c r="I1248" s="67" t="s">
        <v>634</v>
      </c>
      <c r="J1248" s="67" t="str">
        <f>INDEX(数据元说明!A:F,MATCH(I1248,数据元说明!C:C,0),2)</f>
        <v>003008</v>
      </c>
      <c r="K1248" s="68" t="str">
        <f>INDEX(数据元说明!A:F,MATCH(I1248,数据元说明!C:C,0),5)</f>
        <v>与币种相对应金额。</v>
      </c>
      <c r="L1248" s="67" t="str">
        <f>INDEX(数据元说明!A:F,MATCH(I1248,数据元说明!C:C,0),6)</f>
        <v>D20.2</v>
      </c>
      <c r="M1248" s="68" t="s">
        <v>3154</v>
      </c>
      <c r="N1248" s="68" t="s">
        <v>1583</v>
      </c>
      <c r="O1248" s="68" t="s">
        <v>1574</v>
      </c>
      <c r="P1248" s="68"/>
    </row>
    <row r="1249" ht="39.95" hidden="1" customHeight="1" outlineLevel="1" spans="1:16">
      <c r="A1249" s="73"/>
      <c r="B1249" s="71"/>
      <c r="C1249" s="59" t="s">
        <v>243</v>
      </c>
      <c r="D1249" s="59" t="s">
        <v>3127</v>
      </c>
      <c r="E1249" s="65">
        <v>803</v>
      </c>
      <c r="F1249" s="67" t="s">
        <v>3155</v>
      </c>
      <c r="G1249" s="65">
        <v>80319</v>
      </c>
      <c r="H1249" s="67" t="s">
        <v>3156</v>
      </c>
      <c r="I1249" s="67" t="s">
        <v>638</v>
      </c>
      <c r="J1249" s="67" t="str">
        <f>INDEX(数据元说明!A:F,MATCH(I1249,数据元说明!C:C,0),2)</f>
        <v>003009</v>
      </c>
      <c r="K1249" s="68" t="str">
        <f>INDEX(数据元说明!A:F,MATCH(I1249,数据元说明!C:C,0),5)</f>
        <v>与币种相对应金额。(以正数填列。如信贷分户账，某客户初次获得贷款1万元，此时余额为10000；如活期存款明细，某客户初次开户存入10000元，此时余额为10000）</v>
      </c>
      <c r="L1249" s="67" t="str">
        <f>INDEX(数据元说明!A:F,MATCH(I1249,数据元说明!C:C,0),6)</f>
        <v>D20.2</v>
      </c>
      <c r="M1249" s="68" t="s">
        <v>3157</v>
      </c>
      <c r="N1249" s="68"/>
      <c r="O1249" s="68"/>
      <c r="P1249" s="69"/>
    </row>
    <row r="1250" ht="39.95" hidden="1" customHeight="1" outlineLevel="1" spans="1:16">
      <c r="A1250" s="73"/>
      <c r="B1250" s="71"/>
      <c r="C1250" s="59" t="s">
        <v>243</v>
      </c>
      <c r="D1250" s="59" t="s">
        <v>3127</v>
      </c>
      <c r="E1250" s="65">
        <v>803</v>
      </c>
      <c r="F1250" s="67" t="s">
        <v>3158</v>
      </c>
      <c r="G1250" s="65">
        <v>80320</v>
      </c>
      <c r="H1250" s="67" t="s">
        <v>3159</v>
      </c>
      <c r="I1250" s="67" t="s">
        <v>638</v>
      </c>
      <c r="J1250" s="67" t="str">
        <f>INDEX(数据元说明!A:F,MATCH(I1250,数据元说明!C:C,0),2)</f>
        <v>003009</v>
      </c>
      <c r="K1250" s="67" t="str">
        <f>INDEX(数据元说明!A:F,MATCH(I1250,数据元说明!C:C,0),5)</f>
        <v>与币种相对应金额。(以正数填列。如信贷分户账，某客户初次获得贷款1万元，此时余额为10000；如活期存款明细，某客户初次开户存入10000元，此时余额为10000）</v>
      </c>
      <c r="L1250" s="67" t="str">
        <f>INDEX(数据元说明!A:F,MATCH(I1250,数据元说明!C:C,0),6)</f>
        <v>D20.2</v>
      </c>
      <c r="M1250" s="68" t="s">
        <v>3160</v>
      </c>
      <c r="N1250" s="67" t="s">
        <v>1583</v>
      </c>
      <c r="O1250" s="67" t="s">
        <v>484</v>
      </c>
      <c r="P1250" s="69"/>
    </row>
    <row r="1251" ht="39.95" hidden="1" customHeight="1" collapsed="1" spans="1:16">
      <c r="A1251" s="77"/>
      <c r="B1251" s="64"/>
      <c r="C1251" s="59" t="s">
        <v>243</v>
      </c>
      <c r="D1251" s="59" t="s">
        <v>3127</v>
      </c>
      <c r="E1251" s="65">
        <v>803</v>
      </c>
      <c r="F1251" s="67" t="s">
        <v>3161</v>
      </c>
      <c r="G1251" s="65">
        <v>80321</v>
      </c>
      <c r="H1251" s="75" t="s">
        <v>3162</v>
      </c>
      <c r="I1251" s="67" t="s">
        <v>634</v>
      </c>
      <c r="J1251" s="67" t="str">
        <f>INDEX(数据元说明!A:F,MATCH(I1251,数据元说明!C:C,0),2)</f>
        <v>003008</v>
      </c>
      <c r="K1251" s="68" t="str">
        <f>INDEX(数据元说明!A:F,MATCH(I1251,数据元说明!C:C,0),5)</f>
        <v>与币种相对应金额。</v>
      </c>
      <c r="L1251" s="67" t="str">
        <f>INDEX(数据元说明!A:F,MATCH(I1251,数据元说明!C:C,0),6)</f>
        <v>D20.2</v>
      </c>
      <c r="M1251" s="68" t="s">
        <v>3163</v>
      </c>
      <c r="N1251" s="68" t="s">
        <v>1583</v>
      </c>
      <c r="O1251" s="68" t="s">
        <v>1574</v>
      </c>
      <c r="P1251" s="68"/>
    </row>
    <row r="1252" ht="39.95" hidden="1" customHeight="1" spans="1:16">
      <c r="A1252" s="77"/>
      <c r="B1252" s="64"/>
      <c r="C1252" s="59" t="s">
        <v>243</v>
      </c>
      <c r="D1252" s="59" t="s">
        <v>3127</v>
      </c>
      <c r="E1252" s="65">
        <v>803</v>
      </c>
      <c r="F1252" s="67" t="s">
        <v>3164</v>
      </c>
      <c r="G1252" s="65">
        <v>80322</v>
      </c>
      <c r="H1252" s="75" t="s">
        <v>3165</v>
      </c>
      <c r="I1252" s="67" t="s">
        <v>345</v>
      </c>
      <c r="J1252" s="67" t="str">
        <f>INDEX(数据元说明!A:F,MATCH(I1252,数据元说明!C:C,0),2)</f>
        <v>001005</v>
      </c>
      <c r="K1252" s="68" t="str">
        <f>INDEX(数据元说明!A:F,MATCH(I1252,数据元说明!C:C,0),5)</f>
        <v>YYYYMMDD，默认值99991231。</v>
      </c>
      <c r="L1252" s="67" t="str">
        <f>INDEX(数据元说明!A:F,MATCH(I1252,数据元说明!C:C,0),6)</f>
        <v>C8</v>
      </c>
      <c r="M1252" s="68" t="s">
        <v>3166</v>
      </c>
      <c r="N1252" s="67" t="s">
        <v>1583</v>
      </c>
      <c r="O1252" s="67" t="s">
        <v>484</v>
      </c>
      <c r="P1252" s="68"/>
    </row>
    <row r="1253" ht="39.95" hidden="1" customHeight="1" outlineLevel="1" spans="1:16">
      <c r="A1253" s="77"/>
      <c r="B1253" s="64"/>
      <c r="C1253" s="59" t="s">
        <v>243</v>
      </c>
      <c r="D1253" s="59" t="s">
        <v>3127</v>
      </c>
      <c r="E1253" s="65">
        <v>803</v>
      </c>
      <c r="F1253" s="67" t="s">
        <v>3167</v>
      </c>
      <c r="G1253" s="65">
        <v>80323</v>
      </c>
      <c r="H1253" s="67" t="s">
        <v>3168</v>
      </c>
      <c r="I1253" s="67" t="s">
        <v>634</v>
      </c>
      <c r="J1253" s="67" t="str">
        <f>INDEX(数据元说明!A:F,MATCH(I1253,数据元说明!C:C,0),2)</f>
        <v>003008</v>
      </c>
      <c r="K1253" s="68" t="str">
        <f>INDEX(数据元说明!A:F,MATCH(I1253,数据元说明!C:C,0),5)</f>
        <v>与币种相对应金额。</v>
      </c>
      <c r="L1253" s="67" t="str">
        <f>INDEX(数据元说明!A:F,MATCH(I1253,数据元说明!C:C,0),6)</f>
        <v>D20.2</v>
      </c>
      <c r="M1253" s="68" t="s">
        <v>3169</v>
      </c>
      <c r="N1253" s="68" t="s">
        <v>1601</v>
      </c>
      <c r="O1253" s="68"/>
      <c r="P1253" s="69"/>
    </row>
    <row r="1254" ht="39.95" hidden="1" customHeight="1" collapsed="1" spans="1:16">
      <c r="A1254" s="77"/>
      <c r="B1254" s="64"/>
      <c r="C1254" s="59" t="s">
        <v>243</v>
      </c>
      <c r="D1254" s="59" t="s">
        <v>3127</v>
      </c>
      <c r="E1254" s="65">
        <v>803</v>
      </c>
      <c r="F1254" s="67" t="s">
        <v>3170</v>
      </c>
      <c r="G1254" s="65">
        <v>80324</v>
      </c>
      <c r="H1254" s="75" t="s">
        <v>3171</v>
      </c>
      <c r="I1254" s="67" t="s">
        <v>691</v>
      </c>
      <c r="J1254" s="67" t="str">
        <f>INDEX(数据元说明!A:F,MATCH(I1254,数据元说明!C:C,0),2)</f>
        <v>003022</v>
      </c>
      <c r="K1254" s="68" t="str">
        <f>INDEX(数据元说明!A:F,MATCH(I1254,数据元说明!C:C,0),5)</f>
        <v>正常，关注，次级，可疑，损失。</v>
      </c>
      <c r="L1254" s="67" t="str">
        <f>INDEX(数据元说明!A:F,MATCH(I1254,数据元说明!C:C,0),6)</f>
        <v>C6</v>
      </c>
      <c r="M1254" s="68"/>
      <c r="N1254" s="68" t="s">
        <v>1583</v>
      </c>
      <c r="O1254" s="68" t="s">
        <v>1745</v>
      </c>
      <c r="P1254" s="68"/>
    </row>
    <row r="1255" ht="39.95" hidden="1" customHeight="1" outlineLevel="1" spans="1:16">
      <c r="A1255" s="73"/>
      <c r="B1255" s="71"/>
      <c r="C1255" s="59" t="s">
        <v>243</v>
      </c>
      <c r="D1255" s="59" t="s">
        <v>3127</v>
      </c>
      <c r="E1255" s="65">
        <v>803</v>
      </c>
      <c r="F1255" s="67" t="s">
        <v>3172</v>
      </c>
      <c r="G1255" s="65">
        <v>80325</v>
      </c>
      <c r="H1255" s="67" t="s">
        <v>3173</v>
      </c>
      <c r="I1255" s="67" t="s">
        <v>445</v>
      </c>
      <c r="J1255" s="67" t="str">
        <f>INDEX(数据元说明!A:F,MATCH(I1255,数据元说明!C:C,0),2)</f>
        <v>001029</v>
      </c>
      <c r="K1255" s="68" t="str">
        <f>INDEX(数据元说明!A:F,MATCH(I1255,数据元说明!C:C,0),5)</f>
        <v>数量。</v>
      </c>
      <c r="L1255" s="67" t="str">
        <f>INDEX(数据元说明!A:F,MATCH(I1255,数据元说明!C:C,0),6)</f>
        <v>D20</v>
      </c>
      <c r="M1255" s="68" t="s">
        <v>3174</v>
      </c>
      <c r="N1255" s="68" t="s">
        <v>1583</v>
      </c>
      <c r="O1255" s="68" t="s">
        <v>484</v>
      </c>
      <c r="P1255" s="69"/>
    </row>
    <row r="1256" ht="39.95" hidden="1" customHeight="1" collapsed="1" spans="1:16">
      <c r="A1256" s="77"/>
      <c r="B1256" s="64"/>
      <c r="C1256" s="59" t="s">
        <v>243</v>
      </c>
      <c r="D1256" s="59" t="s">
        <v>3127</v>
      </c>
      <c r="E1256" s="65">
        <v>803</v>
      </c>
      <c r="F1256" s="59" t="s">
        <v>3175</v>
      </c>
      <c r="G1256" s="65">
        <v>80326</v>
      </c>
      <c r="H1256" s="73" t="s">
        <v>3176</v>
      </c>
      <c r="I1256" s="73" t="s">
        <v>634</v>
      </c>
      <c r="J1256" s="67" t="str">
        <f>INDEX(数据元说明!A:F,MATCH(I1256,数据元说明!C:C,0),2)</f>
        <v>003008</v>
      </c>
      <c r="K1256" s="68" t="str">
        <f>INDEX(数据元说明!A:F,MATCH(I1256,数据元说明!C:C,0),5)</f>
        <v>与币种相对应金额。</v>
      </c>
      <c r="L1256" s="73" t="s">
        <v>338</v>
      </c>
      <c r="M1256" s="68" t="s">
        <v>3177</v>
      </c>
      <c r="N1256" s="68" t="s">
        <v>1583</v>
      </c>
      <c r="O1256" s="68" t="s">
        <v>484</v>
      </c>
      <c r="P1256" s="68"/>
    </row>
    <row r="1257" ht="39.95" hidden="1" customHeight="1" spans="1:16">
      <c r="A1257" s="77"/>
      <c r="B1257" s="64"/>
      <c r="C1257" s="59" t="s">
        <v>243</v>
      </c>
      <c r="D1257" s="59" t="s">
        <v>3127</v>
      </c>
      <c r="E1257" s="65">
        <v>803</v>
      </c>
      <c r="F1257" s="59" t="s">
        <v>3178</v>
      </c>
      <c r="G1257" s="65">
        <v>80327</v>
      </c>
      <c r="H1257" s="73" t="s">
        <v>3179</v>
      </c>
      <c r="I1257" s="73" t="s">
        <v>634</v>
      </c>
      <c r="J1257" s="67" t="str">
        <f>INDEX(数据元说明!A:F,MATCH(I1257,数据元说明!C:C,0),2)</f>
        <v>003008</v>
      </c>
      <c r="K1257" s="68" t="str">
        <f>INDEX(数据元说明!A:F,MATCH(I1257,数据元说明!C:C,0),5)</f>
        <v>与币种相对应金额。</v>
      </c>
      <c r="L1257" s="73" t="s">
        <v>338</v>
      </c>
      <c r="M1257" s="68" t="s">
        <v>3180</v>
      </c>
      <c r="N1257" s="68" t="s">
        <v>1583</v>
      </c>
      <c r="O1257" s="68" t="s">
        <v>484</v>
      </c>
      <c r="P1257" s="68"/>
    </row>
    <row r="1258" ht="39.95" hidden="1" customHeight="1" spans="1:16">
      <c r="A1258" s="77"/>
      <c r="B1258" s="64"/>
      <c r="C1258" s="59" t="s">
        <v>243</v>
      </c>
      <c r="D1258" s="59" t="s">
        <v>3127</v>
      </c>
      <c r="E1258" s="65">
        <v>803</v>
      </c>
      <c r="F1258" s="59" t="s">
        <v>3181</v>
      </c>
      <c r="G1258" s="65">
        <v>80328</v>
      </c>
      <c r="H1258" s="73" t="s">
        <v>3182</v>
      </c>
      <c r="I1258" s="73" t="s">
        <v>634</v>
      </c>
      <c r="J1258" s="67" t="str">
        <f>INDEX(数据元说明!A:F,MATCH(I1258,数据元说明!C:C,0),2)</f>
        <v>003008</v>
      </c>
      <c r="K1258" s="68" t="str">
        <f>INDEX(数据元说明!A:F,MATCH(I1258,数据元说明!C:C,0),5)</f>
        <v>与币种相对应金额。</v>
      </c>
      <c r="L1258" s="73" t="s">
        <v>338</v>
      </c>
      <c r="M1258" s="68" t="s">
        <v>3183</v>
      </c>
      <c r="N1258" s="68" t="s">
        <v>1583</v>
      </c>
      <c r="O1258" s="68" t="s">
        <v>484</v>
      </c>
      <c r="P1258" s="68"/>
    </row>
    <row r="1259" ht="39.95" hidden="1" customHeight="1" spans="1:16">
      <c r="A1259" s="77"/>
      <c r="B1259" s="64"/>
      <c r="C1259" s="59" t="s">
        <v>243</v>
      </c>
      <c r="D1259" s="59" t="s">
        <v>3127</v>
      </c>
      <c r="E1259" s="65">
        <v>803</v>
      </c>
      <c r="F1259" s="59" t="s">
        <v>3184</v>
      </c>
      <c r="G1259" s="65">
        <v>80329</v>
      </c>
      <c r="H1259" s="73" t="s">
        <v>3185</v>
      </c>
      <c r="I1259" s="73" t="s">
        <v>634</v>
      </c>
      <c r="J1259" s="67" t="str">
        <f>INDEX(数据元说明!A:F,MATCH(I1259,数据元说明!C:C,0),2)</f>
        <v>003008</v>
      </c>
      <c r="K1259" s="68" t="str">
        <f>INDEX(数据元说明!A:F,MATCH(I1259,数据元说明!C:C,0),5)</f>
        <v>与币种相对应金额。</v>
      </c>
      <c r="L1259" s="73" t="s">
        <v>338</v>
      </c>
      <c r="M1259" s="68" t="s">
        <v>3186</v>
      </c>
      <c r="N1259" s="68" t="s">
        <v>1583</v>
      </c>
      <c r="O1259" s="68" t="s">
        <v>484</v>
      </c>
      <c r="P1259" s="68"/>
    </row>
    <row r="1260" ht="39.95" hidden="1" customHeight="1" spans="1:16">
      <c r="A1260" s="77"/>
      <c r="B1260" s="64"/>
      <c r="C1260" s="59" t="s">
        <v>243</v>
      </c>
      <c r="D1260" s="59" t="s">
        <v>3127</v>
      </c>
      <c r="E1260" s="65">
        <v>803</v>
      </c>
      <c r="F1260" s="59" t="s">
        <v>3187</v>
      </c>
      <c r="G1260" s="65">
        <v>80330</v>
      </c>
      <c r="H1260" s="73" t="s">
        <v>3188</v>
      </c>
      <c r="I1260" s="73" t="s">
        <v>634</v>
      </c>
      <c r="J1260" s="67" t="str">
        <f>INDEX(数据元说明!A:F,MATCH(I1260,数据元说明!C:C,0),2)</f>
        <v>003008</v>
      </c>
      <c r="K1260" s="68" t="str">
        <f>INDEX(数据元说明!A:F,MATCH(I1260,数据元说明!C:C,0),5)</f>
        <v>与币种相对应金额。</v>
      </c>
      <c r="L1260" s="73" t="s">
        <v>338</v>
      </c>
      <c r="M1260" s="68" t="s">
        <v>3189</v>
      </c>
      <c r="N1260" s="68" t="s">
        <v>1583</v>
      </c>
      <c r="O1260" s="68" t="s">
        <v>484</v>
      </c>
      <c r="P1260" s="68"/>
    </row>
    <row r="1261" ht="39.95" hidden="1" customHeight="1" spans="1:16">
      <c r="A1261" s="77"/>
      <c r="B1261" s="64"/>
      <c r="C1261" s="59" t="s">
        <v>243</v>
      </c>
      <c r="D1261" s="59" t="s">
        <v>3127</v>
      </c>
      <c r="E1261" s="65">
        <v>803</v>
      </c>
      <c r="F1261" s="59" t="s">
        <v>3190</v>
      </c>
      <c r="G1261" s="65">
        <v>80331</v>
      </c>
      <c r="H1261" s="73" t="s">
        <v>3191</v>
      </c>
      <c r="I1261" s="73" t="s">
        <v>345</v>
      </c>
      <c r="J1261" s="67" t="str">
        <f>INDEX(数据元说明!A:F,MATCH(I1261,数据元说明!C:C,0),2)</f>
        <v>001005</v>
      </c>
      <c r="K1261" s="68" t="str">
        <f>INDEX(数据元说明!A:F,MATCH(I1261,数据元说明!C:C,0),5)</f>
        <v>YYYYMMDD，默认值99991231。</v>
      </c>
      <c r="L1261" s="67" t="str">
        <f>INDEX(数据元说明!A:F,MATCH(I1261,数据元说明!C:C,0),6)</f>
        <v>C8</v>
      </c>
      <c r="M1261" s="68" t="s">
        <v>3192</v>
      </c>
      <c r="N1261" s="68" t="s">
        <v>1583</v>
      </c>
      <c r="O1261" s="68" t="s">
        <v>3193</v>
      </c>
      <c r="P1261" s="68"/>
    </row>
    <row r="1262" ht="39.95" hidden="1" customHeight="1" spans="1:16">
      <c r="A1262" s="77"/>
      <c r="B1262" s="64"/>
      <c r="C1262" s="59" t="s">
        <v>243</v>
      </c>
      <c r="D1262" s="59" t="s">
        <v>3127</v>
      </c>
      <c r="E1262" s="65">
        <v>803</v>
      </c>
      <c r="F1262" s="59" t="s">
        <v>3194</v>
      </c>
      <c r="G1262" s="65">
        <v>80332</v>
      </c>
      <c r="H1262" s="73" t="s">
        <v>3195</v>
      </c>
      <c r="I1262" s="73" t="s">
        <v>445</v>
      </c>
      <c r="J1262" s="67" t="str">
        <f>INDEX(数据元说明!A:F,MATCH(I1262,数据元说明!C:C,0),2)</f>
        <v>001029</v>
      </c>
      <c r="K1262" s="68" t="str">
        <f>INDEX(数据元说明!A:F,MATCH(I1262,数据元说明!C:C,0),5)</f>
        <v>数量。</v>
      </c>
      <c r="L1262" s="67" t="str">
        <f>INDEX(数据元说明!A:F,MATCH(I1262,数据元说明!C:C,0),6)</f>
        <v>D20</v>
      </c>
      <c r="M1262" s="68" t="s">
        <v>3196</v>
      </c>
      <c r="N1262" s="68" t="s">
        <v>1583</v>
      </c>
      <c r="O1262" s="68" t="s">
        <v>3193</v>
      </c>
      <c r="P1262" s="68"/>
    </row>
    <row r="1263" ht="39.95" hidden="1" customHeight="1" spans="1:16">
      <c r="A1263" s="77"/>
      <c r="B1263" s="64"/>
      <c r="C1263" s="59" t="s">
        <v>243</v>
      </c>
      <c r="D1263" s="59" t="s">
        <v>3127</v>
      </c>
      <c r="E1263" s="65">
        <v>803</v>
      </c>
      <c r="F1263" s="59" t="s">
        <v>3197</v>
      </c>
      <c r="G1263" s="65">
        <v>80333</v>
      </c>
      <c r="H1263" s="73" t="s">
        <v>3198</v>
      </c>
      <c r="I1263" s="67" t="s">
        <v>634</v>
      </c>
      <c r="J1263" s="67" t="str">
        <f>INDEX(数据元说明!A:F,MATCH(I1263,数据元说明!C:C,0),2)</f>
        <v>003008</v>
      </c>
      <c r="K1263" s="68" t="str">
        <f>INDEX(数据元说明!A:F,MATCH(I1263,数据元说明!C:C,0),5)</f>
        <v>与币种相对应金额。</v>
      </c>
      <c r="L1263" s="67" t="str">
        <f>INDEX(数据元说明!A:F,MATCH(I1263,数据元说明!C:C,0),6)</f>
        <v>D20.2</v>
      </c>
      <c r="M1263" s="68" t="s">
        <v>3199</v>
      </c>
      <c r="N1263" s="68" t="s">
        <v>1583</v>
      </c>
      <c r="O1263" s="68" t="s">
        <v>3193</v>
      </c>
      <c r="P1263" s="68"/>
    </row>
    <row r="1264" ht="39.95" hidden="1" customHeight="1" spans="1:16">
      <c r="A1264" s="77"/>
      <c r="B1264" s="64"/>
      <c r="C1264" s="59" t="s">
        <v>243</v>
      </c>
      <c r="D1264" s="59" t="s">
        <v>3127</v>
      </c>
      <c r="E1264" s="65">
        <v>803</v>
      </c>
      <c r="F1264" s="59" t="s">
        <v>3200</v>
      </c>
      <c r="G1264" s="65">
        <v>80334</v>
      </c>
      <c r="H1264" s="73" t="s">
        <v>3201</v>
      </c>
      <c r="I1264" s="73" t="s">
        <v>345</v>
      </c>
      <c r="J1264" s="67" t="str">
        <f>INDEX(数据元说明!A:F,MATCH(I1264,数据元说明!C:C,0),2)</f>
        <v>001005</v>
      </c>
      <c r="K1264" s="68" t="str">
        <f>INDEX(数据元说明!A:F,MATCH(I1264,数据元说明!C:C,0),5)</f>
        <v>YYYYMMDD，默认值99991231。</v>
      </c>
      <c r="L1264" s="67" t="str">
        <f>INDEX(数据元说明!A:F,MATCH(I1264,数据元说明!C:C,0),6)</f>
        <v>C8</v>
      </c>
      <c r="M1264" s="68" t="s">
        <v>3202</v>
      </c>
      <c r="N1264" s="68" t="s">
        <v>1583</v>
      </c>
      <c r="O1264" s="68" t="s">
        <v>3193</v>
      </c>
      <c r="P1264" s="68"/>
    </row>
    <row r="1265" ht="39.95" hidden="1" customHeight="1" spans="1:16">
      <c r="A1265" s="77"/>
      <c r="B1265" s="64"/>
      <c r="C1265" s="59" t="s">
        <v>243</v>
      </c>
      <c r="D1265" s="59" t="s">
        <v>3127</v>
      </c>
      <c r="E1265" s="65">
        <v>803</v>
      </c>
      <c r="F1265" s="59" t="s">
        <v>3203</v>
      </c>
      <c r="G1265" s="65">
        <v>80335</v>
      </c>
      <c r="H1265" s="73" t="s">
        <v>3204</v>
      </c>
      <c r="I1265" s="73" t="s">
        <v>1029</v>
      </c>
      <c r="J1265" s="67" t="str">
        <f>INDEX(数据元说明!A:F,MATCH(I1265,数据元说明!C:C,0),2)</f>
        <v>007004</v>
      </c>
      <c r="K1265" s="68" t="str">
        <f>INDEX(数据元说明!A:F,MATCH(I1265,数据元说明!C:C,0),5)</f>
        <v>新发卡授信、固定额度上调,专项分期额度上调,其他-银行自定义。无法以枚举类型填报的，以“其他-XX”填报，其中XX为银行自定义类型。</v>
      </c>
      <c r="L1265" s="67" t="str">
        <f>INDEX(数据元说明!A:F,MATCH(I1265,数据元说明!C:C,0),6)</f>
        <v>C..60</v>
      </c>
      <c r="M1265" s="68" t="s">
        <v>3205</v>
      </c>
      <c r="N1265" s="68" t="s">
        <v>1583</v>
      </c>
      <c r="O1265" s="68" t="s">
        <v>484</v>
      </c>
      <c r="P1265" s="68"/>
    </row>
    <row r="1266" ht="39.95" hidden="1" customHeight="1" spans="1:16">
      <c r="A1266" s="77"/>
      <c r="B1266" s="64"/>
      <c r="C1266" s="59" t="s">
        <v>243</v>
      </c>
      <c r="D1266" s="59" t="s">
        <v>3127</v>
      </c>
      <c r="E1266" s="65">
        <v>803</v>
      </c>
      <c r="F1266" s="59" t="s">
        <v>3206</v>
      </c>
      <c r="G1266" s="65">
        <v>80336</v>
      </c>
      <c r="H1266" s="73" t="s">
        <v>3207</v>
      </c>
      <c r="I1266" s="73" t="s">
        <v>330</v>
      </c>
      <c r="J1266" s="67" t="str">
        <f>INDEX(数据元说明!A:F,MATCH(I1266,数据元说明!C:C,0),2)</f>
        <v>001002</v>
      </c>
      <c r="K1266" s="68" t="str">
        <f>INDEX(数据元说明!A:F,MATCH(I1266,数据元说明!C:C,0),5)</f>
        <v>是，否。</v>
      </c>
      <c r="L1266" s="67" t="str">
        <f>INDEX(数据元说明!A:F,MATCH(I1266,数据元说明!C:C,0),6)</f>
        <v>C3</v>
      </c>
      <c r="M1266" s="85" t="s">
        <v>3208</v>
      </c>
      <c r="N1266" s="68" t="s">
        <v>1601</v>
      </c>
      <c r="O1266" s="68"/>
      <c r="P1266" s="68"/>
    </row>
    <row r="1267" ht="39.95" hidden="1" customHeight="1" spans="1:16">
      <c r="A1267" s="77"/>
      <c r="B1267" s="64"/>
      <c r="C1267" s="59" t="s">
        <v>243</v>
      </c>
      <c r="D1267" s="59" t="s">
        <v>3127</v>
      </c>
      <c r="E1267" s="65">
        <v>803</v>
      </c>
      <c r="F1267" s="59" t="s">
        <v>1037</v>
      </c>
      <c r="G1267" s="65">
        <v>80337</v>
      </c>
      <c r="H1267" s="73" t="s">
        <v>3209</v>
      </c>
      <c r="I1267" s="73" t="s">
        <v>1037</v>
      </c>
      <c r="J1267" s="67" t="str">
        <f>INDEX(数据元说明!A:F,MATCH(I1267,数据元说明!C:C,0),2)</f>
        <v>007006</v>
      </c>
      <c r="K1267" s="68" t="str">
        <f>INDEX(数据元说明!A:F,MATCH(I1267,数据元说明!C:C,0),5)</f>
        <v>电话催收，信函催收，外访催收，司法催收，其他-银行自定义。无法以枚举类型填报的，以“其他-XX”填报，其中XX为银行自定义类型。</v>
      </c>
      <c r="L1267" s="67" t="str">
        <f>INDEX(数据元说明!A:F,MATCH(I1267,数据元说明!C:C,0),6)</f>
        <v>C..60</v>
      </c>
      <c r="M1267" s="85" t="s">
        <v>3210</v>
      </c>
      <c r="N1267" s="68" t="s">
        <v>1601</v>
      </c>
      <c r="O1267" s="68"/>
      <c r="P1267" s="68"/>
    </row>
    <row r="1268" ht="39.95" hidden="1" customHeight="1" outlineLevel="1" spans="1:16">
      <c r="A1268" s="77"/>
      <c r="B1268" s="64"/>
      <c r="C1268" s="59" t="s">
        <v>243</v>
      </c>
      <c r="D1268" s="59" t="s">
        <v>3127</v>
      </c>
      <c r="E1268" s="65">
        <v>803</v>
      </c>
      <c r="F1268" s="67" t="s">
        <v>484</v>
      </c>
      <c r="G1268" s="65">
        <v>80338</v>
      </c>
      <c r="H1268" s="67" t="s">
        <v>1623</v>
      </c>
      <c r="I1268" s="67" t="s">
        <v>484</v>
      </c>
      <c r="J1268" s="67" t="str">
        <f>INDEX(数据元说明!A:F,MATCH(I1268,数据元说明!C:C,0),2)</f>
        <v>001038</v>
      </c>
      <c r="K1268" s="68" t="str">
        <f>INDEX(数据元说明!A:F,MATCH(I1268,数据元说明!C:C,0),5)</f>
        <v>银行自定义。</v>
      </c>
      <c r="L1268" s="67" t="str">
        <f>INDEX(数据元说明!A:F,MATCH(I1268,数据元说明!C:C,0),6)</f>
        <v>C..600</v>
      </c>
      <c r="M1268" s="68" t="s">
        <v>1624</v>
      </c>
      <c r="N1268" s="68" t="s">
        <v>1601</v>
      </c>
      <c r="O1268" s="68"/>
      <c r="P1268" s="68"/>
    </row>
    <row r="1269" ht="39.95" hidden="1" customHeight="1" collapsed="1" spans="1:16">
      <c r="A1269" s="77"/>
      <c r="B1269" s="64"/>
      <c r="C1269" s="59" t="s">
        <v>243</v>
      </c>
      <c r="D1269" s="59" t="s">
        <v>3127</v>
      </c>
      <c r="E1269" s="65">
        <v>803</v>
      </c>
      <c r="F1269" s="67" t="s">
        <v>1625</v>
      </c>
      <c r="G1269" s="65">
        <v>80339</v>
      </c>
      <c r="H1269" s="75" t="s">
        <v>1626</v>
      </c>
      <c r="I1269" s="67" t="s">
        <v>345</v>
      </c>
      <c r="J1269" s="67" t="str">
        <f>INDEX(数据元说明!A:F,MATCH(I1269,数据元说明!C:C,0),2)</f>
        <v>001005</v>
      </c>
      <c r="K1269" s="68" t="str">
        <f>INDEX(数据元说明!A:F,MATCH(I1269,数据元说明!C:C,0),5)</f>
        <v>YYYYMMDD，默认值99991231。</v>
      </c>
      <c r="L1269" s="67" t="str">
        <f>INDEX(数据元说明!A:F,MATCH(I1269,数据元说明!C:C,0),6)</f>
        <v>C8</v>
      </c>
      <c r="M1269" s="68" t="s">
        <v>1627</v>
      </c>
      <c r="N1269" s="68"/>
      <c r="O1269" s="68"/>
      <c r="P1269" s="68"/>
    </row>
    <row r="1270" ht="39.95" hidden="1" customHeight="1" spans="1:16">
      <c r="A1270" s="73"/>
      <c r="B1270" s="71"/>
      <c r="C1270" s="59" t="s">
        <v>247</v>
      </c>
      <c r="D1270" s="59" t="s">
        <v>3211</v>
      </c>
      <c r="E1270" s="65">
        <v>804</v>
      </c>
      <c r="F1270" s="67"/>
      <c r="G1270" s="65"/>
      <c r="H1270" s="67"/>
      <c r="I1270" s="67"/>
      <c r="J1270" s="67"/>
      <c r="K1270" s="68"/>
      <c r="L1270" s="67"/>
      <c r="M1270" s="68" t="str">
        <f>INDEX(表结构总览!D:G,MATCH(D1270,表结构总览!D:D,0),4)</f>
        <v>填报每月新增的持卡人分期业务情况。</v>
      </c>
      <c r="N1270" s="68" t="s">
        <v>1583</v>
      </c>
      <c r="O1270" s="67" t="s">
        <v>1836</v>
      </c>
      <c r="P1270" s="69"/>
    </row>
    <row r="1271" ht="39.95" hidden="1" customHeight="1" outlineLevel="1" spans="1:16">
      <c r="A1271" s="77"/>
      <c r="B1271" s="64"/>
      <c r="C1271" s="59" t="s">
        <v>247</v>
      </c>
      <c r="D1271" s="59" t="s">
        <v>3211</v>
      </c>
      <c r="E1271" s="65">
        <v>804</v>
      </c>
      <c r="F1271" s="67" t="s">
        <v>373</v>
      </c>
      <c r="G1271" s="65">
        <v>80401</v>
      </c>
      <c r="H1271" s="67" t="s">
        <v>1588</v>
      </c>
      <c r="I1271" s="67" t="s">
        <v>373</v>
      </c>
      <c r="J1271" s="67" t="str">
        <f>INDEX(数据元说明!A:F,MATCH(I1271,数据元说明!C:C,0),2)</f>
        <v>001011</v>
      </c>
      <c r="K1271" s="68" t="str">
        <f>INDEX(数据元说明!A:F,MATCH(I1271,数据元说明!C:C,0),5)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71" s="67" t="str">
        <f>INDEX(数据元说明!A:F,MATCH(I1271,数据元说明!C:C,0),6)</f>
        <v>C..30</v>
      </c>
      <c r="M1271" s="68" t="s">
        <v>2488</v>
      </c>
      <c r="N1271" s="68"/>
      <c r="O1271" s="68"/>
      <c r="P1271" s="68"/>
    </row>
    <row r="1272" ht="39.95" hidden="1" customHeight="1" collapsed="1" spans="1:16">
      <c r="A1272" s="77"/>
      <c r="B1272" s="64"/>
      <c r="C1272" s="59" t="s">
        <v>247</v>
      </c>
      <c r="D1272" s="59" t="s">
        <v>3211</v>
      </c>
      <c r="E1272" s="65">
        <v>804</v>
      </c>
      <c r="F1272" s="67" t="s">
        <v>377</v>
      </c>
      <c r="G1272" s="65">
        <v>80402</v>
      </c>
      <c r="H1272" s="75" t="s">
        <v>1586</v>
      </c>
      <c r="I1272" s="67" t="s">
        <v>377</v>
      </c>
      <c r="J1272" s="67" t="str">
        <f>INDEX(数据元说明!A:F,MATCH(I1272,数据元说明!C:C,0),2)</f>
        <v>001012</v>
      </c>
      <c r="K1272" s="68" t="str">
        <f>INDEX(数据元说明!A:F,MATCH(I1272,数据元说明!C:C,0),5)</f>
        <v>银行内部机构号。应具有标识机构的唯一性。</v>
      </c>
      <c r="L1272" s="67" t="str">
        <f>INDEX(数据元说明!A:F,MATCH(I1272,数据元说明!C:C,0),6)</f>
        <v>C..30</v>
      </c>
      <c r="M1272" s="68" t="s">
        <v>1820</v>
      </c>
      <c r="N1272" s="68"/>
      <c r="O1272" s="68"/>
      <c r="P1272" s="69"/>
    </row>
    <row r="1273" ht="39.95" hidden="1" customHeight="1" spans="1:16">
      <c r="A1273" s="77"/>
      <c r="B1273" s="64"/>
      <c r="C1273" s="59" t="s">
        <v>247</v>
      </c>
      <c r="D1273" s="59" t="s">
        <v>3211</v>
      </c>
      <c r="E1273" s="65">
        <v>804</v>
      </c>
      <c r="F1273" s="67" t="s">
        <v>1592</v>
      </c>
      <c r="G1273" s="65">
        <v>80403</v>
      </c>
      <c r="H1273" s="75" t="s">
        <v>1593</v>
      </c>
      <c r="I1273" s="67" t="s">
        <v>325</v>
      </c>
      <c r="J1273" s="67" t="str">
        <f>INDEX(数据元说明!A:F,MATCH(I1273,数据元说明!C:C,0),2)</f>
        <v>001001</v>
      </c>
      <c r="K1273" s="68" t="str">
        <f>INDEX(数据元说明!A:F,MATCH(I1273,数据元说明!C:C,0),5)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273" s="67" t="str">
        <f>INDEX(数据元说明!A:F,MATCH(I1273,数据元说明!C:C,0),6)</f>
        <v>C..450</v>
      </c>
      <c r="M1273" s="68" t="s">
        <v>1631</v>
      </c>
      <c r="N1273" s="68" t="s">
        <v>1583</v>
      </c>
      <c r="O1273" s="68" t="s">
        <v>322</v>
      </c>
      <c r="P1273" s="69"/>
    </row>
    <row r="1274" ht="39.95" hidden="1" customHeight="1" outlineLevel="1" spans="1:16">
      <c r="A1274" s="73"/>
      <c r="B1274" s="71"/>
      <c r="C1274" s="59" t="s">
        <v>247</v>
      </c>
      <c r="D1274" s="59" t="s">
        <v>3211</v>
      </c>
      <c r="E1274" s="65">
        <v>804</v>
      </c>
      <c r="F1274" s="67" t="s">
        <v>3212</v>
      </c>
      <c r="G1274" s="65">
        <v>80404</v>
      </c>
      <c r="H1274" s="67" t="s">
        <v>3213</v>
      </c>
      <c r="I1274" s="67" t="s">
        <v>687</v>
      </c>
      <c r="J1274" s="67" t="str">
        <f>INDEX(数据元说明!A:F,MATCH(I1274,数据元说明!C:C,0),2)</f>
        <v>003021</v>
      </c>
      <c r="K1274" s="68" t="str">
        <f>INDEX(数据元说明!A:F,MATCH(I1274,数据元说明!C:C,0),5)</f>
        <v>能唯一识别同一笔交易的标识，银行自定义。</v>
      </c>
      <c r="L1274" s="67" t="str">
        <f>INDEX(数据元说明!A:F,MATCH(I1274,数据元说明!C:C,0),6)</f>
        <v>C..100</v>
      </c>
      <c r="M1274" s="68" t="s">
        <v>3214</v>
      </c>
      <c r="N1274" s="80" t="s">
        <v>1601</v>
      </c>
      <c r="O1274" s="80"/>
      <c r="P1274" s="80"/>
    </row>
    <row r="1275" ht="39.95" hidden="1" customHeight="1" collapsed="1" spans="1:16">
      <c r="A1275" s="77"/>
      <c r="B1275" s="64"/>
      <c r="C1275" s="59" t="s">
        <v>247</v>
      </c>
      <c r="D1275" s="59" t="s">
        <v>3211</v>
      </c>
      <c r="E1275" s="65">
        <v>804</v>
      </c>
      <c r="F1275" s="67" t="s">
        <v>488</v>
      </c>
      <c r="G1275" s="65">
        <v>80405</v>
      </c>
      <c r="H1275" s="75" t="s">
        <v>1699</v>
      </c>
      <c r="I1275" s="67" t="s">
        <v>488</v>
      </c>
      <c r="J1275" s="67" t="str">
        <f>INDEX(数据元说明!A:F,MATCH(I1275,数据元说明!C:C,0),2)</f>
        <v>002001</v>
      </c>
      <c r="K1275" s="68" t="str">
        <f>INDEX(数据元说明!A:F,MATCH(I1275,数据元说明!C:C,0),5)</f>
        <v>银行自定义的唯一识别客户的标识。供应链融资的填写供应链融资编码。</v>
      </c>
      <c r="L1275" s="67" t="str">
        <f>INDEX(数据元说明!A:F,MATCH(I1275,数据元说明!C:C,0),6)</f>
        <v>C..60</v>
      </c>
      <c r="M1275" s="68" t="s">
        <v>3215</v>
      </c>
      <c r="N1275" s="68" t="s">
        <v>1583</v>
      </c>
      <c r="O1275" s="68" t="s">
        <v>484</v>
      </c>
      <c r="P1275" s="69"/>
    </row>
    <row r="1276" ht="39.95" hidden="1" customHeight="1" spans="1:16">
      <c r="A1276" s="77"/>
      <c r="B1276" s="64"/>
      <c r="C1276" s="59" t="s">
        <v>247</v>
      </c>
      <c r="D1276" s="59" t="s">
        <v>3211</v>
      </c>
      <c r="E1276" s="65">
        <v>804</v>
      </c>
      <c r="F1276" s="67" t="s">
        <v>1837</v>
      </c>
      <c r="G1276" s="65">
        <v>80406</v>
      </c>
      <c r="H1276" s="75" t="s">
        <v>1838</v>
      </c>
      <c r="I1276" s="67" t="s">
        <v>325</v>
      </c>
      <c r="J1276" s="67" t="str">
        <f>INDEX(数据元说明!A:F,MATCH(I1276,数据元说明!C:C,0),2)</f>
        <v>001001</v>
      </c>
      <c r="K1276" s="68" t="str">
        <f>INDEX(数据元说明!A:F,MATCH(I1276,数据元说明!C:C,0),5)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276" s="67" t="str">
        <f>INDEX(数据元说明!A:F,MATCH(I1276,数据元说明!C:C,0),6)</f>
        <v>C..450</v>
      </c>
      <c r="M1276" s="68" t="s">
        <v>2300</v>
      </c>
      <c r="N1276" s="68" t="s">
        <v>1601</v>
      </c>
      <c r="O1276" s="68"/>
      <c r="P1276" s="68"/>
    </row>
    <row r="1277" ht="39.95" hidden="1" customHeight="1" spans="1:16">
      <c r="A1277" s="77"/>
      <c r="B1277" s="64"/>
      <c r="C1277" s="59" t="s">
        <v>247</v>
      </c>
      <c r="D1277" s="59" t="s">
        <v>3211</v>
      </c>
      <c r="E1277" s="65">
        <v>804</v>
      </c>
      <c r="F1277" s="67" t="s">
        <v>492</v>
      </c>
      <c r="G1277" s="65">
        <v>80407</v>
      </c>
      <c r="H1277" s="75" t="s">
        <v>1639</v>
      </c>
      <c r="I1277" s="67" t="s">
        <v>492</v>
      </c>
      <c r="J1277" s="67" t="str">
        <f>INDEX(数据元说明!A:F,MATCH(I1277,数据元说明!C:C,0),2)</f>
        <v>002002</v>
      </c>
      <c r="K1277" s="68" t="str">
        <f>INDEX(数据元说明!A:F,MATCH(I1277,数据元说明!C:C,0),5)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277" s="67" t="str">
        <f>INDEX(数据元说明!A:F,MATCH(I1277,数据元说明!C:C,0),6)</f>
        <v>C..60</v>
      </c>
      <c r="M1277" s="68" t="s">
        <v>3095</v>
      </c>
      <c r="N1277" s="68" t="s">
        <v>1601</v>
      </c>
      <c r="O1277" s="68"/>
      <c r="P1277" s="68"/>
    </row>
    <row r="1278" ht="39.95" hidden="1" customHeight="1" spans="1:16">
      <c r="A1278" s="77"/>
      <c r="B1278" s="64"/>
      <c r="C1278" s="59" t="s">
        <v>247</v>
      </c>
      <c r="D1278" s="59" t="s">
        <v>3211</v>
      </c>
      <c r="E1278" s="65">
        <v>804</v>
      </c>
      <c r="F1278" s="67" t="s">
        <v>496</v>
      </c>
      <c r="G1278" s="65">
        <v>80408</v>
      </c>
      <c r="H1278" s="75" t="s">
        <v>1640</v>
      </c>
      <c r="I1278" s="67" t="s">
        <v>496</v>
      </c>
      <c r="J1278" s="67" t="str">
        <f>INDEX(数据元说明!A:F,MATCH(I1278,数据元说明!C:C,0),2)</f>
        <v>002003</v>
      </c>
      <c r="K1278" s="68" t="str">
        <f>INDEX(数据元说明!A:F,MATCH(I1278,数据元说明!C:C,0),5)</f>
        <v>与证件类别对应的证件号码。涉及个人身份证件时需按照本规范给定规则进行脱敏处理。</v>
      </c>
      <c r="L1278" s="67" t="str">
        <f>INDEX(数据元说明!A:F,MATCH(I1278,数据元说明!C:C,0),6)</f>
        <v>C..70</v>
      </c>
      <c r="M1278" s="68" t="s">
        <v>3096</v>
      </c>
      <c r="N1278" s="68" t="s">
        <v>1583</v>
      </c>
      <c r="O1278" s="68" t="s">
        <v>3097</v>
      </c>
      <c r="P1278" s="68"/>
    </row>
    <row r="1279" ht="39.95" hidden="1" customHeight="1" outlineLevel="1" spans="1:16">
      <c r="A1279" s="68"/>
      <c r="B1279" s="67"/>
      <c r="C1279" s="59" t="s">
        <v>247</v>
      </c>
      <c r="D1279" s="59" t="s">
        <v>3211</v>
      </c>
      <c r="E1279" s="65">
        <v>804</v>
      </c>
      <c r="F1279" s="67" t="s">
        <v>3021</v>
      </c>
      <c r="G1279" s="65">
        <v>80409</v>
      </c>
      <c r="H1279" s="67" t="s">
        <v>3022</v>
      </c>
      <c r="I1279" s="67" t="s">
        <v>605</v>
      </c>
      <c r="J1279" s="67" t="str">
        <f>INDEX(数据元说明!A:F,MATCH(I1279,数据元说明!C:C,0),2)</f>
        <v>003001</v>
      </c>
      <c r="K1279" s="67" t="str">
        <f>INDEX(数据元说明!A:F,MATCH(I1279,数据元说明!C:C,0),5)</f>
        <v>系统内最细一级的账号，无唯一性约束，不需要和序号、子序号等做拼接。</v>
      </c>
      <c r="L1279" s="67" t="str">
        <f>INDEX(数据元说明!A:F,MATCH(I1279,数据元说明!C:C,0),6)</f>
        <v>C..60</v>
      </c>
      <c r="M1279" s="68" t="s">
        <v>3133</v>
      </c>
      <c r="N1279" s="80" t="s">
        <v>1601</v>
      </c>
      <c r="O1279" s="67"/>
      <c r="P1279" s="67"/>
    </row>
    <row r="1280" ht="39.95" hidden="1" customHeight="1" collapsed="1" spans="1:16">
      <c r="A1280" s="77"/>
      <c r="B1280" s="64"/>
      <c r="C1280" s="59" t="s">
        <v>247</v>
      </c>
      <c r="D1280" s="59" t="s">
        <v>3211</v>
      </c>
      <c r="E1280" s="65">
        <v>804</v>
      </c>
      <c r="F1280" s="67" t="s">
        <v>996</v>
      </c>
      <c r="G1280" s="65">
        <v>80410</v>
      </c>
      <c r="H1280" s="75" t="s">
        <v>3216</v>
      </c>
      <c r="I1280" s="67" t="s">
        <v>996</v>
      </c>
      <c r="J1280" s="67" t="str">
        <f>INDEX(数据元说明!A:F,MATCH(I1280,数据元说明!C:C,0),2)</f>
        <v>006014</v>
      </c>
      <c r="K1280" s="68" t="str">
        <f>INDEX(数据元说明!A:F,MATCH(I1280,数据元说明!C:C,0),5)</f>
        <v>普通分期总额、普通分期单笔、专项分期总额、专项分期单笔、现金分期总额、现金分期单笔、其他-银行自定义。无法以枚举类型填报的，以“其他-XX”填报，其中XX为银行自定义类型。</v>
      </c>
      <c r="L1280" s="67" t="str">
        <f>INDEX(数据元说明!A:F,MATCH(I1280,数据元说明!C:C,0),6)</f>
        <v>C..60</v>
      </c>
      <c r="M1280" s="68" t="s">
        <v>3217</v>
      </c>
      <c r="N1280" s="68" t="s">
        <v>1583</v>
      </c>
      <c r="O1280" s="68" t="s">
        <v>2888</v>
      </c>
      <c r="P1280" s="69"/>
    </row>
    <row r="1281" ht="39.95" hidden="1" customHeight="1" spans="1:16">
      <c r="A1281" s="77"/>
      <c r="B1281" s="64"/>
      <c r="C1281" s="59" t="s">
        <v>247</v>
      </c>
      <c r="D1281" s="59" t="s">
        <v>3211</v>
      </c>
      <c r="E1281" s="65">
        <v>804</v>
      </c>
      <c r="F1281" s="67" t="s">
        <v>1000</v>
      </c>
      <c r="G1281" s="65">
        <v>80411</v>
      </c>
      <c r="H1281" s="75" t="s">
        <v>3218</v>
      </c>
      <c r="I1281" s="67" t="s">
        <v>1000</v>
      </c>
      <c r="J1281" s="67" t="str">
        <f>INDEX(数据元说明!A:F,MATCH(I1281,数据元说明!C:C,0),2)</f>
        <v>006015</v>
      </c>
      <c r="K1281" s="68" t="str">
        <f>INDEX(数据元说明!A:F,MATCH(I1281,数据元说明!C:C,0),5)</f>
        <v>账单分期，单笔消费分期，现金分期，POS商户分期，邮购电购分期，汽车分期，家装分期，车位分期，教育分期，婚庆分期，其他-银行自定义。无法以枚举类型填报的，以“其他-XX”填报，其中XX为银行自定义分期业务类型。</v>
      </c>
      <c r="L1281" s="67" t="str">
        <f>INDEX(数据元说明!A:F,MATCH(I1281,数据元说明!C:C,0),6)</f>
        <v>C..60</v>
      </c>
      <c r="M1281" s="68"/>
      <c r="N1281" s="80" t="s">
        <v>1601</v>
      </c>
      <c r="O1281" s="68"/>
      <c r="P1281" s="69"/>
    </row>
    <row r="1282" ht="39.95" hidden="1" customHeight="1" spans="1:16">
      <c r="A1282" s="77"/>
      <c r="B1282" s="64"/>
      <c r="C1282" s="59" t="s">
        <v>247</v>
      </c>
      <c r="D1282" s="59" t="s">
        <v>3211</v>
      </c>
      <c r="E1282" s="65">
        <v>804</v>
      </c>
      <c r="F1282" s="67" t="s">
        <v>3219</v>
      </c>
      <c r="G1282" s="65">
        <v>80412</v>
      </c>
      <c r="H1282" s="75" t="s">
        <v>3220</v>
      </c>
      <c r="I1282" s="67" t="s">
        <v>345</v>
      </c>
      <c r="J1282" s="67" t="str">
        <f>INDEX(数据元说明!A:F,MATCH(I1282,数据元说明!C:C,0),2)</f>
        <v>001005</v>
      </c>
      <c r="K1282" s="68" t="str">
        <f>INDEX(数据元说明!A:F,MATCH(I1282,数据元说明!C:C,0),5)</f>
        <v>YYYYMMDD，默认值99991231。</v>
      </c>
      <c r="L1282" s="67" t="str">
        <f>INDEX(数据元说明!A:F,MATCH(I1282,数据元说明!C:C,0),6)</f>
        <v>C8</v>
      </c>
      <c r="M1282" s="68"/>
      <c r="N1282" s="68" t="s">
        <v>1583</v>
      </c>
      <c r="O1282" s="68" t="s">
        <v>1745</v>
      </c>
      <c r="P1282" s="69"/>
    </row>
    <row r="1283" ht="39.95" hidden="1" customHeight="1" spans="1:16">
      <c r="A1283" s="77"/>
      <c r="B1283" s="64"/>
      <c r="C1283" s="59" t="s">
        <v>247</v>
      </c>
      <c r="D1283" s="59" t="s">
        <v>3211</v>
      </c>
      <c r="E1283" s="65">
        <v>804</v>
      </c>
      <c r="F1283" s="67" t="s">
        <v>3221</v>
      </c>
      <c r="G1283" s="65">
        <v>80413</v>
      </c>
      <c r="H1283" s="75" t="s">
        <v>3222</v>
      </c>
      <c r="I1283" s="67" t="s">
        <v>355</v>
      </c>
      <c r="J1283" s="67" t="str">
        <f>INDEX(数据元说明!A:F,MATCH(I1283,数据元说明!C:C,0),2)</f>
        <v>001007</v>
      </c>
      <c r="K1283" s="68" t="str">
        <f>INDEX(数据元说明!A:F,MATCH(I1283,数据元说明!C:C,0),5)</f>
        <v>24小时制时间，精确到秒。hhmmss，默认值000000。</v>
      </c>
      <c r="L1283" s="67" t="str">
        <f>INDEX(数据元说明!A:F,MATCH(I1283,数据元说明!C:C,0),6)</f>
        <v>C6</v>
      </c>
      <c r="M1283" s="68"/>
      <c r="N1283" s="80" t="s">
        <v>1601</v>
      </c>
      <c r="O1283" s="68"/>
      <c r="P1283" s="69"/>
    </row>
    <row r="1284" ht="39.95" hidden="1" customHeight="1" spans="1:16">
      <c r="A1284" s="77"/>
      <c r="B1284" s="64"/>
      <c r="C1284" s="59" t="s">
        <v>247</v>
      </c>
      <c r="D1284" s="59" t="s">
        <v>3211</v>
      </c>
      <c r="E1284" s="65">
        <v>804</v>
      </c>
      <c r="F1284" s="67" t="s">
        <v>642</v>
      </c>
      <c r="G1284" s="65">
        <v>80414</v>
      </c>
      <c r="H1284" s="75" t="s">
        <v>1914</v>
      </c>
      <c r="I1284" s="67" t="s">
        <v>642</v>
      </c>
      <c r="J1284" s="67" t="str">
        <f>INDEX(数据元说明!A:F,MATCH(I1284,数据元说明!C:C,0),2)</f>
        <v>003010</v>
      </c>
      <c r="K1284" s="68" t="str">
        <f>INDEX(数据元说明!A:F,MATCH(I1284,数据元说明!C:C,0),5)</f>
        <v>遵循《GB/T 12406 表示货币和资金的代码》的字母代码，如CNY。上述文件所列币种无法涵盖的，允许银行自定义填报。多个币种合计折算为人民币（本外币合计）的，填报为BWB。</v>
      </c>
      <c r="L1284" s="67" t="str">
        <f>INDEX(数据元说明!A:F,MATCH(I1284,数据元说明!C:C,0),6)</f>
        <v>C3</v>
      </c>
      <c r="M1284" s="68"/>
      <c r="N1284" s="68" t="s">
        <v>1601</v>
      </c>
      <c r="O1284" s="68"/>
      <c r="P1284" s="69"/>
    </row>
    <row r="1285" ht="39.95" hidden="1" customHeight="1" spans="1:16">
      <c r="A1285" s="77"/>
      <c r="B1285" s="64"/>
      <c r="C1285" s="59" t="s">
        <v>247</v>
      </c>
      <c r="D1285" s="59" t="s">
        <v>3211</v>
      </c>
      <c r="E1285" s="65">
        <v>804</v>
      </c>
      <c r="F1285" s="67" t="s">
        <v>3223</v>
      </c>
      <c r="G1285" s="65">
        <v>80415</v>
      </c>
      <c r="H1285" s="75" t="s">
        <v>3224</v>
      </c>
      <c r="I1285" s="67" t="s">
        <v>634</v>
      </c>
      <c r="J1285" s="67" t="str">
        <f>INDEX(数据元说明!A:F,MATCH(I1285,数据元说明!C:C,0),2)</f>
        <v>003008</v>
      </c>
      <c r="K1285" s="68" t="str">
        <f>INDEX(数据元说明!A:F,MATCH(I1285,数据元说明!C:C,0),5)</f>
        <v>与币种相对应金额。</v>
      </c>
      <c r="L1285" s="67" t="str">
        <f>INDEX(数据元说明!A:F,MATCH(I1285,数据元说明!C:C,0),6)</f>
        <v>D20.2</v>
      </c>
      <c r="M1285" s="68" t="s">
        <v>3225</v>
      </c>
      <c r="N1285" s="68" t="s">
        <v>1583</v>
      </c>
      <c r="O1285" s="68" t="s">
        <v>1574</v>
      </c>
      <c r="P1285" s="69"/>
    </row>
    <row r="1286" ht="39.95" hidden="1" customHeight="1" spans="1:16">
      <c r="A1286" s="77"/>
      <c r="B1286" s="64"/>
      <c r="C1286" s="59" t="s">
        <v>247</v>
      </c>
      <c r="D1286" s="59" t="s">
        <v>3211</v>
      </c>
      <c r="E1286" s="65">
        <v>804</v>
      </c>
      <c r="F1286" s="67" t="s">
        <v>3226</v>
      </c>
      <c r="G1286" s="65">
        <v>80416</v>
      </c>
      <c r="H1286" s="75" t="s">
        <v>3227</v>
      </c>
      <c r="I1286" s="67" t="s">
        <v>634</v>
      </c>
      <c r="J1286" s="67" t="str">
        <f>INDEX(数据元说明!A:F,MATCH(I1286,数据元说明!C:C,0),2)</f>
        <v>003008</v>
      </c>
      <c r="K1286" s="68" t="str">
        <f>INDEX(数据元说明!A:F,MATCH(I1286,数据元说明!C:C,0),5)</f>
        <v>与币种相对应金额。</v>
      </c>
      <c r="L1286" s="67" t="str">
        <f>INDEX(数据元说明!A:F,MATCH(I1286,数据元说明!C:C,0),6)</f>
        <v>D20.2</v>
      </c>
      <c r="M1286" s="68" t="s">
        <v>3228</v>
      </c>
      <c r="N1286" s="68" t="s">
        <v>1601</v>
      </c>
      <c r="O1286" s="68"/>
      <c r="P1286" s="69"/>
    </row>
    <row r="1287" ht="39.95" hidden="1" customHeight="1" spans="1:16">
      <c r="A1287" s="77"/>
      <c r="B1287" s="64"/>
      <c r="C1287" s="59" t="s">
        <v>247</v>
      </c>
      <c r="D1287" s="59" t="s">
        <v>3211</v>
      </c>
      <c r="E1287" s="65">
        <v>804</v>
      </c>
      <c r="F1287" s="67" t="s">
        <v>3229</v>
      </c>
      <c r="G1287" s="65">
        <v>80417</v>
      </c>
      <c r="H1287" s="75" t="s">
        <v>3230</v>
      </c>
      <c r="I1287" s="67" t="s">
        <v>634</v>
      </c>
      <c r="J1287" s="67" t="str">
        <f>INDEX(数据元说明!A:F,MATCH(I1287,数据元说明!C:C,0),2)</f>
        <v>003008</v>
      </c>
      <c r="K1287" s="68" t="str">
        <f>INDEX(数据元说明!A:F,MATCH(I1287,数据元说明!C:C,0),5)</f>
        <v>与币种相对应金额。</v>
      </c>
      <c r="L1287" s="67" t="str">
        <f>INDEX(数据元说明!A:F,MATCH(I1287,数据元说明!C:C,0),6)</f>
        <v>D20.2</v>
      </c>
      <c r="M1287" s="73" t="s">
        <v>3231</v>
      </c>
      <c r="N1287" s="68" t="s">
        <v>1583</v>
      </c>
      <c r="O1287" s="68" t="s">
        <v>1574</v>
      </c>
      <c r="P1287" s="69"/>
    </row>
    <row r="1288" ht="39.95" hidden="1" customHeight="1" spans="1:16">
      <c r="A1288" s="77"/>
      <c r="B1288" s="64"/>
      <c r="C1288" s="59" t="s">
        <v>247</v>
      </c>
      <c r="D1288" s="59" t="s">
        <v>3211</v>
      </c>
      <c r="E1288" s="65">
        <v>804</v>
      </c>
      <c r="F1288" s="67" t="s">
        <v>3232</v>
      </c>
      <c r="G1288" s="65">
        <v>80418</v>
      </c>
      <c r="H1288" s="75" t="s">
        <v>3233</v>
      </c>
      <c r="I1288" s="67" t="s">
        <v>704</v>
      </c>
      <c r="J1288" s="67" t="str">
        <f>INDEX(数据元说明!A:F,MATCH(I1288,数据元说明!C:C,0),2)</f>
        <v>003025</v>
      </c>
      <c r="K1288" s="68" t="str">
        <f>INDEX(数据元说明!A:F,MATCH(I1288,数据元说明!C:C,0),5)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288" s="67" t="str">
        <f>INDEX(数据元说明!A:F,MATCH(I1288,数据元说明!C:C,0),6)</f>
        <v>C..60</v>
      </c>
      <c r="M1288" s="73" t="s">
        <v>3234</v>
      </c>
      <c r="N1288" s="68" t="s">
        <v>1583</v>
      </c>
      <c r="O1288" s="68" t="s">
        <v>2359</v>
      </c>
      <c r="P1288" s="69"/>
    </row>
    <row r="1289" ht="39.95" hidden="1" customHeight="1" spans="1:16">
      <c r="A1289" s="77"/>
      <c r="B1289" s="64"/>
      <c r="C1289" s="59" t="s">
        <v>247</v>
      </c>
      <c r="D1289" s="59" t="s">
        <v>3211</v>
      </c>
      <c r="E1289" s="65">
        <v>804</v>
      </c>
      <c r="F1289" s="67" t="s">
        <v>3235</v>
      </c>
      <c r="G1289" s="65">
        <v>80419</v>
      </c>
      <c r="H1289" s="75" t="s">
        <v>3236</v>
      </c>
      <c r="I1289" s="67" t="s">
        <v>646</v>
      </c>
      <c r="J1289" s="67" t="str">
        <f>INDEX(数据元说明!A:F,MATCH(I1289,数据元说明!C:C,0),2)</f>
        <v>003011</v>
      </c>
      <c r="K1289" s="68" t="str">
        <f>INDEX(数据元说明!A:F,MATCH(I1289,数据元说明!C:C,0),5)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1289" s="67" t="str">
        <f>INDEX(数据元说明!A:F,MATCH(I1289,数据元说明!C:C,0),6)</f>
        <v>C..450</v>
      </c>
      <c r="M1289" s="73" t="s">
        <v>3237</v>
      </c>
      <c r="N1289" s="68" t="s">
        <v>1601</v>
      </c>
      <c r="O1289" s="68"/>
      <c r="P1289" s="69"/>
    </row>
    <row r="1290" ht="39.95" hidden="1" customHeight="1" spans="1:16">
      <c r="A1290" s="77"/>
      <c r="B1290" s="64"/>
      <c r="C1290" s="59" t="s">
        <v>247</v>
      </c>
      <c r="D1290" s="59" t="s">
        <v>3211</v>
      </c>
      <c r="E1290" s="65">
        <v>804</v>
      </c>
      <c r="F1290" s="67" t="s">
        <v>3238</v>
      </c>
      <c r="G1290" s="65">
        <v>80420</v>
      </c>
      <c r="H1290" s="75" t="s">
        <v>3239</v>
      </c>
      <c r="I1290" s="67" t="s">
        <v>330</v>
      </c>
      <c r="J1290" s="67" t="str">
        <f>INDEX(数据元说明!A:F,MATCH(I1290,数据元说明!C:C,0),2)</f>
        <v>001002</v>
      </c>
      <c r="K1290" s="68" t="str">
        <f>INDEX(数据元说明!A:F,MATCH(I1290,数据元说明!C:C,0),5)</f>
        <v>是，否。</v>
      </c>
      <c r="L1290" s="67" t="str">
        <f>INDEX(数据元说明!A:F,MATCH(I1290,数据元说明!C:C,0),6)</f>
        <v>C3</v>
      </c>
      <c r="M1290" s="73" t="s">
        <v>3240</v>
      </c>
      <c r="N1290" s="68" t="s">
        <v>1601</v>
      </c>
      <c r="O1290" s="68"/>
      <c r="P1290" s="69"/>
    </row>
    <row r="1291" ht="39.95" hidden="1" customHeight="1" spans="1:16">
      <c r="A1291" s="77"/>
      <c r="B1291" s="64"/>
      <c r="C1291" s="59" t="s">
        <v>247</v>
      </c>
      <c r="D1291" s="59" t="s">
        <v>3211</v>
      </c>
      <c r="E1291" s="65">
        <v>804</v>
      </c>
      <c r="F1291" s="67" t="s">
        <v>3241</v>
      </c>
      <c r="G1291" s="65">
        <v>80421</v>
      </c>
      <c r="H1291" s="75" t="s">
        <v>3242</v>
      </c>
      <c r="I1291" s="67" t="s">
        <v>670</v>
      </c>
      <c r="J1291" s="67" t="str">
        <f>INDEX(数据元说明!A:F,MATCH(I1291,数据元说明!C:C,0),2)</f>
        <v>003017</v>
      </c>
      <c r="K1291" s="68" t="str">
        <f>INDEX(数据元说明!A:F,MATCH(I1291,数据元说明!C:C,0),5)</f>
        <v>百分比为单位，即%，如4.5%填报为4.5。</v>
      </c>
      <c r="L1291" s="67" t="str">
        <f>INDEX(数据元说明!A:F,MATCH(I1291,数据元说明!C:C,0),6)</f>
        <v>D20.4</v>
      </c>
      <c r="M1291" s="68" t="s">
        <v>3243</v>
      </c>
      <c r="N1291" s="80" t="s">
        <v>1601</v>
      </c>
      <c r="O1291" s="68"/>
      <c r="P1291" s="69"/>
    </row>
    <row r="1292" ht="39.95" hidden="1" customHeight="1" spans="1:16">
      <c r="A1292" s="77"/>
      <c r="B1292" s="64"/>
      <c r="C1292" s="59" t="s">
        <v>247</v>
      </c>
      <c r="D1292" s="59" t="s">
        <v>3211</v>
      </c>
      <c r="E1292" s="65">
        <v>804</v>
      </c>
      <c r="F1292" s="67" t="s">
        <v>3244</v>
      </c>
      <c r="G1292" s="65">
        <v>80422</v>
      </c>
      <c r="H1292" s="75" t="s">
        <v>3245</v>
      </c>
      <c r="I1292" s="67" t="s">
        <v>828</v>
      </c>
      <c r="J1292" s="67" t="str">
        <f>INDEX(数据元说明!A:F,MATCH(I1292,数据元说明!C:C,0),2)</f>
        <v>005022</v>
      </c>
      <c r="K1292" s="68" t="str">
        <f>INDEX(数据元说明!A:F,MATCH(I1292,数据元说明!C:C,0),5)</f>
        <v>期数，默认值0。</v>
      </c>
      <c r="L1292" s="67" t="str">
        <f>INDEX(数据元说明!A:F,MATCH(I1292,数据元说明!C:C,0),6)</f>
        <v>I</v>
      </c>
      <c r="M1292" s="68"/>
      <c r="N1292" s="68"/>
      <c r="O1292" s="68"/>
      <c r="P1292" s="69"/>
    </row>
    <row r="1293" ht="39.95" hidden="1" customHeight="1" outlineLevel="1" spans="1:16">
      <c r="A1293" s="77"/>
      <c r="B1293" s="64"/>
      <c r="C1293" s="59" t="s">
        <v>247</v>
      </c>
      <c r="D1293" s="59" t="s">
        <v>3211</v>
      </c>
      <c r="E1293" s="65">
        <v>804</v>
      </c>
      <c r="F1293" s="67" t="s">
        <v>484</v>
      </c>
      <c r="G1293" s="65">
        <v>80423</v>
      </c>
      <c r="H1293" s="67" t="s">
        <v>1623</v>
      </c>
      <c r="I1293" s="67" t="s">
        <v>484</v>
      </c>
      <c r="J1293" s="67" t="str">
        <f>INDEX(数据元说明!A:F,MATCH(I1293,数据元说明!C:C,0),2)</f>
        <v>001038</v>
      </c>
      <c r="K1293" s="68" t="str">
        <f>INDEX(数据元说明!A:F,MATCH(I1293,数据元说明!C:C,0),5)</f>
        <v>银行自定义。</v>
      </c>
      <c r="L1293" s="67" t="str">
        <f>INDEX(数据元说明!A:F,MATCH(I1293,数据元说明!C:C,0),6)</f>
        <v>C..600</v>
      </c>
      <c r="M1293" s="68" t="s">
        <v>1624</v>
      </c>
      <c r="N1293" s="68" t="s">
        <v>1601</v>
      </c>
      <c r="O1293" s="68"/>
      <c r="P1293" s="68"/>
    </row>
    <row r="1294" ht="39.95" hidden="1" customHeight="1" collapsed="1" spans="1:16">
      <c r="A1294" s="77"/>
      <c r="B1294" s="64"/>
      <c r="C1294" s="59" t="s">
        <v>247</v>
      </c>
      <c r="D1294" s="59" t="s">
        <v>3211</v>
      </c>
      <c r="E1294" s="65">
        <v>804</v>
      </c>
      <c r="F1294" s="67" t="s">
        <v>1625</v>
      </c>
      <c r="G1294" s="65">
        <v>80424</v>
      </c>
      <c r="H1294" s="75" t="s">
        <v>1626</v>
      </c>
      <c r="I1294" s="67" t="s">
        <v>345</v>
      </c>
      <c r="J1294" s="67" t="str">
        <f>INDEX(数据元说明!A:F,MATCH(I1294,数据元说明!C:C,0),2)</f>
        <v>001005</v>
      </c>
      <c r="K1294" s="68" t="str">
        <f>INDEX(数据元说明!A:F,MATCH(I1294,数据元说明!C:C,0),5)</f>
        <v>YYYYMMDD，默认值99991231。</v>
      </c>
      <c r="L1294" s="67" t="str">
        <f>INDEX(数据元说明!A:F,MATCH(I1294,数据元说明!C:C,0),6)</f>
        <v>C8</v>
      </c>
      <c r="M1294" s="68" t="s">
        <v>1627</v>
      </c>
      <c r="N1294" s="68"/>
      <c r="O1294" s="68"/>
      <c r="P1294" s="69"/>
    </row>
    <row r="1295" ht="39.95" hidden="1" customHeight="1" spans="1:16">
      <c r="A1295" s="63" t="s">
        <v>3246</v>
      </c>
      <c r="B1295" s="64" t="s">
        <v>252</v>
      </c>
      <c r="C1295" s="59"/>
      <c r="D1295" s="59"/>
      <c r="E1295" s="65"/>
      <c r="F1295" s="67"/>
      <c r="G1295" s="65"/>
      <c r="H1295" s="67"/>
      <c r="I1295" s="67"/>
      <c r="J1295" s="67"/>
      <c r="K1295" s="68"/>
      <c r="L1295" s="67"/>
      <c r="M1295" s="68"/>
      <c r="N1295" s="68"/>
      <c r="O1295" s="68"/>
      <c r="P1295" s="68"/>
    </row>
    <row r="1296" ht="39.95" hidden="1" customHeight="1" spans="1:16">
      <c r="A1296" s="77"/>
      <c r="B1296" s="59"/>
      <c r="C1296" s="59" t="s">
        <v>253</v>
      </c>
      <c r="D1296" s="64" t="s">
        <v>3247</v>
      </c>
      <c r="E1296" s="67">
        <v>901</v>
      </c>
      <c r="F1296" s="67"/>
      <c r="G1296" s="65"/>
      <c r="H1296" s="67"/>
      <c r="I1296" s="67"/>
      <c r="J1296" s="68"/>
      <c r="K1296" s="67"/>
      <c r="L1296" s="59"/>
      <c r="M1296" s="68" t="str">
        <f>INDEX(表结构总览!D:G,MATCH(D1296,表结构总览!D:D,0),4)</f>
        <v>报送由出票人签发并向填报机构申请，经填报机构承兑的汇票。票据状态为卖断（转贴现卖断），解付（票据到期且出票人已付款）的数据，在报送票据最后状态的次月可不再报送。</v>
      </c>
      <c r="N1296" s="68" t="s">
        <v>1583</v>
      </c>
      <c r="O1296" s="68" t="s">
        <v>1572</v>
      </c>
      <c r="P1296" s="68" t="s">
        <v>3248</v>
      </c>
    </row>
    <row r="1297" ht="39.95" hidden="1" customHeight="1" outlineLevel="1" spans="1:16">
      <c r="A1297" s="63"/>
      <c r="B1297" s="64"/>
      <c r="C1297" s="59" t="s">
        <v>253</v>
      </c>
      <c r="D1297" s="59" t="s">
        <v>3247</v>
      </c>
      <c r="E1297" s="65">
        <v>901</v>
      </c>
      <c r="F1297" s="67" t="s">
        <v>373</v>
      </c>
      <c r="G1297" s="65">
        <v>90101</v>
      </c>
      <c r="H1297" s="67" t="s">
        <v>1588</v>
      </c>
      <c r="I1297" s="67" t="s">
        <v>373</v>
      </c>
      <c r="J1297" s="67" t="str">
        <f>INDEX(数据元说明!A:F,MATCH(I1297,数据元说明!C:C,0),2)</f>
        <v>001011</v>
      </c>
      <c r="K1297" s="68" t="str">
        <f>INDEX(数据元说明!A:F,MATCH(I1297,数据元说明!C:C,0),5)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97" s="67" t="str">
        <f>INDEX(数据元说明!A:F,MATCH(I1297,数据元说明!C:C,0),6)</f>
        <v>C..30</v>
      </c>
      <c r="M1297" s="68" t="s">
        <v>3249</v>
      </c>
      <c r="N1297" s="68"/>
      <c r="O1297" s="68"/>
      <c r="P1297" s="68"/>
    </row>
    <row r="1298" ht="39.95" hidden="1" customHeight="1" outlineLevel="1" spans="1:16">
      <c r="A1298" s="70"/>
      <c r="B1298" s="71"/>
      <c r="C1298" s="59" t="s">
        <v>253</v>
      </c>
      <c r="D1298" s="59" t="s">
        <v>3247</v>
      </c>
      <c r="E1298" s="65">
        <v>901</v>
      </c>
      <c r="F1298" s="67" t="s">
        <v>377</v>
      </c>
      <c r="G1298" s="65">
        <v>90102</v>
      </c>
      <c r="H1298" s="67" t="s">
        <v>1586</v>
      </c>
      <c r="I1298" s="67" t="s">
        <v>377</v>
      </c>
      <c r="J1298" s="67" t="str">
        <f>INDEX(数据元说明!A:F,MATCH(I1298,数据元说明!C:C,0),2)</f>
        <v>001012</v>
      </c>
      <c r="K1298" s="68" t="str">
        <f>INDEX(数据元说明!A:F,MATCH(I1298,数据元说明!C:C,0),5)</f>
        <v>银行内部机构号。应具有标识机构的唯一性。</v>
      </c>
      <c r="L1298" s="67" t="str">
        <f>INDEX(数据元说明!A:F,MATCH(I1298,数据元说明!C:C,0),6)</f>
        <v>C..30</v>
      </c>
      <c r="M1298" s="68" t="s">
        <v>3250</v>
      </c>
      <c r="N1298" s="68"/>
      <c r="O1298" s="68"/>
      <c r="P1298" s="68"/>
    </row>
    <row r="1299" ht="39.95" hidden="1" customHeight="1" outlineLevel="1" spans="1:16">
      <c r="A1299" s="63"/>
      <c r="B1299" s="64"/>
      <c r="C1299" s="59" t="s">
        <v>253</v>
      </c>
      <c r="D1299" s="59" t="s">
        <v>3247</v>
      </c>
      <c r="E1299" s="65">
        <v>901</v>
      </c>
      <c r="F1299" s="68" t="s">
        <v>1592</v>
      </c>
      <c r="G1299" s="65">
        <v>90103</v>
      </c>
      <c r="H1299" s="68" t="s">
        <v>1593</v>
      </c>
      <c r="I1299" s="68" t="s">
        <v>325</v>
      </c>
      <c r="J1299" s="68" t="str">
        <f>INDEX(数据元说明!A:F,MATCH(I1299,数据元说明!C:C,0),2)</f>
        <v>001001</v>
      </c>
      <c r="K1299" s="68" t="str">
        <f>INDEX(数据元说明!A:F,MATCH(I1299,数据元说明!C:C,0),5)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299" s="68" t="str">
        <f>INDEX(数据元说明!A:F,MATCH(I1299,数据元说明!C:C,0),6)</f>
        <v>C..450</v>
      </c>
      <c r="M1299" s="68" t="s">
        <v>3251</v>
      </c>
      <c r="N1299" s="68"/>
      <c r="O1299" s="68"/>
      <c r="P1299" s="68"/>
    </row>
    <row r="1300" ht="39.95" hidden="1" customHeight="1" outlineLevel="1" spans="1:16">
      <c r="A1300" s="70"/>
      <c r="B1300" s="71"/>
      <c r="C1300" s="59" t="s">
        <v>253</v>
      </c>
      <c r="D1300" s="59" t="s">
        <v>3247</v>
      </c>
      <c r="E1300" s="65">
        <v>901</v>
      </c>
      <c r="F1300" s="67" t="s">
        <v>2125</v>
      </c>
      <c r="G1300" s="65">
        <v>90104</v>
      </c>
      <c r="H1300" s="67" t="s">
        <v>2126</v>
      </c>
      <c r="I1300" s="67" t="s">
        <v>609</v>
      </c>
      <c r="J1300" s="67" t="str">
        <f>INDEX(数据元说明!A:F,MATCH(I1300,数据元说明!C:C,0),2)</f>
        <v>003002</v>
      </c>
      <c r="K1300" s="68" t="str">
        <f>INDEX(数据元说明!A:F,MATCH(I1300,数据元说明!C:C,0),5)</f>
        <v>机构实际使用的总账会计科目编码。</v>
      </c>
      <c r="L1300" s="67" t="str">
        <f>INDEX(数据元说明!A:F,MATCH(I1300,数据元说明!C:C,0),6)</f>
        <v>C..60</v>
      </c>
      <c r="M1300" s="68" t="s">
        <v>2219</v>
      </c>
      <c r="N1300" s="68" t="s">
        <v>1583</v>
      </c>
      <c r="O1300" s="68" t="s">
        <v>1660</v>
      </c>
      <c r="P1300" s="68" t="s">
        <v>1634</v>
      </c>
    </row>
    <row r="1301" ht="39.95" hidden="1" customHeight="1" outlineLevel="1" spans="1:16">
      <c r="A1301" s="70"/>
      <c r="B1301" s="71"/>
      <c r="C1301" s="59" t="s">
        <v>253</v>
      </c>
      <c r="D1301" s="59" t="s">
        <v>3247</v>
      </c>
      <c r="E1301" s="65">
        <v>901</v>
      </c>
      <c r="F1301" s="67" t="s">
        <v>2128</v>
      </c>
      <c r="G1301" s="65">
        <v>90105</v>
      </c>
      <c r="H1301" s="67" t="s">
        <v>2129</v>
      </c>
      <c r="I1301" s="67" t="s">
        <v>613</v>
      </c>
      <c r="J1301" s="67" t="str">
        <f>INDEX(数据元说明!A:F,MATCH(I1301,数据元说明!C:C,0),2)</f>
        <v>003003</v>
      </c>
      <c r="K1301" s="68" t="str">
        <f>INDEX(数据元说明!A:F,MATCH(I1301,数据元说明!C:C,0),5)</f>
        <v>机构实际使用的总账会计科目编码对应的名称。</v>
      </c>
      <c r="L1301" s="67" t="str">
        <f>INDEX(数据元说明!A:F,MATCH(I1301,数据元说明!C:C,0),6)</f>
        <v>C..300</v>
      </c>
      <c r="M1301" s="68" t="s">
        <v>2219</v>
      </c>
      <c r="N1301" s="68" t="s">
        <v>1583</v>
      </c>
      <c r="O1301" s="68" t="s">
        <v>484</v>
      </c>
      <c r="P1301" s="68" t="s">
        <v>1634</v>
      </c>
    </row>
    <row r="1302" ht="39.95" hidden="1" customHeight="1" outlineLevel="1" spans="1:16">
      <c r="A1302" s="70"/>
      <c r="B1302" s="71"/>
      <c r="C1302" s="59" t="s">
        <v>253</v>
      </c>
      <c r="D1302" s="59" t="s">
        <v>3247</v>
      </c>
      <c r="E1302" s="65">
        <v>901</v>
      </c>
      <c r="F1302" s="67" t="s">
        <v>796</v>
      </c>
      <c r="G1302" s="65">
        <v>90106</v>
      </c>
      <c r="H1302" s="67" t="s">
        <v>2582</v>
      </c>
      <c r="I1302" s="67" t="s">
        <v>796</v>
      </c>
      <c r="J1302" s="67" t="str">
        <f>INDEX(数据元说明!A:F,MATCH(I1302,数据元说明!C:C,0),2)</f>
        <v>005014</v>
      </c>
      <c r="K1302" s="68" t="str">
        <f>INDEX(数据元说明!A:F,MATCH(I1302,数据元说明!C:C,0),5)</f>
        <v>票据号码。</v>
      </c>
      <c r="L1302" s="67" t="str">
        <f>INDEX(数据元说明!A:F,MATCH(I1302,数据元说明!C:C,0),6)</f>
        <v>C..60</v>
      </c>
      <c r="M1302" s="68" t="s">
        <v>1587</v>
      </c>
      <c r="N1302" s="68" t="s">
        <v>1583</v>
      </c>
      <c r="O1302" s="68"/>
      <c r="P1302" s="68" t="s">
        <v>1634</v>
      </c>
    </row>
    <row r="1303" ht="39.95" hidden="1" customHeight="1" outlineLevel="1" spans="1:16">
      <c r="A1303" s="70"/>
      <c r="B1303" s="71"/>
      <c r="C1303" s="59" t="s">
        <v>253</v>
      </c>
      <c r="D1303" s="59" t="s">
        <v>3247</v>
      </c>
      <c r="E1303" s="65">
        <v>901</v>
      </c>
      <c r="F1303" s="67" t="s">
        <v>804</v>
      </c>
      <c r="G1303" s="65">
        <v>90107</v>
      </c>
      <c r="H1303" s="67" t="s">
        <v>2583</v>
      </c>
      <c r="I1303" s="67" t="s">
        <v>804</v>
      </c>
      <c r="J1303" s="67" t="str">
        <f>INDEX(数据元说明!A:F,MATCH(I1303,数据元说明!C:C,0),2)</f>
        <v>005016</v>
      </c>
      <c r="K1303" s="68" t="str">
        <f>INDEX(数据元说明!A:F,MATCH(I1303,数据元说明!C:C,0),5)</f>
        <v>银行承兑汇票，商业承兑汇票。</v>
      </c>
      <c r="L1303" s="67" t="str">
        <f>INDEX(数据元说明!A:F,MATCH(I1303,数据元说明!C:C,0),6)</f>
        <v>C..30</v>
      </c>
      <c r="M1303" s="68"/>
      <c r="N1303" s="68"/>
      <c r="O1303" s="68"/>
      <c r="P1303" s="68"/>
    </row>
    <row r="1304" ht="39.95" hidden="1" customHeight="1" outlineLevel="1" spans="1:16">
      <c r="A1304" s="70"/>
      <c r="B1304" s="71"/>
      <c r="C1304" s="59" t="s">
        <v>253</v>
      </c>
      <c r="D1304" s="59" t="s">
        <v>3247</v>
      </c>
      <c r="E1304" s="65">
        <v>901</v>
      </c>
      <c r="F1304" s="67" t="s">
        <v>642</v>
      </c>
      <c r="G1304" s="65">
        <v>90108</v>
      </c>
      <c r="H1304" s="67" t="s">
        <v>1914</v>
      </c>
      <c r="I1304" s="67" t="s">
        <v>642</v>
      </c>
      <c r="J1304" s="67" t="str">
        <f>INDEX(数据元说明!A:F,MATCH(I1304,数据元说明!C:C,0),2)</f>
        <v>003010</v>
      </c>
      <c r="K1304" s="68" t="str">
        <f>INDEX(数据元说明!A:F,MATCH(I1304,数据元说明!C:C,0),5)</f>
        <v>遵循《GB/T 12406 表示货币和资金的代码》的字母代码，如CNY。上述文件所列币种无法涵盖的，允许银行自定义填报。多个币种合计折算为人民币（本外币合计）的，填报为BWB。</v>
      </c>
      <c r="L1304" s="67" t="str">
        <f>INDEX(数据元说明!A:F,MATCH(I1304,数据元说明!C:C,0),6)</f>
        <v>C3</v>
      </c>
      <c r="M1304" s="68"/>
      <c r="N1304" s="68" t="s">
        <v>1583</v>
      </c>
      <c r="O1304" s="68"/>
      <c r="P1304" s="68" t="s">
        <v>1634</v>
      </c>
    </row>
    <row r="1305" ht="39.95" hidden="1" customHeight="1" outlineLevel="1" spans="1:16">
      <c r="A1305" s="70"/>
      <c r="B1305" s="71"/>
      <c r="C1305" s="59" t="s">
        <v>253</v>
      </c>
      <c r="D1305" s="59" t="s">
        <v>3247</v>
      </c>
      <c r="E1305" s="65">
        <v>901</v>
      </c>
      <c r="F1305" s="67" t="s">
        <v>2584</v>
      </c>
      <c r="G1305" s="65">
        <v>90109</v>
      </c>
      <c r="H1305" s="67" t="s">
        <v>2585</v>
      </c>
      <c r="I1305" s="67" t="s">
        <v>634</v>
      </c>
      <c r="J1305" s="67" t="str">
        <f>INDEX(数据元说明!A:F,MATCH(I1305,数据元说明!C:C,0),2)</f>
        <v>003008</v>
      </c>
      <c r="K1305" s="68" t="str">
        <f>INDEX(数据元说明!A:F,MATCH(I1305,数据元说明!C:C,0),5)</f>
        <v>与币种相对应金额。</v>
      </c>
      <c r="L1305" s="67" t="str">
        <f>INDEX(数据元说明!A:F,MATCH(I1305,数据元说明!C:C,0),6)</f>
        <v>D20.2</v>
      </c>
      <c r="M1305" s="68"/>
      <c r="N1305" s="68" t="s">
        <v>1583</v>
      </c>
      <c r="O1305" s="68"/>
      <c r="P1305" s="68" t="s">
        <v>1634</v>
      </c>
    </row>
    <row r="1306" ht="39.95" hidden="1" customHeight="1" outlineLevel="1" spans="1:16">
      <c r="A1306" s="70"/>
      <c r="B1306" s="71"/>
      <c r="C1306" s="59" t="s">
        <v>253</v>
      </c>
      <c r="D1306" s="59" t="s">
        <v>3247</v>
      </c>
      <c r="E1306" s="65">
        <v>901</v>
      </c>
      <c r="F1306" s="67" t="s">
        <v>2586</v>
      </c>
      <c r="G1306" s="65">
        <v>90110</v>
      </c>
      <c r="H1306" s="67" t="s">
        <v>2587</v>
      </c>
      <c r="I1306" s="67" t="s">
        <v>345</v>
      </c>
      <c r="J1306" s="67" t="str">
        <f>INDEX(数据元说明!A:F,MATCH(I1306,数据元说明!C:C,0),2)</f>
        <v>001005</v>
      </c>
      <c r="K1306" s="68" t="str">
        <f>INDEX(数据元说明!A:F,MATCH(I1306,数据元说明!C:C,0),5)</f>
        <v>YYYYMMDD，默认值99991231。</v>
      </c>
      <c r="L1306" s="67" t="str">
        <f>INDEX(数据元说明!A:F,MATCH(I1306,数据元说明!C:C,0),6)</f>
        <v>C8</v>
      </c>
      <c r="M1306" s="68"/>
      <c r="N1306" s="68" t="s">
        <v>1583</v>
      </c>
      <c r="O1306" s="68" t="s">
        <v>1574</v>
      </c>
      <c r="P1306" s="68" t="s">
        <v>1634</v>
      </c>
    </row>
    <row r="1307" ht="39.95" hidden="1" customHeight="1" outlineLevel="1" spans="1:16">
      <c r="A1307" s="70"/>
      <c r="B1307" s="71"/>
      <c r="C1307" s="59" t="s">
        <v>253</v>
      </c>
      <c r="D1307" s="59" t="s">
        <v>3247</v>
      </c>
      <c r="E1307" s="65">
        <v>901</v>
      </c>
      <c r="F1307" s="67" t="s">
        <v>2588</v>
      </c>
      <c r="G1307" s="65">
        <v>90111</v>
      </c>
      <c r="H1307" s="67" t="s">
        <v>2589</v>
      </c>
      <c r="I1307" s="67" t="s">
        <v>345</v>
      </c>
      <c r="J1307" s="67" t="str">
        <f>INDEX(数据元说明!A:F,MATCH(I1307,数据元说明!C:C,0),2)</f>
        <v>001005</v>
      </c>
      <c r="K1307" s="68" t="str">
        <f>INDEX(数据元说明!A:F,MATCH(I1307,数据元说明!C:C,0),5)</f>
        <v>YYYYMMDD，默认值99991231。</v>
      </c>
      <c r="L1307" s="67" t="str">
        <f>INDEX(数据元说明!A:F,MATCH(I1307,数据元说明!C:C,0),6)</f>
        <v>C8</v>
      </c>
      <c r="M1307" s="68"/>
      <c r="N1307" s="68" t="s">
        <v>1583</v>
      </c>
      <c r="O1307" s="68"/>
      <c r="P1307" s="68" t="s">
        <v>1634</v>
      </c>
    </row>
    <row r="1308" ht="39.95" hidden="1" customHeight="1" outlineLevel="1" spans="1:16">
      <c r="A1308" s="70"/>
      <c r="B1308" s="71"/>
      <c r="C1308" s="59" t="s">
        <v>253</v>
      </c>
      <c r="D1308" s="59" t="s">
        <v>3247</v>
      </c>
      <c r="E1308" s="65">
        <v>901</v>
      </c>
      <c r="F1308" s="67" t="s">
        <v>800</v>
      </c>
      <c r="G1308" s="65">
        <v>90112</v>
      </c>
      <c r="H1308" s="67" t="s">
        <v>3252</v>
      </c>
      <c r="I1308" s="67" t="s">
        <v>800</v>
      </c>
      <c r="J1308" s="67" t="str">
        <f>INDEX(数据元说明!A:F,MATCH(I1308,数据元说明!C:C,0),2)</f>
        <v>005015</v>
      </c>
      <c r="K1308" s="68" t="str">
        <f>INDEX(数据元说明!A:F,MATCH(I1308,数据元说明!C:C,0),5)</f>
        <v>出票人客户统一编号。</v>
      </c>
      <c r="L1308" s="67" t="str">
        <f>INDEX(数据元说明!A:F,MATCH(I1308,数据元说明!C:C,0),6)</f>
        <v>C..60 </v>
      </c>
      <c r="M1308" s="68" t="s">
        <v>3253</v>
      </c>
      <c r="N1308" s="68" t="s">
        <v>1583</v>
      </c>
      <c r="O1308" s="68" t="s">
        <v>484</v>
      </c>
      <c r="P1308" s="68" t="s">
        <v>1634</v>
      </c>
    </row>
    <row r="1309" ht="39.95" hidden="1" customHeight="1" outlineLevel="1" spans="1:16">
      <c r="A1309" s="70"/>
      <c r="B1309" s="71"/>
      <c r="C1309" s="59" t="s">
        <v>253</v>
      </c>
      <c r="D1309" s="59" t="s">
        <v>3247</v>
      </c>
      <c r="E1309" s="65">
        <v>901</v>
      </c>
      <c r="F1309" s="67" t="s">
        <v>2590</v>
      </c>
      <c r="G1309" s="65">
        <v>90113</v>
      </c>
      <c r="H1309" s="67" t="s">
        <v>2591</v>
      </c>
      <c r="I1309" s="67" t="s">
        <v>325</v>
      </c>
      <c r="J1309" s="67" t="str">
        <f>INDEX(数据元说明!A:F,MATCH(I1309,数据元说明!C:C,0),2)</f>
        <v>001001</v>
      </c>
      <c r="K1309" s="68" t="str">
        <f>INDEX(数据元说明!A:F,MATCH(I1309,数据元说明!C:C,0),5)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09" s="67" t="str">
        <f>INDEX(数据元说明!A:F,MATCH(I1309,数据元说明!C:C,0),6)</f>
        <v>C..450</v>
      </c>
      <c r="M1309" s="68" t="s">
        <v>3254</v>
      </c>
      <c r="N1309" s="68" t="s">
        <v>1583</v>
      </c>
      <c r="O1309" s="68" t="s">
        <v>1660</v>
      </c>
      <c r="P1309" s="68"/>
    </row>
    <row r="1310" ht="39.95" hidden="1" customHeight="1" outlineLevel="1" spans="1:16">
      <c r="A1310" s="70"/>
      <c r="B1310" s="71"/>
      <c r="C1310" s="59" t="s">
        <v>253</v>
      </c>
      <c r="D1310" s="59" t="s">
        <v>3247</v>
      </c>
      <c r="E1310" s="65">
        <v>901</v>
      </c>
      <c r="F1310" s="67" t="s">
        <v>3255</v>
      </c>
      <c r="G1310" s="65">
        <v>90114</v>
      </c>
      <c r="H1310" s="67" t="s">
        <v>3256</v>
      </c>
      <c r="I1310" s="67" t="s">
        <v>704</v>
      </c>
      <c r="J1310" s="67" t="str">
        <f>INDEX(数据元说明!A:F,MATCH(I1310,数据元说明!C:C,0),2)</f>
        <v>003025</v>
      </c>
      <c r="K1310" s="68" t="str">
        <f>INDEX(数据元说明!A:F,MATCH(I1310,数据元说明!C:C,0),5)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310" s="67" t="str">
        <f>INDEX(数据元说明!A:F,MATCH(I1310,数据元说明!C:C,0),6)</f>
        <v>C..60</v>
      </c>
      <c r="M1310" s="68" t="s">
        <v>3257</v>
      </c>
      <c r="N1310" s="68" t="s">
        <v>1583</v>
      </c>
      <c r="O1310" s="68"/>
      <c r="P1310" s="68" t="s">
        <v>1648</v>
      </c>
    </row>
    <row r="1311" ht="39.95" hidden="1" customHeight="1" outlineLevel="1" spans="1:16">
      <c r="A1311" s="70"/>
      <c r="B1311" s="71"/>
      <c r="C1311" s="59" t="s">
        <v>253</v>
      </c>
      <c r="D1311" s="59" t="s">
        <v>3247</v>
      </c>
      <c r="E1311" s="65">
        <v>901</v>
      </c>
      <c r="F1311" s="67" t="s">
        <v>3258</v>
      </c>
      <c r="G1311" s="65">
        <v>90115</v>
      </c>
      <c r="H1311" s="67" t="s">
        <v>3259</v>
      </c>
      <c r="I1311" s="67" t="s">
        <v>325</v>
      </c>
      <c r="J1311" s="67" t="str">
        <f>INDEX(数据元说明!A:F,MATCH(I1311,数据元说明!C:C,0),2)</f>
        <v>001001</v>
      </c>
      <c r="K1311" s="68" t="str">
        <f>INDEX(数据元说明!A:F,MATCH(I1311,数据元说明!C:C,0),5)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11" s="67" t="str">
        <f>INDEX(数据元说明!A:F,MATCH(I1311,数据元说明!C:C,0),6)</f>
        <v>C..450</v>
      </c>
      <c r="M1311" s="68"/>
      <c r="N1311" s="68" t="s">
        <v>1601</v>
      </c>
      <c r="O1311" s="68"/>
      <c r="P1311" s="68"/>
    </row>
    <row r="1312" ht="39.95" hidden="1" customHeight="1" outlineLevel="1" spans="1:16">
      <c r="A1312" s="70"/>
      <c r="B1312" s="71"/>
      <c r="C1312" s="59" t="s">
        <v>253</v>
      </c>
      <c r="D1312" s="59" t="s">
        <v>3247</v>
      </c>
      <c r="E1312" s="65">
        <v>901</v>
      </c>
      <c r="F1312" s="67" t="s">
        <v>3260</v>
      </c>
      <c r="G1312" s="65">
        <v>90116</v>
      </c>
      <c r="H1312" s="67" t="s">
        <v>1946</v>
      </c>
      <c r="I1312" s="67" t="s">
        <v>325</v>
      </c>
      <c r="J1312" s="67" t="str">
        <f>INDEX(数据元说明!A:F,MATCH(I1312,数据元说明!C:C,0),2)</f>
        <v>001001</v>
      </c>
      <c r="K1312" s="68" t="str">
        <f>INDEX(数据元说明!A:F,MATCH(I1312,数据元说明!C:C,0),5)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12" s="67" t="str">
        <f>INDEX(数据元说明!A:F,MATCH(I1312,数据元说明!C:C,0),6)</f>
        <v>C..450</v>
      </c>
      <c r="M1312" s="68" t="s">
        <v>3261</v>
      </c>
      <c r="N1312" s="68" t="s">
        <v>1583</v>
      </c>
      <c r="O1312" s="68" t="s">
        <v>1660</v>
      </c>
      <c r="P1312" s="68"/>
    </row>
    <row r="1313" ht="39.95" hidden="1" customHeight="1" outlineLevel="1" spans="1:16">
      <c r="A1313" s="70"/>
      <c r="B1313" s="71"/>
      <c r="C1313" s="59" t="s">
        <v>253</v>
      </c>
      <c r="D1313" s="59" t="s">
        <v>3247</v>
      </c>
      <c r="E1313" s="65">
        <v>901</v>
      </c>
      <c r="F1313" s="67" t="s">
        <v>3262</v>
      </c>
      <c r="G1313" s="65">
        <v>90117</v>
      </c>
      <c r="H1313" s="67" t="s">
        <v>3263</v>
      </c>
      <c r="I1313" s="67" t="s">
        <v>704</v>
      </c>
      <c r="J1313" s="67" t="str">
        <f>INDEX(数据元说明!A:F,MATCH(I1313,数据元说明!C:C,0),2)</f>
        <v>003025</v>
      </c>
      <c r="K1313" s="68" t="str">
        <f>INDEX(数据元说明!A:F,MATCH(I1313,数据元说明!C:C,0),5)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313" s="67" t="str">
        <f>INDEX(数据元说明!A:F,MATCH(I1313,数据元说明!C:C,0),6)</f>
        <v>C..60</v>
      </c>
      <c r="M1313" s="68" t="s">
        <v>3264</v>
      </c>
      <c r="N1313" s="68" t="s">
        <v>1583</v>
      </c>
      <c r="O1313" s="68"/>
      <c r="P1313" s="68" t="s">
        <v>1648</v>
      </c>
    </row>
    <row r="1314" ht="39.95" hidden="1" customHeight="1" outlineLevel="1" spans="1:16">
      <c r="A1314" s="70"/>
      <c r="B1314" s="71"/>
      <c r="C1314" s="59" t="s">
        <v>253</v>
      </c>
      <c r="D1314" s="59" t="s">
        <v>3247</v>
      </c>
      <c r="E1314" s="65">
        <v>901</v>
      </c>
      <c r="F1314" s="67" t="s">
        <v>3265</v>
      </c>
      <c r="G1314" s="65">
        <v>90118</v>
      </c>
      <c r="H1314" s="67" t="s">
        <v>3266</v>
      </c>
      <c r="I1314" s="67" t="s">
        <v>325</v>
      </c>
      <c r="J1314" s="67" t="str">
        <f>INDEX(数据元说明!A:F,MATCH(I1314,数据元说明!C:C,0),2)</f>
        <v>001001</v>
      </c>
      <c r="K1314" s="68" t="str">
        <f>INDEX(数据元说明!A:F,MATCH(I1314,数据元说明!C:C,0),5)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14" s="67" t="str">
        <f>INDEX(数据元说明!A:F,MATCH(I1314,数据元说明!C:C,0),6)</f>
        <v>C..450</v>
      </c>
      <c r="M1314" s="68" t="s">
        <v>3267</v>
      </c>
      <c r="N1314" s="68" t="s">
        <v>1583</v>
      </c>
      <c r="O1314" s="68" t="s">
        <v>1695</v>
      </c>
      <c r="P1314" s="68"/>
    </row>
    <row r="1315" ht="39.95" hidden="1" customHeight="1" outlineLevel="1" spans="1:16">
      <c r="A1315" s="63"/>
      <c r="B1315" s="64"/>
      <c r="C1315" s="59" t="s">
        <v>253</v>
      </c>
      <c r="D1315" s="59" t="s">
        <v>3247</v>
      </c>
      <c r="E1315" s="65">
        <v>901</v>
      </c>
      <c r="F1315" s="67" t="s">
        <v>3268</v>
      </c>
      <c r="G1315" s="65">
        <v>90119</v>
      </c>
      <c r="H1315" s="67" t="s">
        <v>3269</v>
      </c>
      <c r="I1315" s="67" t="s">
        <v>330</v>
      </c>
      <c r="J1315" s="67" t="str">
        <f>INDEX(数据元说明!A:F,MATCH(I1315,数据元说明!C:C,0),2)</f>
        <v>001002</v>
      </c>
      <c r="K1315" s="68" t="str">
        <f>INDEX(数据元说明!A:F,MATCH(I1315,数据元说明!C:C,0),5)</f>
        <v>是，否。</v>
      </c>
      <c r="L1315" s="67" t="str">
        <f>INDEX(数据元说明!A:F,MATCH(I1315,数据元说明!C:C,0),6)</f>
        <v>C3</v>
      </c>
      <c r="M1315" s="68"/>
      <c r="N1315" s="80" t="s">
        <v>1601</v>
      </c>
      <c r="O1315" s="68"/>
      <c r="P1315" s="68"/>
    </row>
    <row r="1316" ht="39.95" hidden="1" customHeight="1" outlineLevel="1" spans="1:16">
      <c r="A1316" s="63"/>
      <c r="B1316" s="64"/>
      <c r="C1316" s="59" t="s">
        <v>253</v>
      </c>
      <c r="D1316" s="59" t="s">
        <v>3247</v>
      </c>
      <c r="E1316" s="65">
        <v>901</v>
      </c>
      <c r="F1316" s="67" t="s">
        <v>3270</v>
      </c>
      <c r="G1316" s="65">
        <v>90120</v>
      </c>
      <c r="H1316" s="67" t="s">
        <v>3271</v>
      </c>
      <c r="I1316" s="68" t="s">
        <v>937</v>
      </c>
      <c r="J1316" s="68" t="str">
        <f>INDEX(数据元说明!A:F,MATCH(I1316,数据元说明!C:C,0),2)</f>
        <v>005049</v>
      </c>
      <c r="K1316" s="68" t="str">
        <f>INDEX(数据元说明!A:F,MATCH(I1316,数据元说明!C:C,0),5)</f>
        <v>贸易交易内容、货品或服务的简述信息，银行自定义，应填写中文。</v>
      </c>
      <c r="L1316" s="68" t="s">
        <v>3272</v>
      </c>
      <c r="M1316" s="68" t="s">
        <v>3273</v>
      </c>
      <c r="N1316" s="80" t="s">
        <v>1601</v>
      </c>
      <c r="O1316" s="68"/>
      <c r="P1316" s="68"/>
    </row>
    <row r="1317" ht="39.95" hidden="1" customHeight="1" outlineLevel="1" spans="1:16">
      <c r="A1317" s="63"/>
      <c r="B1317" s="64"/>
      <c r="C1317" s="59" t="s">
        <v>253</v>
      </c>
      <c r="D1317" s="59" t="s">
        <v>3247</v>
      </c>
      <c r="E1317" s="65">
        <v>901</v>
      </c>
      <c r="F1317" s="68" t="s">
        <v>3274</v>
      </c>
      <c r="G1317" s="65">
        <v>90121</v>
      </c>
      <c r="H1317" s="67" t="s">
        <v>2690</v>
      </c>
      <c r="I1317" s="68" t="s">
        <v>642</v>
      </c>
      <c r="J1317" s="68" t="str">
        <f>INDEX(数据元说明!A:F,MATCH(I1317,数据元说明!C:C,0),2)</f>
        <v>003010</v>
      </c>
      <c r="K1317" s="68" t="str">
        <f>INDEX(数据元说明!A:F,MATCH(I1317,数据元说明!C:C,0),5)</f>
        <v>遵循《GB/T 12406 表示货币和资金的代码》的字母代码，如CNY。上述文件所列币种无法涵盖的，允许银行自定义填报。多个币种合计折算为人民币（本外币合计）的，填报为BWB。</v>
      </c>
      <c r="L1317" s="68" t="str">
        <f>INDEX(数据元说明!A:F,MATCH(I1317,数据元说明!C:C,0),6)</f>
        <v>C3</v>
      </c>
      <c r="M1317" s="68" t="s">
        <v>3275</v>
      </c>
      <c r="N1317" s="68" t="s">
        <v>1601</v>
      </c>
      <c r="O1317" s="68"/>
      <c r="P1317" s="68"/>
    </row>
    <row r="1318" ht="39.95" hidden="1" customHeight="1" collapsed="1" spans="1:16">
      <c r="A1318" s="63"/>
      <c r="B1318" s="64"/>
      <c r="C1318" s="59" t="s">
        <v>253</v>
      </c>
      <c r="D1318" s="59" t="s">
        <v>3247</v>
      </c>
      <c r="E1318" s="65">
        <v>901</v>
      </c>
      <c r="F1318" s="67" t="s">
        <v>3276</v>
      </c>
      <c r="G1318" s="65">
        <v>90122</v>
      </c>
      <c r="H1318" s="67" t="s">
        <v>2693</v>
      </c>
      <c r="I1318" s="67" t="s">
        <v>634</v>
      </c>
      <c r="J1318" s="67" t="str">
        <f>INDEX(数据元说明!A:F,MATCH(I1318,数据元说明!C:C,0),2)</f>
        <v>003008</v>
      </c>
      <c r="K1318" s="68" t="str">
        <f>INDEX(数据元说明!A:F,MATCH(I1318,数据元说明!C:C,0),5)</f>
        <v>与币种相对应金额。</v>
      </c>
      <c r="L1318" s="67" t="str">
        <f>INDEX(数据元说明!A:F,MATCH(I1318,数据元说明!C:C,0),6)</f>
        <v>D20.2</v>
      </c>
      <c r="M1318" s="68" t="s">
        <v>3277</v>
      </c>
      <c r="N1318" s="80" t="s">
        <v>1601</v>
      </c>
      <c r="O1318" s="68"/>
      <c r="P1318" s="69"/>
    </row>
    <row r="1319" ht="39.95" hidden="1" customHeight="1" spans="1:16">
      <c r="A1319" s="63"/>
      <c r="B1319" s="64"/>
      <c r="C1319" s="59" t="s">
        <v>253</v>
      </c>
      <c r="D1319" s="59" t="s">
        <v>3247</v>
      </c>
      <c r="E1319" s="65">
        <v>901</v>
      </c>
      <c r="F1319" s="67" t="s">
        <v>2695</v>
      </c>
      <c r="G1319" s="65">
        <v>90123</v>
      </c>
      <c r="H1319" s="67" t="s">
        <v>2696</v>
      </c>
      <c r="I1319" s="67" t="s">
        <v>335</v>
      </c>
      <c r="J1319" s="67" t="str">
        <f>INDEX(数据元说明!A:F,MATCH(I1319,数据元说明!C:C,0),2)</f>
        <v>001003</v>
      </c>
      <c r="K1319" s="68" t="str">
        <f>INDEX(数据元说明!A:F,MATCH(I1319,数据元说明!C:C,0),5)</f>
        <v>百分比为单位，即1/100，保留两位小数。如4.5%则填报为4.50。</v>
      </c>
      <c r="L1319" s="67" t="str">
        <f>INDEX(数据元说明!A:F,MATCH(I1319,数据元说明!C:C,0),6)</f>
        <v>D20.2</v>
      </c>
      <c r="M1319" s="69" t="s">
        <v>3278</v>
      </c>
      <c r="N1319" s="80" t="s">
        <v>1601</v>
      </c>
      <c r="O1319" s="68"/>
      <c r="P1319" s="69"/>
    </row>
    <row r="1320" ht="39.95" hidden="1" customHeight="1" spans="1:16">
      <c r="A1320" s="63"/>
      <c r="B1320" s="64"/>
      <c r="C1320" s="59" t="s">
        <v>253</v>
      </c>
      <c r="D1320" s="59" t="s">
        <v>3247</v>
      </c>
      <c r="E1320" s="65">
        <v>901</v>
      </c>
      <c r="F1320" s="67" t="s">
        <v>2698</v>
      </c>
      <c r="G1320" s="65">
        <v>90124</v>
      </c>
      <c r="H1320" s="67" t="s">
        <v>2699</v>
      </c>
      <c r="I1320" s="67" t="s">
        <v>642</v>
      </c>
      <c r="J1320" s="67" t="str">
        <f>INDEX(数据元说明!A:F,MATCH(I1320,数据元说明!C:C,0),2)</f>
        <v>003010</v>
      </c>
      <c r="K1320" s="68" t="str">
        <f>INDEX(数据元说明!A:F,MATCH(I1320,数据元说明!C:C,0),5)</f>
        <v>遵循《GB/T 12406 表示货币和资金的代码》的字母代码，如CNY。上述文件所列币种无法涵盖的，允许银行自定义填报。多个币种合计折算为人民币（本外币合计）的，填报为BWB。</v>
      </c>
      <c r="L1320" s="67" t="str">
        <f>INDEX(数据元说明!A:F,MATCH(I1320,数据元说明!C:C,0),6)</f>
        <v>C3</v>
      </c>
      <c r="M1320" s="68" t="s">
        <v>3279</v>
      </c>
      <c r="N1320" s="80" t="s">
        <v>1601</v>
      </c>
      <c r="O1320" s="68"/>
      <c r="P1320" s="69"/>
    </row>
    <row r="1321" ht="39.95" hidden="1" customHeight="1" spans="1:16">
      <c r="A1321" s="63"/>
      <c r="B1321" s="64"/>
      <c r="C1321" s="59" t="s">
        <v>253</v>
      </c>
      <c r="D1321" s="59" t="s">
        <v>3247</v>
      </c>
      <c r="E1321" s="65">
        <v>901</v>
      </c>
      <c r="F1321" s="67" t="s">
        <v>2701</v>
      </c>
      <c r="G1321" s="65">
        <v>90125</v>
      </c>
      <c r="H1321" s="67" t="s">
        <v>2702</v>
      </c>
      <c r="I1321" s="67" t="s">
        <v>634</v>
      </c>
      <c r="J1321" s="67" t="str">
        <f>INDEX(数据元说明!A:F,MATCH(I1321,数据元说明!C:C,0),2)</f>
        <v>003008</v>
      </c>
      <c r="K1321" s="68" t="str">
        <f>INDEX(数据元说明!A:F,MATCH(I1321,数据元说明!C:C,0),5)</f>
        <v>与币种相对应金额。</v>
      </c>
      <c r="L1321" s="67" t="str">
        <f>INDEX(数据元说明!A:F,MATCH(I1321,数据元说明!C:C,0),6)</f>
        <v>D20.2</v>
      </c>
      <c r="M1321" s="68" t="s">
        <v>3280</v>
      </c>
      <c r="N1321" s="80" t="s">
        <v>1601</v>
      </c>
      <c r="O1321" s="68"/>
      <c r="P1321" s="69"/>
    </row>
    <row r="1322" ht="39.95" hidden="1" customHeight="1" spans="1:16">
      <c r="A1322" s="63"/>
      <c r="B1322" s="64"/>
      <c r="C1322" s="59" t="s">
        <v>253</v>
      </c>
      <c r="D1322" s="59" t="s">
        <v>3247</v>
      </c>
      <c r="E1322" s="65">
        <v>901</v>
      </c>
      <c r="F1322" s="67" t="s">
        <v>2704</v>
      </c>
      <c r="G1322" s="65">
        <v>90126</v>
      </c>
      <c r="H1322" s="67" t="s">
        <v>2705</v>
      </c>
      <c r="I1322" s="67" t="s">
        <v>704</v>
      </c>
      <c r="J1322" s="67" t="str">
        <f>INDEX(数据元说明!A:F,MATCH(I1322,数据元说明!C:C,0),2)</f>
        <v>003025</v>
      </c>
      <c r="K1322" s="68" t="str">
        <f>INDEX(数据元说明!A:F,MATCH(I1322,数据元说明!C:C,0),5)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322" s="67" t="str">
        <f>INDEX(数据元说明!A:F,MATCH(I1322,数据元说明!C:C,0),6)</f>
        <v>C..60</v>
      </c>
      <c r="M1322" s="68" t="s">
        <v>2743</v>
      </c>
      <c r="N1322" s="80" t="s">
        <v>1601</v>
      </c>
      <c r="O1322" s="68"/>
      <c r="P1322" s="69"/>
    </row>
    <row r="1323" s="39" customFormat="1" ht="39.95" hidden="1" customHeight="1" spans="1:16">
      <c r="A1323" s="63"/>
      <c r="B1323" s="76"/>
      <c r="C1323" s="59" t="s">
        <v>253</v>
      </c>
      <c r="D1323" s="59" t="s">
        <v>3247</v>
      </c>
      <c r="E1323" s="65">
        <v>901</v>
      </c>
      <c r="F1323" s="67" t="s">
        <v>912</v>
      </c>
      <c r="G1323" s="65">
        <v>90127</v>
      </c>
      <c r="H1323" s="68" t="s">
        <v>2618</v>
      </c>
      <c r="I1323" s="68" t="s">
        <v>912</v>
      </c>
      <c r="J1323" s="68" t="str">
        <f>INDEX(数据元说明!A:F,MATCH(I1323,数据元说明!C:C,0),2)</f>
        <v>005043</v>
      </c>
      <c r="K1323" s="68" t="str">
        <f>INDEX(数据元说明!A:F,MATCH(I1323,数据元说明!C:C,0),5)</f>
        <v>正常，卖断，解付，垫款，核销，其他-银行自定义。无法以枚举类型填报的，以“其他-XX”填报，其中“XX”为银行自定义状态。</v>
      </c>
      <c r="L1323" s="68" t="str">
        <f>INDEX(数据元说明!A:F,MATCH(I1323,数据元说明!C:C,0),6)</f>
        <v>C..30</v>
      </c>
      <c r="M1323" s="68" t="s">
        <v>2619</v>
      </c>
      <c r="N1323" s="80" t="s">
        <v>1601</v>
      </c>
      <c r="O1323" s="68"/>
      <c r="P1323" s="69"/>
    </row>
    <row r="1324" ht="39.95" hidden="1" customHeight="1" outlineLevel="1" spans="1:16">
      <c r="A1324" s="63"/>
      <c r="B1324" s="64"/>
      <c r="C1324" s="59" t="s">
        <v>253</v>
      </c>
      <c r="D1324" s="59" t="s">
        <v>3247</v>
      </c>
      <c r="E1324" s="65">
        <v>901</v>
      </c>
      <c r="F1324" s="67" t="s">
        <v>2814</v>
      </c>
      <c r="G1324" s="65">
        <v>90128</v>
      </c>
      <c r="H1324" s="67" t="s">
        <v>3281</v>
      </c>
      <c r="I1324" s="68" t="s">
        <v>389</v>
      </c>
      <c r="J1324" s="68" t="str">
        <f>INDEX(数据元说明!A:F,MATCH(I1324,数据元说明!C:C,0),2)</f>
        <v>001015</v>
      </c>
      <c r="K1324" s="68" t="str">
        <f>INDEX(数据元说明!A:F,MATCH(I1324,数据元说明!C:C,0),5)</f>
        <v>工号，银行自定义。</v>
      </c>
      <c r="L1324" s="68" t="str">
        <f>INDEX(数据元说明!A:F,MATCH(I1324,数据元说明!C:C,0),6)</f>
        <v>C..30</v>
      </c>
      <c r="M1324" s="68" t="s">
        <v>3282</v>
      </c>
      <c r="N1324" s="80" t="s">
        <v>1601</v>
      </c>
      <c r="O1324" s="68"/>
      <c r="P1324" s="68"/>
    </row>
    <row r="1325" ht="39.95" hidden="1" customHeight="1" outlineLevel="1" spans="1:16">
      <c r="A1325" s="63"/>
      <c r="B1325" s="64"/>
      <c r="C1325" s="59" t="s">
        <v>253</v>
      </c>
      <c r="D1325" s="59" t="s">
        <v>3247</v>
      </c>
      <c r="E1325" s="65">
        <v>901</v>
      </c>
      <c r="F1325" s="67" t="s">
        <v>484</v>
      </c>
      <c r="G1325" s="65">
        <v>90129</v>
      </c>
      <c r="H1325" s="67" t="s">
        <v>1623</v>
      </c>
      <c r="I1325" s="67" t="s">
        <v>484</v>
      </c>
      <c r="J1325" s="67" t="str">
        <f>INDEX(数据元说明!A:F,MATCH(I1325,数据元说明!C:C,0),2)</f>
        <v>001038</v>
      </c>
      <c r="K1325" s="68" t="str">
        <f>INDEX(数据元说明!A:F,MATCH(I1325,数据元说明!C:C,0),5)</f>
        <v>银行自定义。</v>
      </c>
      <c r="L1325" s="67" t="str">
        <f>INDEX(数据元说明!A:F,MATCH(I1325,数据元说明!C:C,0),6)</f>
        <v>C..600</v>
      </c>
      <c r="M1325" s="68" t="s">
        <v>1624</v>
      </c>
      <c r="N1325" s="68" t="s">
        <v>1601</v>
      </c>
      <c r="O1325" s="68"/>
      <c r="P1325" s="68"/>
    </row>
    <row r="1326" ht="39.95" hidden="1" customHeight="1" outlineLevel="1" spans="1:16">
      <c r="A1326" s="63"/>
      <c r="B1326" s="64"/>
      <c r="C1326" s="59" t="s">
        <v>253</v>
      </c>
      <c r="D1326" s="59" t="s">
        <v>3247</v>
      </c>
      <c r="E1326" s="65">
        <v>901</v>
      </c>
      <c r="F1326" s="67" t="s">
        <v>1625</v>
      </c>
      <c r="G1326" s="65">
        <v>90130</v>
      </c>
      <c r="H1326" s="67" t="s">
        <v>1626</v>
      </c>
      <c r="I1326" s="67" t="s">
        <v>345</v>
      </c>
      <c r="J1326" s="67" t="str">
        <f>INDEX(数据元说明!A:F,MATCH(I1326,数据元说明!C:C,0),2)</f>
        <v>001005</v>
      </c>
      <c r="K1326" s="68" t="str">
        <f>INDEX(数据元说明!A:F,MATCH(I1326,数据元说明!C:C,0),5)</f>
        <v>YYYYMMDD，默认值99991231。</v>
      </c>
      <c r="L1326" s="67" t="str">
        <f>INDEX(数据元说明!A:F,MATCH(I1326,数据元说明!C:C,0),6)</f>
        <v>C8</v>
      </c>
      <c r="M1326" s="68" t="s">
        <v>1627</v>
      </c>
      <c r="N1326" s="68"/>
      <c r="O1326" s="68"/>
      <c r="P1326" s="68"/>
    </row>
    <row r="1327" ht="39.95" hidden="1" customHeight="1" collapsed="1" spans="1:16">
      <c r="A1327" s="70"/>
      <c r="B1327" s="71"/>
      <c r="C1327" s="59" t="s">
        <v>256</v>
      </c>
      <c r="D1327" s="59" t="s">
        <v>3283</v>
      </c>
      <c r="E1327" s="65">
        <v>902</v>
      </c>
      <c r="F1327" s="67"/>
      <c r="G1327" s="65"/>
      <c r="H1327" s="67"/>
      <c r="I1327" s="67"/>
      <c r="J1327" s="67"/>
      <c r="K1327" s="68"/>
      <c r="L1327" s="67"/>
      <c r="M1327" s="68" t="str">
        <f>INDEX(表结构总览!D:G,MATCH(D1327,表结构总览!D:D,0),4)</f>
        <v>报送范围为跟单信用证、保函、信用风险仍在银行的销售与购买协议、其他担保类业务、承诺、其他承诺，相关业务定义可参照1104报表。合同到期且已结清的数据，在报送合同最后状态的次月不再填报。</v>
      </c>
      <c r="N1327" s="68" t="s">
        <v>1601</v>
      </c>
      <c r="O1327" s="68"/>
      <c r="P1327" s="68"/>
    </row>
    <row r="1328" ht="39.95" hidden="1" customHeight="1" outlineLevel="1" spans="1:16">
      <c r="A1328" s="63"/>
      <c r="B1328" s="64"/>
      <c r="C1328" s="59" t="s">
        <v>256</v>
      </c>
      <c r="D1328" s="59" t="s">
        <v>3283</v>
      </c>
      <c r="E1328" s="65">
        <v>902</v>
      </c>
      <c r="F1328" s="67" t="s">
        <v>373</v>
      </c>
      <c r="G1328" s="65">
        <v>90201</v>
      </c>
      <c r="H1328" s="67" t="s">
        <v>1588</v>
      </c>
      <c r="I1328" s="67" t="s">
        <v>373</v>
      </c>
      <c r="J1328" s="67" t="str">
        <f>INDEX(数据元说明!A:F,MATCH(I1328,数据元说明!C:C,0),2)</f>
        <v>001011</v>
      </c>
      <c r="K1328" s="68" t="str">
        <f>INDEX(数据元说明!A:F,MATCH(I1328,数据元说明!C:C,0),5)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28" s="67" t="str">
        <f>INDEX(数据元说明!A:F,MATCH(I1328,数据元说明!C:C,0),6)</f>
        <v>C..30</v>
      </c>
      <c r="M1328" s="68" t="s">
        <v>3284</v>
      </c>
      <c r="N1328" s="68" t="s">
        <v>1601</v>
      </c>
      <c r="O1328" s="68"/>
      <c r="P1328" s="68"/>
    </row>
    <row r="1329" ht="39.95" hidden="1" customHeight="1" outlineLevel="1" spans="1:16">
      <c r="A1329" s="63"/>
      <c r="B1329" s="64"/>
      <c r="C1329" s="59" t="s">
        <v>256</v>
      </c>
      <c r="D1329" s="59" t="s">
        <v>3283</v>
      </c>
      <c r="E1329" s="65">
        <v>902</v>
      </c>
      <c r="F1329" s="68" t="s">
        <v>377</v>
      </c>
      <c r="G1329" s="65">
        <v>90202</v>
      </c>
      <c r="H1329" s="67" t="s">
        <v>1586</v>
      </c>
      <c r="I1329" s="68" t="s">
        <v>377</v>
      </c>
      <c r="J1329" s="68" t="str">
        <f>INDEX(数据元说明!A:F,MATCH(I1329,数据元说明!C:C,0),2)</f>
        <v>001012</v>
      </c>
      <c r="K1329" s="68" t="str">
        <f>INDEX(数据元说明!A:F,MATCH(I1329,数据元说明!C:C,0),5)</f>
        <v>银行内部机构号。应具有标识机构的唯一性。</v>
      </c>
      <c r="L1329" s="68" t="str">
        <f>INDEX(数据元说明!A:F,MATCH(I1329,数据元说明!C:C,0),6)</f>
        <v>C..30</v>
      </c>
      <c r="M1329" s="68" t="s">
        <v>3285</v>
      </c>
      <c r="N1329" s="68" t="s">
        <v>1601</v>
      </c>
      <c r="O1329" s="68"/>
      <c r="P1329" s="68"/>
    </row>
    <row r="1330" ht="39.95" hidden="1" customHeight="1" outlineLevel="1" spans="1:16">
      <c r="A1330" s="63"/>
      <c r="B1330" s="64"/>
      <c r="C1330" s="59" t="s">
        <v>256</v>
      </c>
      <c r="D1330" s="59" t="s">
        <v>3283</v>
      </c>
      <c r="E1330" s="65">
        <v>902</v>
      </c>
      <c r="F1330" s="68" t="s">
        <v>1592</v>
      </c>
      <c r="G1330" s="65">
        <v>90203</v>
      </c>
      <c r="H1330" s="68" t="s">
        <v>1593</v>
      </c>
      <c r="I1330" s="68" t="s">
        <v>325</v>
      </c>
      <c r="J1330" s="68" t="str">
        <f>INDEX(数据元说明!A:F,MATCH(I1330,数据元说明!C:C,0),2)</f>
        <v>001001</v>
      </c>
      <c r="K1330" s="68" t="str">
        <f>INDEX(数据元说明!A:F,MATCH(I1330,数据元说明!C:C,0),5)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30" s="68" t="str">
        <f>INDEX(数据元说明!A:F,MATCH(I1330,数据元说明!C:C,0),6)</f>
        <v>C..450</v>
      </c>
      <c r="M1330" s="68" t="s">
        <v>3286</v>
      </c>
      <c r="N1330" s="68" t="s">
        <v>1601</v>
      </c>
      <c r="O1330" s="68"/>
      <c r="P1330" s="68"/>
    </row>
    <row r="1331" ht="39.95" hidden="1" customHeight="1" outlineLevel="1" spans="1:16">
      <c r="A1331" s="70"/>
      <c r="B1331" s="71"/>
      <c r="C1331" s="59" t="s">
        <v>256</v>
      </c>
      <c r="D1331" s="59" t="s">
        <v>3283</v>
      </c>
      <c r="E1331" s="65">
        <v>902</v>
      </c>
      <c r="F1331" s="67" t="s">
        <v>2125</v>
      </c>
      <c r="G1331" s="65">
        <v>90204</v>
      </c>
      <c r="H1331" s="67" t="s">
        <v>2126</v>
      </c>
      <c r="I1331" s="67" t="s">
        <v>609</v>
      </c>
      <c r="J1331" s="67" t="str">
        <f>INDEX(数据元说明!A:F,MATCH(I1331,数据元说明!C:C,0),2)</f>
        <v>003002</v>
      </c>
      <c r="K1331" s="68" t="str">
        <f>INDEX(数据元说明!A:F,MATCH(I1331,数据元说明!C:C,0),5)</f>
        <v>机构实际使用的总账会计科目编码。</v>
      </c>
      <c r="L1331" s="67" t="str">
        <f>INDEX(数据元说明!A:F,MATCH(I1331,数据元说明!C:C,0),6)</f>
        <v>C..60</v>
      </c>
      <c r="M1331" s="68" t="s">
        <v>2219</v>
      </c>
      <c r="N1331" s="68" t="s">
        <v>1601</v>
      </c>
      <c r="O1331" s="68"/>
      <c r="P1331" s="68" t="s">
        <v>1634</v>
      </c>
    </row>
    <row r="1332" ht="39.95" hidden="1" customHeight="1" outlineLevel="1" spans="1:16">
      <c r="A1332" s="70"/>
      <c r="B1332" s="71"/>
      <c r="C1332" s="59" t="s">
        <v>256</v>
      </c>
      <c r="D1332" s="59" t="s">
        <v>3283</v>
      </c>
      <c r="E1332" s="65">
        <v>902</v>
      </c>
      <c r="F1332" s="67" t="s">
        <v>2128</v>
      </c>
      <c r="G1332" s="65">
        <v>90205</v>
      </c>
      <c r="H1332" s="67" t="s">
        <v>2129</v>
      </c>
      <c r="I1332" s="67" t="s">
        <v>613</v>
      </c>
      <c r="J1332" s="67" t="str">
        <f>INDEX(数据元说明!A:F,MATCH(I1332,数据元说明!C:C,0),2)</f>
        <v>003003</v>
      </c>
      <c r="K1332" s="68" t="str">
        <f>INDEX(数据元说明!A:F,MATCH(I1332,数据元说明!C:C,0),5)</f>
        <v>机构实际使用的总账会计科目编码对应的名称。</v>
      </c>
      <c r="L1332" s="67" t="str">
        <f>INDEX(数据元说明!A:F,MATCH(I1332,数据元说明!C:C,0),6)</f>
        <v>C..300</v>
      </c>
      <c r="M1332" s="68" t="s">
        <v>2219</v>
      </c>
      <c r="N1332" s="68" t="s">
        <v>1601</v>
      </c>
      <c r="O1332" s="68"/>
      <c r="P1332" s="68" t="s">
        <v>1634</v>
      </c>
    </row>
    <row r="1333" ht="39.95" hidden="1" customHeight="1" outlineLevel="1" spans="1:16">
      <c r="A1333" s="63"/>
      <c r="B1333" s="64"/>
      <c r="C1333" s="59" t="s">
        <v>256</v>
      </c>
      <c r="D1333" s="59" t="s">
        <v>3283</v>
      </c>
      <c r="E1333" s="65">
        <v>902</v>
      </c>
      <c r="F1333" s="68" t="s">
        <v>3287</v>
      </c>
      <c r="G1333" s="65">
        <v>90206</v>
      </c>
      <c r="H1333" s="67" t="s">
        <v>3288</v>
      </c>
      <c r="I1333" s="68" t="s">
        <v>683</v>
      </c>
      <c r="J1333" s="68" t="str">
        <f>INDEX(数据元说明!A:F,MATCH(I1333,数据元说明!C:C,0),2)</f>
        <v>003020</v>
      </c>
      <c r="K1333" s="68" t="str">
        <f>INDEX(数据元说明!A:F,MATCH(I1333,数据元说明!C:C,0),5)</f>
        <v>合同号。</v>
      </c>
      <c r="L1333" s="68" t="str">
        <f>INDEX(数据元说明!A:F,MATCH(I1333,数据元说明!C:C,0),6)</f>
        <v>C..100</v>
      </c>
      <c r="M1333" s="68" t="s">
        <v>3289</v>
      </c>
      <c r="N1333" s="68" t="s">
        <v>1601</v>
      </c>
      <c r="O1333" s="68"/>
      <c r="P1333" s="68"/>
    </row>
    <row r="1334" ht="39.95" hidden="1" customHeight="1" outlineLevel="1" spans="1:16">
      <c r="A1334" s="63"/>
      <c r="B1334" s="64"/>
      <c r="C1334" s="59" t="s">
        <v>256</v>
      </c>
      <c r="D1334" s="59" t="s">
        <v>3283</v>
      </c>
      <c r="E1334" s="65">
        <v>902</v>
      </c>
      <c r="F1334" s="68" t="s">
        <v>3290</v>
      </c>
      <c r="G1334" s="65">
        <v>90207</v>
      </c>
      <c r="H1334" s="67" t="s">
        <v>3291</v>
      </c>
      <c r="I1334" s="68" t="s">
        <v>888</v>
      </c>
      <c r="J1334" s="68" t="str">
        <f>INDEX(数据元说明!A:F,MATCH(I1334,数据元说明!C:C,0),2)</f>
        <v>005037</v>
      </c>
      <c r="K1334" s="68" t="str">
        <f>INDEX(数据元说明!A:F,MATCH(I1334,数据元说明!C:C,0),5)</f>
        <v>融资性保函，非融资性保函，国内信用证、国际信用证，备用信用证，销售协议，购买协议，提货担保，其他-银行自定义。无法以枚举类型填报的，以“其他-XX”填报，其中“XX”为银行自定义的担保类业务种类。</v>
      </c>
      <c r="L1334" s="68" t="str">
        <f>INDEX(数据元说明!A:F,MATCH(I1334,数据元说明!C:C,0),6)</f>
        <v>C..30</v>
      </c>
      <c r="M1334" s="68" t="s">
        <v>3292</v>
      </c>
      <c r="N1334" s="68" t="s">
        <v>1601</v>
      </c>
      <c r="O1334" s="68"/>
      <c r="P1334" s="68"/>
    </row>
    <row r="1335" ht="39.95" hidden="1" customHeight="1" outlineLevel="1" spans="1:16">
      <c r="A1335" s="63"/>
      <c r="B1335" s="64"/>
      <c r="C1335" s="59" t="s">
        <v>256</v>
      </c>
      <c r="D1335" s="59" t="s">
        <v>3283</v>
      </c>
      <c r="E1335" s="65">
        <v>902</v>
      </c>
      <c r="F1335" s="68" t="s">
        <v>642</v>
      </c>
      <c r="G1335" s="65">
        <v>90208</v>
      </c>
      <c r="H1335" s="67" t="s">
        <v>2713</v>
      </c>
      <c r="I1335" s="68" t="s">
        <v>642</v>
      </c>
      <c r="J1335" s="68" t="str">
        <f>INDEX(数据元说明!A:F,MATCH(I1335,数据元说明!C:C,0),2)</f>
        <v>003010</v>
      </c>
      <c r="K1335" s="68" t="str">
        <f>INDEX(数据元说明!A:F,MATCH(I1335,数据元说明!C:C,0),5)</f>
        <v>遵循《GB/T 12406 表示货币和资金的代码》的字母代码，如CNY。上述文件所列币种无法涵盖的，允许银行自定义填报。多个币种合计折算为人民币（本外币合计）的，填报为BWB。</v>
      </c>
      <c r="L1335" s="68" t="str">
        <f>INDEX(数据元说明!A:F,MATCH(I1335,数据元说明!C:C,0),6)</f>
        <v>C3</v>
      </c>
      <c r="M1335" s="68" t="s">
        <v>3293</v>
      </c>
      <c r="N1335" s="68" t="s">
        <v>1601</v>
      </c>
      <c r="O1335" s="68"/>
      <c r="P1335" s="68"/>
    </row>
    <row r="1336" ht="39.95" hidden="1" customHeight="1" outlineLevel="1" spans="1:16">
      <c r="A1336" s="63"/>
      <c r="B1336" s="64"/>
      <c r="C1336" s="59" t="s">
        <v>256</v>
      </c>
      <c r="D1336" s="59" t="s">
        <v>3283</v>
      </c>
      <c r="E1336" s="65">
        <v>902</v>
      </c>
      <c r="F1336" s="68" t="s">
        <v>2309</v>
      </c>
      <c r="G1336" s="65">
        <v>90209</v>
      </c>
      <c r="H1336" s="67" t="s">
        <v>2715</v>
      </c>
      <c r="I1336" s="68" t="s">
        <v>634</v>
      </c>
      <c r="J1336" s="68" t="str">
        <f>INDEX(数据元说明!A:F,MATCH(I1336,数据元说明!C:C,0),2)</f>
        <v>003008</v>
      </c>
      <c r="K1336" s="68" t="str">
        <f>INDEX(数据元说明!A:F,MATCH(I1336,数据元说明!C:C,0),5)</f>
        <v>与币种相对应金额。</v>
      </c>
      <c r="L1336" s="68" t="str">
        <f>INDEX(数据元说明!A:F,MATCH(I1336,数据元说明!C:C,0),6)</f>
        <v>D20.2</v>
      </c>
      <c r="M1336" s="68"/>
      <c r="N1336" s="68" t="s">
        <v>1601</v>
      </c>
      <c r="O1336" s="68"/>
      <c r="P1336" s="68"/>
    </row>
    <row r="1337" ht="39.95" hidden="1" customHeight="1" outlineLevel="1" spans="1:16">
      <c r="A1337" s="63"/>
      <c r="B1337" s="64"/>
      <c r="C1337" s="59" t="s">
        <v>256</v>
      </c>
      <c r="D1337" s="59" t="s">
        <v>3283</v>
      </c>
      <c r="E1337" s="65">
        <v>902</v>
      </c>
      <c r="F1337" s="68" t="s">
        <v>3294</v>
      </c>
      <c r="G1337" s="65">
        <v>90210</v>
      </c>
      <c r="H1337" s="67" t="s">
        <v>3295</v>
      </c>
      <c r="I1337" s="68" t="s">
        <v>634</v>
      </c>
      <c r="J1337" s="68" t="str">
        <f>INDEX(数据元说明!A:F,MATCH(I1337,数据元说明!C:C,0),2)</f>
        <v>003008</v>
      </c>
      <c r="K1337" s="68" t="str">
        <f>INDEX(数据元说明!A:F,MATCH(I1337,数据元说明!C:C,0),5)</f>
        <v>与币种相对应金额。</v>
      </c>
      <c r="L1337" s="68" t="str">
        <f>INDEX(数据元说明!A:F,MATCH(I1337,数据元说明!C:C,0),6)</f>
        <v>D20.2</v>
      </c>
      <c r="M1337" s="68" t="s">
        <v>3296</v>
      </c>
      <c r="N1337" s="68" t="s">
        <v>1601</v>
      </c>
      <c r="O1337" s="68"/>
      <c r="P1337" s="68"/>
    </row>
    <row r="1338" ht="39.95" hidden="1" customHeight="1" outlineLevel="1" spans="1:16">
      <c r="A1338" s="63"/>
      <c r="B1338" s="64"/>
      <c r="C1338" s="59" t="s">
        <v>256</v>
      </c>
      <c r="D1338" s="59" t="s">
        <v>3283</v>
      </c>
      <c r="E1338" s="65">
        <v>902</v>
      </c>
      <c r="F1338" s="68" t="s">
        <v>3297</v>
      </c>
      <c r="G1338" s="65">
        <v>90211</v>
      </c>
      <c r="H1338" s="67" t="s">
        <v>2717</v>
      </c>
      <c r="I1338" s="68" t="s">
        <v>634</v>
      </c>
      <c r="J1338" s="68" t="str">
        <f>INDEX(数据元说明!A:F,MATCH(I1338,数据元说明!C:C,0),2)</f>
        <v>003008</v>
      </c>
      <c r="K1338" s="68" t="str">
        <f>INDEX(数据元说明!A:F,MATCH(I1338,数据元说明!C:C,0),5)</f>
        <v>与币种相对应金额。</v>
      </c>
      <c r="L1338" s="68" t="str">
        <f>INDEX(数据元说明!A:F,MATCH(I1338,数据元说明!C:C,0),6)</f>
        <v>D20.2</v>
      </c>
      <c r="M1338" s="68" t="s">
        <v>3298</v>
      </c>
      <c r="N1338" s="68" t="s">
        <v>1601</v>
      </c>
      <c r="O1338" s="68"/>
      <c r="P1338" s="68"/>
    </row>
    <row r="1339" ht="39.95" hidden="1" customHeight="1" outlineLevel="1" spans="1:16">
      <c r="A1339" s="63"/>
      <c r="B1339" s="64"/>
      <c r="C1339" s="59" t="s">
        <v>256</v>
      </c>
      <c r="D1339" s="59" t="s">
        <v>3283</v>
      </c>
      <c r="E1339" s="65">
        <v>902</v>
      </c>
      <c r="F1339" s="68" t="s">
        <v>2311</v>
      </c>
      <c r="G1339" s="65">
        <v>90212</v>
      </c>
      <c r="H1339" s="67" t="s">
        <v>3299</v>
      </c>
      <c r="I1339" s="68" t="s">
        <v>345</v>
      </c>
      <c r="J1339" s="68" t="str">
        <f>INDEX(数据元说明!A:F,MATCH(I1339,数据元说明!C:C,0),2)</f>
        <v>001005</v>
      </c>
      <c r="K1339" s="68" t="str">
        <f>INDEX(数据元说明!A:F,MATCH(I1339,数据元说明!C:C,0),5)</f>
        <v>YYYYMMDD，默认值99991231。</v>
      </c>
      <c r="L1339" s="68" t="str">
        <f>INDEX(数据元说明!A:F,MATCH(I1339,数据元说明!C:C,0),6)</f>
        <v>C8</v>
      </c>
      <c r="M1339" s="68" t="s">
        <v>3300</v>
      </c>
      <c r="N1339" s="68" t="s">
        <v>1601</v>
      </c>
      <c r="O1339" s="68"/>
      <c r="P1339" s="68"/>
    </row>
    <row r="1340" ht="39.95" hidden="1" customHeight="1" outlineLevel="1" spans="1:16">
      <c r="A1340" s="63"/>
      <c r="B1340" s="64"/>
      <c r="C1340" s="59" t="s">
        <v>256</v>
      </c>
      <c r="D1340" s="59" t="s">
        <v>3283</v>
      </c>
      <c r="E1340" s="65">
        <v>902</v>
      </c>
      <c r="F1340" s="68" t="s">
        <v>2314</v>
      </c>
      <c r="G1340" s="65">
        <v>90213</v>
      </c>
      <c r="H1340" s="67" t="s">
        <v>3301</v>
      </c>
      <c r="I1340" s="68" t="s">
        <v>345</v>
      </c>
      <c r="J1340" s="68" t="str">
        <f>INDEX(数据元说明!A:F,MATCH(I1340,数据元说明!C:C,0),2)</f>
        <v>001005</v>
      </c>
      <c r="K1340" s="68" t="str">
        <f>INDEX(数据元说明!A:F,MATCH(I1340,数据元说明!C:C,0),5)</f>
        <v>YYYYMMDD，默认值99991231。</v>
      </c>
      <c r="L1340" s="68" t="str">
        <f>INDEX(数据元说明!A:F,MATCH(I1340,数据元说明!C:C,0),6)</f>
        <v>C8</v>
      </c>
      <c r="M1340" s="68" t="s">
        <v>3300</v>
      </c>
      <c r="N1340" s="68" t="s">
        <v>1601</v>
      </c>
      <c r="O1340" s="68"/>
      <c r="P1340" s="68"/>
    </row>
    <row r="1341" ht="39.95" hidden="1" customHeight="1" outlineLevel="1" spans="1:16">
      <c r="A1341" s="63"/>
      <c r="B1341" s="64"/>
      <c r="C1341" s="59" t="s">
        <v>256</v>
      </c>
      <c r="D1341" s="59" t="s">
        <v>3283</v>
      </c>
      <c r="E1341" s="65">
        <v>902</v>
      </c>
      <c r="F1341" s="68" t="s">
        <v>3302</v>
      </c>
      <c r="G1341" s="65">
        <v>90214</v>
      </c>
      <c r="H1341" s="67" t="s">
        <v>3303</v>
      </c>
      <c r="I1341" s="68" t="s">
        <v>488</v>
      </c>
      <c r="J1341" s="68" t="str">
        <f>INDEX(数据元说明!A:F,MATCH(I1341,数据元说明!C:C,0),2)</f>
        <v>002001</v>
      </c>
      <c r="K1341" s="68" t="str">
        <f>INDEX(数据元说明!A:F,MATCH(I1341,数据元说明!C:C,0),5)</f>
        <v>银行自定义的唯一识别客户的标识。供应链融资的填写供应链融资编码。</v>
      </c>
      <c r="L1341" s="68" t="str">
        <f>INDEX(数据元说明!A:F,MATCH(I1341,数据元说明!C:C,0),6)</f>
        <v>C..60</v>
      </c>
      <c r="M1341" s="68" t="s">
        <v>3304</v>
      </c>
      <c r="N1341" s="68" t="s">
        <v>1601</v>
      </c>
      <c r="O1341" s="68"/>
      <c r="P1341" s="68"/>
    </row>
    <row r="1342" ht="39.95" hidden="1" customHeight="1" outlineLevel="1" spans="1:16">
      <c r="A1342" s="63"/>
      <c r="B1342" s="64"/>
      <c r="C1342" s="59" t="s">
        <v>256</v>
      </c>
      <c r="D1342" s="59" t="s">
        <v>3283</v>
      </c>
      <c r="E1342" s="65">
        <v>902</v>
      </c>
      <c r="F1342" s="68" t="s">
        <v>3305</v>
      </c>
      <c r="G1342" s="65">
        <v>90215</v>
      </c>
      <c r="H1342" s="67" t="s">
        <v>3306</v>
      </c>
      <c r="I1342" s="68" t="s">
        <v>325</v>
      </c>
      <c r="J1342" s="68" t="str">
        <f>INDEX(数据元说明!A:F,MATCH(I1342,数据元说明!C:C,0),2)</f>
        <v>001001</v>
      </c>
      <c r="K1342" s="68" t="str">
        <f>INDEX(数据元说明!A:F,MATCH(I1342,数据元说明!C:C,0),5)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42" s="68" t="str">
        <f>INDEX(数据元说明!A:F,MATCH(I1342,数据元说明!C:C,0),6)</f>
        <v>C..450</v>
      </c>
      <c r="M1342" s="68" t="s">
        <v>3307</v>
      </c>
      <c r="N1342" s="68" t="s">
        <v>1601</v>
      </c>
      <c r="O1342" s="68"/>
      <c r="P1342" s="68"/>
    </row>
    <row r="1343" ht="39.95" hidden="1" customHeight="1" outlineLevel="1" spans="1:16">
      <c r="A1343" s="63"/>
      <c r="B1343" s="64"/>
      <c r="C1343" s="59" t="s">
        <v>256</v>
      </c>
      <c r="D1343" s="59" t="s">
        <v>3283</v>
      </c>
      <c r="E1343" s="65">
        <v>902</v>
      </c>
      <c r="F1343" s="68" t="s">
        <v>3308</v>
      </c>
      <c r="G1343" s="65">
        <v>90216</v>
      </c>
      <c r="H1343" s="67" t="s">
        <v>3309</v>
      </c>
      <c r="I1343" s="68" t="s">
        <v>1148</v>
      </c>
      <c r="J1343" s="145" t="str">
        <f>INDEX(数据元说明!A:F,MATCH(I1343,数据元说明!C:C,0),2)</f>
        <v>010005</v>
      </c>
      <c r="K1343" s="68" t="str">
        <f>INDEX(数据元说明!A:F,MATCH(I1343,数据元说明!C:C,0),5)</f>
        <v>《GB/T 2659 世界各国和地区名称代码》定义的三字符代码，如CHN。</v>
      </c>
      <c r="L1343" s="68" t="str">
        <f>INDEX(数据元说明!A:F,MATCH(I1343,数据元说明!C:C,0),6)</f>
        <v>C3</v>
      </c>
      <c r="M1343" s="68" t="s">
        <v>3310</v>
      </c>
      <c r="N1343" s="68" t="s">
        <v>1601</v>
      </c>
      <c r="O1343" s="68"/>
      <c r="P1343" s="68"/>
    </row>
    <row r="1344" ht="39.95" hidden="1" customHeight="1" outlineLevel="1" spans="1:16">
      <c r="A1344" s="63"/>
      <c r="B1344" s="64"/>
      <c r="C1344" s="59" t="s">
        <v>256</v>
      </c>
      <c r="D1344" s="59" t="s">
        <v>3283</v>
      </c>
      <c r="E1344" s="65">
        <v>902</v>
      </c>
      <c r="F1344" s="68" t="s">
        <v>3311</v>
      </c>
      <c r="G1344" s="65">
        <v>90217</v>
      </c>
      <c r="H1344" s="67" t="s">
        <v>3312</v>
      </c>
      <c r="I1344" s="68" t="s">
        <v>325</v>
      </c>
      <c r="J1344" s="68" t="str">
        <f>INDEX(数据元说明!A:F,MATCH(I1344,数据元说明!C:C,0),2)</f>
        <v>001001</v>
      </c>
      <c r="K1344" s="68" t="str">
        <f>INDEX(数据元说明!A:F,MATCH(I1344,数据元说明!C:C,0),5)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44" s="68" t="str">
        <f>INDEX(数据元说明!A:F,MATCH(I1344,数据元说明!C:C,0),6)</f>
        <v>C..450</v>
      </c>
      <c r="M1344" s="68" t="s">
        <v>3313</v>
      </c>
      <c r="N1344" s="68" t="s">
        <v>1601</v>
      </c>
      <c r="O1344" s="68"/>
      <c r="P1344" s="68"/>
    </row>
    <row r="1345" ht="39.95" hidden="1" customHeight="1" outlineLevel="1" spans="1:16">
      <c r="A1345" s="63"/>
      <c r="B1345" s="64"/>
      <c r="C1345" s="59" t="s">
        <v>256</v>
      </c>
      <c r="D1345" s="59" t="s">
        <v>3283</v>
      </c>
      <c r="E1345" s="65">
        <v>902</v>
      </c>
      <c r="F1345" s="68" t="s">
        <v>3314</v>
      </c>
      <c r="G1345" s="65">
        <v>90218</v>
      </c>
      <c r="H1345" s="67" t="s">
        <v>3315</v>
      </c>
      <c r="I1345" s="68" t="s">
        <v>1148</v>
      </c>
      <c r="J1345" s="145" t="str">
        <f>INDEX(数据元说明!A:F,MATCH(I1345,数据元说明!C:C,0),2)</f>
        <v>010005</v>
      </c>
      <c r="K1345" s="68" t="str">
        <f>INDEX(数据元说明!A:F,MATCH(I1345,数据元说明!C:C,0),5)</f>
        <v>《GB/T 2659 世界各国和地区名称代码》定义的三字符代码，如CHN。</v>
      </c>
      <c r="L1345" s="68" t="str">
        <f>INDEX(数据元说明!A:F,MATCH(I1345,数据元说明!C:C,0),6)</f>
        <v>C3</v>
      </c>
      <c r="M1345" s="68" t="s">
        <v>3316</v>
      </c>
      <c r="N1345" s="68" t="s">
        <v>1601</v>
      </c>
      <c r="O1345" s="68"/>
      <c r="P1345" s="68"/>
    </row>
    <row r="1346" ht="39.95" hidden="1" customHeight="1" outlineLevel="1" spans="1:16">
      <c r="A1346" s="70"/>
      <c r="B1346" s="71"/>
      <c r="C1346" s="59" t="s">
        <v>256</v>
      </c>
      <c r="D1346" s="59" t="s">
        <v>3283</v>
      </c>
      <c r="E1346" s="65">
        <v>902</v>
      </c>
      <c r="F1346" s="67" t="s">
        <v>3317</v>
      </c>
      <c r="G1346" s="65">
        <v>90219</v>
      </c>
      <c r="H1346" s="67" t="s">
        <v>3318</v>
      </c>
      <c r="I1346" s="67" t="s">
        <v>704</v>
      </c>
      <c r="J1346" s="67" t="str">
        <f>INDEX(数据元说明!A:F,MATCH(I1346,数据元说明!C:C,0),2)</f>
        <v>003025</v>
      </c>
      <c r="K1346" s="68" t="str">
        <f>INDEX(数据元说明!A:F,MATCH(I1346,数据元说明!C:C,0),5)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346" s="67" t="str">
        <f>INDEX(数据元说明!A:F,MATCH(I1346,数据元说明!C:C,0),6)</f>
        <v>C..60</v>
      </c>
      <c r="M1346" s="68" t="s">
        <v>3319</v>
      </c>
      <c r="N1346" s="68" t="s">
        <v>1583</v>
      </c>
      <c r="O1346" s="68"/>
      <c r="P1346" s="68" t="s">
        <v>1648</v>
      </c>
    </row>
    <row r="1347" ht="39.95" hidden="1" customHeight="1" outlineLevel="1" spans="1:16">
      <c r="A1347" s="70"/>
      <c r="B1347" s="71"/>
      <c r="C1347" s="59" t="s">
        <v>256</v>
      </c>
      <c r="D1347" s="59" t="s">
        <v>3283</v>
      </c>
      <c r="E1347" s="65">
        <v>902</v>
      </c>
      <c r="F1347" s="67" t="s">
        <v>3320</v>
      </c>
      <c r="G1347" s="65">
        <v>90220</v>
      </c>
      <c r="H1347" s="67" t="s">
        <v>3321</v>
      </c>
      <c r="I1347" s="67" t="s">
        <v>325</v>
      </c>
      <c r="J1347" s="67" t="str">
        <f>INDEX(数据元说明!A:F,MATCH(I1347,数据元说明!C:C,0),2)</f>
        <v>001001</v>
      </c>
      <c r="K1347" s="68" t="str">
        <f>INDEX(数据元说明!A:F,MATCH(I1347,数据元说明!C:C,0),5)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47" s="67" t="str">
        <f>INDEX(数据元说明!A:F,MATCH(I1347,数据元说明!C:C,0),6)</f>
        <v>C..450</v>
      </c>
      <c r="M1347" s="68" t="s">
        <v>3322</v>
      </c>
      <c r="N1347" s="68" t="s">
        <v>1601</v>
      </c>
      <c r="O1347" s="68"/>
      <c r="P1347" s="68"/>
    </row>
    <row r="1348" ht="39.95" hidden="1" customHeight="1" outlineLevel="1" spans="1:16">
      <c r="A1348" s="63"/>
      <c r="B1348" s="64"/>
      <c r="C1348" s="59" t="s">
        <v>256</v>
      </c>
      <c r="D1348" s="59" t="s">
        <v>3283</v>
      </c>
      <c r="E1348" s="65">
        <v>902</v>
      </c>
      <c r="F1348" s="68" t="s">
        <v>3323</v>
      </c>
      <c r="G1348" s="65">
        <v>90221</v>
      </c>
      <c r="H1348" s="67" t="s">
        <v>3324</v>
      </c>
      <c r="I1348" s="68" t="s">
        <v>1313</v>
      </c>
      <c r="J1348" s="145" t="str">
        <f>INDEX(数据元说明!A:F,MATCH(I1348,数据元说明!C:C,0),2)</f>
        <v>010046</v>
      </c>
      <c r="K1348" s="68" t="str">
        <f>INDEX(数据元说明!A:F,MATCH(I1348,数据元说明!C:C,0),5)</f>
        <v>以天为单位计的时间长度。</v>
      </c>
      <c r="L1348" s="68" t="str">
        <f>INDEX(数据元说明!A:F,MATCH(I1348,数据元说明!C:C,0),6)</f>
        <v>I</v>
      </c>
      <c r="M1348" s="68" t="s">
        <v>3325</v>
      </c>
      <c r="N1348" s="68" t="s">
        <v>1601</v>
      </c>
      <c r="O1348" s="68"/>
      <c r="P1348" s="68"/>
    </row>
    <row r="1349" ht="39.95" hidden="1" customHeight="1" outlineLevel="1" spans="1:16">
      <c r="A1349" s="63"/>
      <c r="B1349" s="64"/>
      <c r="C1349" s="59" t="s">
        <v>256</v>
      </c>
      <c r="D1349" s="59" t="s">
        <v>3283</v>
      </c>
      <c r="E1349" s="65">
        <v>902</v>
      </c>
      <c r="F1349" s="68" t="s">
        <v>3326</v>
      </c>
      <c r="G1349" s="65">
        <v>90222</v>
      </c>
      <c r="H1349" s="67" t="s">
        <v>3327</v>
      </c>
      <c r="I1349" s="68" t="s">
        <v>484</v>
      </c>
      <c r="J1349" s="68" t="str">
        <f>INDEX(数据元说明!A:F,MATCH(I1349,数据元说明!C:C,0),2)</f>
        <v>001038</v>
      </c>
      <c r="K1349" s="68" t="str">
        <f>INDEX(数据元说明!A:F,MATCH(I1349,数据元说明!C:C,0),5)</f>
        <v>银行自定义。</v>
      </c>
      <c r="L1349" s="68" t="str">
        <f>INDEX(数据元说明!A:F,MATCH(I1349,数据元说明!C:C,0),6)</f>
        <v>C..600</v>
      </c>
      <c r="M1349" s="68" t="s">
        <v>3328</v>
      </c>
      <c r="N1349" s="68" t="s">
        <v>1601</v>
      </c>
      <c r="O1349" s="68"/>
      <c r="P1349" s="68"/>
    </row>
    <row r="1350" ht="39.95" hidden="1" customHeight="1" outlineLevel="1" spans="1:16">
      <c r="A1350" s="63"/>
      <c r="B1350" s="64"/>
      <c r="C1350" s="59" t="s">
        <v>256</v>
      </c>
      <c r="D1350" s="59" t="s">
        <v>3283</v>
      </c>
      <c r="E1350" s="65">
        <v>902</v>
      </c>
      <c r="F1350" s="68" t="s">
        <v>2689</v>
      </c>
      <c r="G1350" s="65">
        <v>90223</v>
      </c>
      <c r="H1350" s="67" t="s">
        <v>2690</v>
      </c>
      <c r="I1350" s="68" t="s">
        <v>642</v>
      </c>
      <c r="J1350" s="68" t="str">
        <f>INDEX(数据元说明!A:F,MATCH(I1350,数据元说明!C:C,0),2)</f>
        <v>003010</v>
      </c>
      <c r="K1350" s="68" t="str">
        <f>INDEX(数据元说明!A:F,MATCH(I1350,数据元说明!C:C,0),5)</f>
        <v>遵循《GB/T 12406 表示货币和资金的代码》的字母代码，如CNY。上述文件所列币种无法涵盖的，允许银行自定义填报。多个币种合计折算为人民币（本外币合计）的，填报为BWB。</v>
      </c>
      <c r="L1350" s="68" t="str">
        <f>INDEX(数据元说明!A:F,MATCH(I1350,数据元说明!C:C,0),6)</f>
        <v>C3</v>
      </c>
      <c r="M1350" s="68" t="s">
        <v>3329</v>
      </c>
      <c r="N1350" s="68"/>
      <c r="O1350" s="68"/>
      <c r="P1350" s="68"/>
    </row>
    <row r="1351" ht="39.95" hidden="1" customHeight="1" outlineLevel="1" spans="1:16">
      <c r="A1351" s="63"/>
      <c r="B1351" s="64"/>
      <c r="C1351" s="59" t="s">
        <v>256</v>
      </c>
      <c r="D1351" s="59" t="s">
        <v>3283</v>
      </c>
      <c r="E1351" s="65">
        <v>902</v>
      </c>
      <c r="F1351" s="67" t="s">
        <v>2692</v>
      </c>
      <c r="G1351" s="65">
        <v>90224</v>
      </c>
      <c r="H1351" s="67" t="s">
        <v>2693</v>
      </c>
      <c r="I1351" s="67" t="s">
        <v>634</v>
      </c>
      <c r="J1351" s="68" t="str">
        <f>INDEX(数据元说明!A:F,MATCH(I1351,数据元说明!C:C,0),2)</f>
        <v>003008</v>
      </c>
      <c r="K1351" s="68" t="str">
        <f>INDEX(数据元说明!A:F,MATCH(I1351,数据元说明!C:C,0),5)</f>
        <v>与币种相对应金额。</v>
      </c>
      <c r="L1351" s="68" t="str">
        <f>INDEX(数据元说明!A:F,MATCH(I1351,数据元说明!C:C,0),6)</f>
        <v>D20.2</v>
      </c>
      <c r="M1351" s="68" t="s">
        <v>2694</v>
      </c>
      <c r="N1351" s="68" t="s">
        <v>1601</v>
      </c>
      <c r="O1351" s="68"/>
      <c r="P1351" s="68"/>
    </row>
    <row r="1352" ht="39.95" hidden="1" customHeight="1" outlineLevel="1" spans="1:16">
      <c r="A1352" s="63"/>
      <c r="B1352" s="64"/>
      <c r="C1352" s="59" t="s">
        <v>256</v>
      </c>
      <c r="D1352" s="59" t="s">
        <v>3283</v>
      </c>
      <c r="E1352" s="65">
        <v>902</v>
      </c>
      <c r="F1352" s="67" t="s">
        <v>2695</v>
      </c>
      <c r="G1352" s="65">
        <v>90225</v>
      </c>
      <c r="H1352" s="67" t="s">
        <v>2696</v>
      </c>
      <c r="I1352" s="67" t="s">
        <v>335</v>
      </c>
      <c r="J1352" s="68" t="str">
        <f>INDEX(数据元说明!A:F,MATCH(I1352,数据元说明!C:C,0),2)</f>
        <v>001003</v>
      </c>
      <c r="K1352" s="68" t="str">
        <f>INDEX(数据元说明!A:F,MATCH(I1352,数据元说明!C:C,0),5)</f>
        <v>百分比为单位，即1/100，保留两位小数。如4.5%则填报为4.50。</v>
      </c>
      <c r="L1352" s="68" t="str">
        <f>INDEX(数据元说明!A:F,MATCH(I1352,数据元说明!C:C,0),6)</f>
        <v>D20.2</v>
      </c>
      <c r="M1352" s="69" t="s">
        <v>3278</v>
      </c>
      <c r="N1352" s="68" t="s">
        <v>1601</v>
      </c>
      <c r="O1352" s="68"/>
      <c r="P1352" s="68"/>
    </row>
    <row r="1353" ht="39.95" hidden="1" customHeight="1" outlineLevel="1" spans="1:16">
      <c r="A1353" s="63"/>
      <c r="B1353" s="64"/>
      <c r="C1353" s="59" t="s">
        <v>256</v>
      </c>
      <c r="D1353" s="59" t="s">
        <v>3283</v>
      </c>
      <c r="E1353" s="65">
        <v>902</v>
      </c>
      <c r="F1353" s="67" t="s">
        <v>2698</v>
      </c>
      <c r="G1353" s="65">
        <v>90226</v>
      </c>
      <c r="H1353" s="67" t="s">
        <v>2699</v>
      </c>
      <c r="I1353" s="67" t="s">
        <v>642</v>
      </c>
      <c r="J1353" s="68" t="str">
        <f>INDEX(数据元说明!A:F,MATCH(I1353,数据元说明!C:C,0),2)</f>
        <v>003010</v>
      </c>
      <c r="K1353" s="68" t="str">
        <f>INDEX(数据元说明!A:F,MATCH(I1353,数据元说明!C:C,0),5)</f>
        <v>遵循《GB/T 12406 表示货币和资金的代码》的字母代码，如CNY。上述文件所列币种无法涵盖的，允许银行自定义填报。多个币种合计折算为人民币（本外币合计）的，填报为BWB。</v>
      </c>
      <c r="L1353" s="68" t="str">
        <f>INDEX(数据元说明!A:F,MATCH(I1353,数据元说明!C:C,0),6)</f>
        <v>C3</v>
      </c>
      <c r="M1353" s="68" t="s">
        <v>3279</v>
      </c>
      <c r="N1353" s="68" t="s">
        <v>1601</v>
      </c>
      <c r="O1353" s="68"/>
      <c r="P1353" s="68"/>
    </row>
    <row r="1354" ht="39.95" hidden="1" customHeight="1" outlineLevel="1" spans="1:16">
      <c r="A1354" s="63"/>
      <c r="B1354" s="64"/>
      <c r="C1354" s="59" t="s">
        <v>256</v>
      </c>
      <c r="D1354" s="59" t="s">
        <v>3283</v>
      </c>
      <c r="E1354" s="65">
        <v>902</v>
      </c>
      <c r="F1354" s="67" t="s">
        <v>2701</v>
      </c>
      <c r="G1354" s="65">
        <v>90227</v>
      </c>
      <c r="H1354" s="67" t="s">
        <v>2702</v>
      </c>
      <c r="I1354" s="67" t="s">
        <v>634</v>
      </c>
      <c r="J1354" s="68" t="str">
        <f>INDEX(数据元说明!A:F,MATCH(I1354,数据元说明!C:C,0),2)</f>
        <v>003008</v>
      </c>
      <c r="K1354" s="68" t="str">
        <f>INDEX(数据元说明!A:F,MATCH(I1354,数据元说明!C:C,0),5)</f>
        <v>与币种相对应金额。</v>
      </c>
      <c r="L1354" s="68" t="str">
        <f>INDEX(数据元说明!A:F,MATCH(I1354,数据元说明!C:C,0),6)</f>
        <v>D20.2</v>
      </c>
      <c r="M1354" s="68" t="s">
        <v>3280</v>
      </c>
      <c r="N1354" s="68" t="s">
        <v>1601</v>
      </c>
      <c r="O1354" s="68"/>
      <c r="P1354" s="68"/>
    </row>
    <row r="1355" ht="39.95" hidden="1" customHeight="1" outlineLevel="1" spans="1:16">
      <c r="A1355" s="63"/>
      <c r="B1355" s="64"/>
      <c r="C1355" s="59" t="s">
        <v>256</v>
      </c>
      <c r="D1355" s="59" t="s">
        <v>3283</v>
      </c>
      <c r="E1355" s="65">
        <v>902</v>
      </c>
      <c r="F1355" s="68" t="s">
        <v>908</v>
      </c>
      <c r="G1355" s="65">
        <v>90228</v>
      </c>
      <c r="H1355" s="68" t="s">
        <v>2324</v>
      </c>
      <c r="I1355" s="68" t="s">
        <v>920</v>
      </c>
      <c r="J1355" s="68" t="str">
        <f>INDEX(数据元说明!A:F,MATCH(I1355,数据元说明!C:C,0),2)</f>
        <v>005045</v>
      </c>
      <c r="K1355" s="68" t="str">
        <f>INDEX(数据元说明!A:F,MATCH(I1355,数据元说明!C:C,0),5)</f>
        <v>未生效，正常，失效，垫款，撤销，终结，其他-银行自定义。无法以枚举类型填报的，以“其他-XX”填报，其中“XX”为银行自定义状态。</v>
      </c>
      <c r="L1355" s="68" t="str">
        <f>INDEX(数据元说明!A:F,MATCH(I1355,数据元说明!C:C,0),6)</f>
        <v>C..60</v>
      </c>
      <c r="M1355" s="68"/>
      <c r="N1355" s="68" t="s">
        <v>1601</v>
      </c>
      <c r="O1355" s="68"/>
      <c r="P1355" s="68"/>
    </row>
    <row r="1356" ht="39.95" hidden="1" customHeight="1" outlineLevel="1" spans="1:16">
      <c r="A1356" s="63"/>
      <c r="B1356" s="64"/>
      <c r="C1356" s="59" t="s">
        <v>256</v>
      </c>
      <c r="D1356" s="59" t="s">
        <v>3283</v>
      </c>
      <c r="E1356" s="65">
        <v>902</v>
      </c>
      <c r="F1356" s="68" t="s">
        <v>2814</v>
      </c>
      <c r="G1356" s="65">
        <v>90229</v>
      </c>
      <c r="H1356" s="67" t="s">
        <v>3281</v>
      </c>
      <c r="I1356" s="68" t="s">
        <v>389</v>
      </c>
      <c r="J1356" s="68" t="str">
        <f>INDEX(数据元说明!A:F,MATCH(I1356,数据元说明!C:C,0),2)</f>
        <v>001015</v>
      </c>
      <c r="K1356" s="68" t="str">
        <f>INDEX(数据元说明!A:F,MATCH(I1356,数据元说明!C:C,0),5)</f>
        <v>工号，银行自定义。</v>
      </c>
      <c r="L1356" s="68" t="str">
        <f>INDEX(数据元说明!A:F,MATCH(I1356,数据元说明!C:C,0),6)</f>
        <v>C..30</v>
      </c>
      <c r="M1356" s="68" t="s">
        <v>3282</v>
      </c>
      <c r="N1356" s="68" t="s">
        <v>1601</v>
      </c>
      <c r="O1356" s="68"/>
      <c r="P1356" s="68"/>
    </row>
    <row r="1357" ht="39.95" hidden="1" customHeight="1" outlineLevel="1" spans="1:16">
      <c r="A1357" s="63"/>
      <c r="B1357" s="64"/>
      <c r="C1357" s="59" t="s">
        <v>256</v>
      </c>
      <c r="D1357" s="59" t="s">
        <v>3283</v>
      </c>
      <c r="E1357" s="65">
        <v>902</v>
      </c>
      <c r="F1357" s="67" t="s">
        <v>484</v>
      </c>
      <c r="G1357" s="65">
        <v>90230</v>
      </c>
      <c r="H1357" s="67" t="s">
        <v>1623</v>
      </c>
      <c r="I1357" s="67" t="s">
        <v>484</v>
      </c>
      <c r="J1357" s="67" t="str">
        <f>INDEX(数据元说明!A:F,MATCH(I1357,数据元说明!C:C,0),2)</f>
        <v>001038</v>
      </c>
      <c r="K1357" s="68" t="str">
        <f>INDEX(数据元说明!A:F,MATCH(I1357,数据元说明!C:C,0),5)</f>
        <v>银行自定义。</v>
      </c>
      <c r="L1357" s="67" t="str">
        <f>INDEX(数据元说明!A:F,MATCH(I1357,数据元说明!C:C,0),6)</f>
        <v>C..600</v>
      </c>
      <c r="M1357" s="68" t="s">
        <v>1624</v>
      </c>
      <c r="N1357" s="68" t="s">
        <v>1601</v>
      </c>
      <c r="O1357" s="68"/>
      <c r="P1357" s="68"/>
    </row>
    <row r="1358" ht="39.95" hidden="1" customHeight="1" outlineLevel="1" spans="1:16">
      <c r="A1358" s="63"/>
      <c r="B1358" s="64"/>
      <c r="C1358" s="59" t="s">
        <v>256</v>
      </c>
      <c r="D1358" s="59" t="s">
        <v>3283</v>
      </c>
      <c r="E1358" s="65">
        <v>902</v>
      </c>
      <c r="F1358" s="68" t="s">
        <v>1625</v>
      </c>
      <c r="G1358" s="65">
        <v>90231</v>
      </c>
      <c r="H1358" s="67" t="s">
        <v>1626</v>
      </c>
      <c r="I1358" s="68" t="s">
        <v>345</v>
      </c>
      <c r="J1358" s="68" t="str">
        <f>INDEX(数据元说明!A:F,MATCH(I1358,数据元说明!C:C,0),2)</f>
        <v>001005</v>
      </c>
      <c r="K1358" s="68" t="str">
        <f>INDEX(数据元说明!A:F,MATCH(I1358,数据元说明!C:C,0),5)</f>
        <v>YYYYMMDD，默认值99991231。</v>
      </c>
      <c r="L1358" s="68" t="str">
        <f>INDEX(数据元说明!A:F,MATCH(I1358,数据元说明!C:C,0),6)</f>
        <v>C8</v>
      </c>
      <c r="M1358" s="68" t="s">
        <v>1627</v>
      </c>
      <c r="N1358" s="68" t="s">
        <v>1601</v>
      </c>
      <c r="O1358" s="68"/>
      <c r="P1358" s="68"/>
    </row>
    <row r="1359" ht="39.95" hidden="1" customHeight="1" collapsed="1" spans="1:16">
      <c r="A1359" s="70"/>
      <c r="B1359" s="71"/>
      <c r="C1359" s="59" t="s">
        <v>259</v>
      </c>
      <c r="D1359" s="59" t="s">
        <v>3330</v>
      </c>
      <c r="E1359" s="65">
        <v>903</v>
      </c>
      <c r="F1359" s="67"/>
      <c r="G1359" s="65"/>
      <c r="H1359" s="67"/>
      <c r="I1359" s="67"/>
      <c r="J1359" s="67"/>
      <c r="K1359" s="68"/>
      <c r="L1359" s="67"/>
      <c r="M1359" s="68" t="str">
        <f>INDEX(表结构总览!D:G,MATCH(D1359,表结构总览!D:D,0),4)</f>
        <v>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v>
      </c>
      <c r="N1359" s="68" t="s">
        <v>1601</v>
      </c>
      <c r="O1359" s="68"/>
      <c r="P1359" s="68"/>
    </row>
    <row r="1360" ht="39.95" hidden="1" customHeight="1" outlineLevel="1" spans="1:16">
      <c r="A1360" s="63"/>
      <c r="B1360" s="64"/>
      <c r="C1360" s="59" t="s">
        <v>259</v>
      </c>
      <c r="D1360" s="59" t="s">
        <v>3330</v>
      </c>
      <c r="E1360" s="65">
        <v>903</v>
      </c>
      <c r="F1360" s="67" t="s">
        <v>373</v>
      </c>
      <c r="G1360" s="65">
        <v>90301</v>
      </c>
      <c r="H1360" s="67" t="s">
        <v>1588</v>
      </c>
      <c r="I1360" s="67" t="s">
        <v>373</v>
      </c>
      <c r="J1360" s="67" t="str">
        <f>INDEX(数据元说明!A:F,MATCH(I1360,数据元说明!C:C,0),2)</f>
        <v>001011</v>
      </c>
      <c r="K1360" s="68" t="str">
        <f>INDEX(数据元说明!A:F,MATCH(I1360,数据元说明!C:C,0),5)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60" s="67" t="str">
        <f>INDEX(数据元说明!A:F,MATCH(I1360,数据元说明!C:C,0),6)</f>
        <v>C..30</v>
      </c>
      <c r="M1360" s="68" t="s">
        <v>3284</v>
      </c>
      <c r="N1360" s="68" t="s">
        <v>1601</v>
      </c>
      <c r="O1360" s="68"/>
      <c r="P1360" s="68"/>
    </row>
    <row r="1361" ht="39.95" hidden="1" customHeight="1" outlineLevel="1" spans="1:16">
      <c r="A1361" s="63"/>
      <c r="B1361" s="64"/>
      <c r="C1361" s="59" t="s">
        <v>259</v>
      </c>
      <c r="D1361" s="59" t="s">
        <v>3330</v>
      </c>
      <c r="E1361" s="65">
        <v>903</v>
      </c>
      <c r="F1361" s="68" t="s">
        <v>377</v>
      </c>
      <c r="G1361" s="65">
        <v>90302</v>
      </c>
      <c r="H1361" s="67" t="s">
        <v>1586</v>
      </c>
      <c r="I1361" s="68" t="s">
        <v>377</v>
      </c>
      <c r="J1361" s="68" t="str">
        <f>INDEX(数据元说明!A:F,MATCH(I1361,数据元说明!C:C,0),2)</f>
        <v>001012</v>
      </c>
      <c r="K1361" s="68" t="str">
        <f>INDEX(数据元说明!A:F,MATCH(I1361,数据元说明!C:C,0),5)</f>
        <v>银行内部机构号。应具有标识机构的唯一性。</v>
      </c>
      <c r="L1361" s="68" t="str">
        <f>INDEX(数据元说明!A:F,MATCH(I1361,数据元说明!C:C,0),6)</f>
        <v>C..30</v>
      </c>
      <c r="M1361" s="68" t="s">
        <v>3285</v>
      </c>
      <c r="N1361" s="68" t="s">
        <v>1601</v>
      </c>
      <c r="O1361" s="68"/>
      <c r="P1361" s="68"/>
    </row>
    <row r="1362" ht="39.95" hidden="1" customHeight="1" outlineLevel="1" spans="1:16">
      <c r="A1362" s="63"/>
      <c r="B1362" s="64"/>
      <c r="C1362" s="59" t="s">
        <v>259</v>
      </c>
      <c r="D1362" s="59" t="s">
        <v>3330</v>
      </c>
      <c r="E1362" s="65">
        <v>903</v>
      </c>
      <c r="F1362" s="68" t="s">
        <v>1592</v>
      </c>
      <c r="G1362" s="65">
        <v>90303</v>
      </c>
      <c r="H1362" s="68" t="s">
        <v>1593</v>
      </c>
      <c r="I1362" s="68" t="s">
        <v>325</v>
      </c>
      <c r="J1362" s="68" t="str">
        <f>INDEX(数据元说明!A:F,MATCH(I1362,数据元说明!C:C,0),2)</f>
        <v>001001</v>
      </c>
      <c r="K1362" s="68" t="str">
        <f>INDEX(数据元说明!A:F,MATCH(I1362,数据元说明!C:C,0),5)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62" s="68" t="str">
        <f>INDEX(数据元说明!A:F,MATCH(I1362,数据元说明!C:C,0),6)</f>
        <v>C..450</v>
      </c>
      <c r="M1362" s="68" t="s">
        <v>3286</v>
      </c>
      <c r="N1362" s="68" t="s">
        <v>1601</v>
      </c>
      <c r="O1362" s="68"/>
      <c r="P1362" s="68"/>
    </row>
    <row r="1363" ht="39.95" hidden="1" customHeight="1" outlineLevel="1" spans="1:16">
      <c r="A1363" s="63"/>
      <c r="B1363" s="64"/>
      <c r="C1363" s="59" t="s">
        <v>259</v>
      </c>
      <c r="D1363" s="59" t="s">
        <v>3330</v>
      </c>
      <c r="E1363" s="65">
        <v>903</v>
      </c>
      <c r="F1363" s="68" t="s">
        <v>3290</v>
      </c>
      <c r="G1363" s="65">
        <v>90304</v>
      </c>
      <c r="H1363" s="68" t="s">
        <v>3291</v>
      </c>
      <c r="I1363" s="68" t="s">
        <v>928</v>
      </c>
      <c r="J1363" s="68" t="str">
        <f>INDEX(数据元说明!A:F,MATCH(I1363,数据元说明!C:C,0),2)</f>
        <v>005047</v>
      </c>
      <c r="K1363" s="68" t="str">
        <f>INDEX(数据元说明!A:F,MATCH(I1363,数据元说明!C:C,0),5)</f>
        <v>承兑汇票，保函，信用证，其他-银行自定义。无法以枚举类型填报的，以“其他-XX”填报，其中“XX”为银行自定义业务种类。</v>
      </c>
      <c r="L1363" s="68" t="str">
        <f>INDEX(数据元说明!A:F,MATCH(I1363,数据元说明!C:C,0),6)</f>
        <v>C..30</v>
      </c>
      <c r="M1363" s="68"/>
      <c r="N1363" s="68" t="s">
        <v>1601</v>
      </c>
      <c r="O1363" s="68"/>
      <c r="P1363" s="68"/>
    </row>
    <row r="1364" ht="39.95" hidden="1" customHeight="1" outlineLevel="1" spans="1:16">
      <c r="A1364" s="63"/>
      <c r="B1364" s="64"/>
      <c r="C1364" s="59" t="s">
        <v>259</v>
      </c>
      <c r="D1364" s="59" t="s">
        <v>3330</v>
      </c>
      <c r="E1364" s="65">
        <v>903</v>
      </c>
      <c r="F1364" s="68" t="s">
        <v>687</v>
      </c>
      <c r="G1364" s="65">
        <v>90305</v>
      </c>
      <c r="H1364" s="68" t="s">
        <v>3331</v>
      </c>
      <c r="I1364" s="68" t="s">
        <v>683</v>
      </c>
      <c r="J1364" s="68" t="str">
        <f>INDEX(数据元说明!A:F,MATCH(I1364,数据元说明!C:C,0),2)</f>
        <v>003020</v>
      </c>
      <c r="K1364" s="68" t="str">
        <f>INDEX(数据元说明!A:F,MATCH(I1364,数据元说明!C:C,0),5)</f>
        <v>合同号。</v>
      </c>
      <c r="L1364" s="68" t="str">
        <f>INDEX(数据元说明!A:F,MATCH(I1364,数据元说明!C:C,0),6)</f>
        <v>C..100</v>
      </c>
      <c r="M1364" s="68" t="s">
        <v>3332</v>
      </c>
      <c r="N1364" s="68" t="s">
        <v>1601</v>
      </c>
      <c r="O1364" s="68"/>
      <c r="P1364" s="68"/>
    </row>
    <row r="1365" ht="39.95" hidden="1" customHeight="1" outlineLevel="1" spans="1:16">
      <c r="A1365" s="63"/>
      <c r="B1365" s="64"/>
      <c r="C1365" s="59" t="s">
        <v>259</v>
      </c>
      <c r="D1365" s="59" t="s">
        <v>3330</v>
      </c>
      <c r="E1365" s="65">
        <v>903</v>
      </c>
      <c r="F1365" s="68" t="s">
        <v>642</v>
      </c>
      <c r="G1365" s="65">
        <v>90306</v>
      </c>
      <c r="H1365" s="68" t="s">
        <v>1914</v>
      </c>
      <c r="I1365" s="68" t="s">
        <v>642</v>
      </c>
      <c r="J1365" s="68" t="str">
        <f>INDEX(数据元说明!A:F,MATCH(I1365,数据元说明!C:C,0),2)</f>
        <v>003010</v>
      </c>
      <c r="K1365" s="68" t="str">
        <f>INDEX(数据元说明!A:F,MATCH(I1365,数据元说明!C:C,0),5)</f>
        <v>遵循《GB/T 12406 表示货币和资金的代码》的字母代码，如CNY。上述文件所列币种无法涵盖的，允许银行自定义填报。多个币种合计折算为人民币（本外币合计）的，填报为BWB。</v>
      </c>
      <c r="L1365" s="68" t="str">
        <f>INDEX(数据元说明!A:F,MATCH(I1365,数据元说明!C:C,0),6)</f>
        <v>C3</v>
      </c>
      <c r="M1365" s="68"/>
      <c r="N1365" s="68" t="s">
        <v>1601</v>
      </c>
      <c r="O1365" s="68"/>
      <c r="P1365" s="68"/>
    </row>
    <row r="1366" ht="39.95" hidden="1" customHeight="1" outlineLevel="1" spans="1:16">
      <c r="A1366" s="63"/>
      <c r="B1366" s="64"/>
      <c r="C1366" s="59" t="s">
        <v>259</v>
      </c>
      <c r="D1366" s="59" t="s">
        <v>3330</v>
      </c>
      <c r="E1366" s="65">
        <v>903</v>
      </c>
      <c r="F1366" s="68" t="s">
        <v>2309</v>
      </c>
      <c r="G1366" s="65">
        <v>90307</v>
      </c>
      <c r="H1366" s="68" t="s">
        <v>2310</v>
      </c>
      <c r="I1366" s="68" t="s">
        <v>634</v>
      </c>
      <c r="J1366" s="68" t="str">
        <f>INDEX(数据元说明!A:F,MATCH(I1366,数据元说明!C:C,0),2)</f>
        <v>003008</v>
      </c>
      <c r="K1366" s="68" t="str">
        <f>INDEX(数据元说明!A:F,MATCH(I1366,数据元说明!C:C,0),5)</f>
        <v>与币种相对应金额。</v>
      </c>
      <c r="L1366" s="68" t="str">
        <f>INDEX(数据元说明!A:F,MATCH(I1366,数据元说明!C:C,0),6)</f>
        <v>D20.2</v>
      </c>
      <c r="M1366" s="68" t="s">
        <v>3333</v>
      </c>
      <c r="N1366" s="68" t="s">
        <v>1601</v>
      </c>
      <c r="O1366" s="68"/>
      <c r="P1366" s="68"/>
    </row>
    <row r="1367" ht="39.95" hidden="1" customHeight="1" outlineLevel="1" spans="1:16">
      <c r="A1367" s="70"/>
      <c r="B1367" s="71"/>
      <c r="C1367" s="59" t="s">
        <v>259</v>
      </c>
      <c r="D1367" s="59" t="s">
        <v>3330</v>
      </c>
      <c r="E1367" s="65">
        <v>903</v>
      </c>
      <c r="F1367" s="67" t="s">
        <v>812</v>
      </c>
      <c r="G1367" s="65">
        <v>90308</v>
      </c>
      <c r="H1367" s="67" t="s">
        <v>3334</v>
      </c>
      <c r="I1367" s="67" t="s">
        <v>812</v>
      </c>
      <c r="J1367" s="67" t="str">
        <f>INDEX(数据元说明!A:F,MATCH(I1367,数据元说明!C:C,0),2)</f>
        <v>005018</v>
      </c>
      <c r="K1367" s="68" t="str">
        <f>INDEX(数据元说明!A:F,MATCH(I1367,数据元说明!C:C,0),5)</f>
        <v>贸易背景真实性审查收集的单据编号，没有编号的单据由银行自定义一个唯一识别单据的编号。</v>
      </c>
      <c r="L1367" s="67" t="str">
        <f>INDEX(数据元说明!A:F,MATCH(I1367,数据元说明!C:C,0),6)</f>
        <v>C..30</v>
      </c>
      <c r="M1367" s="68" t="s">
        <v>1679</v>
      </c>
      <c r="N1367" s="68" t="s">
        <v>1601</v>
      </c>
      <c r="O1367" s="68"/>
      <c r="P1367" s="68"/>
    </row>
    <row r="1368" ht="39.95" hidden="1" customHeight="1" outlineLevel="1" spans="1:16">
      <c r="A1368" s="70"/>
      <c r="B1368" s="71"/>
      <c r="C1368" s="59" t="s">
        <v>259</v>
      </c>
      <c r="D1368" s="59" t="s">
        <v>3330</v>
      </c>
      <c r="E1368" s="65">
        <v>903</v>
      </c>
      <c r="F1368" s="67" t="s">
        <v>816</v>
      </c>
      <c r="G1368" s="65">
        <v>90309</v>
      </c>
      <c r="H1368" s="67" t="s">
        <v>3335</v>
      </c>
      <c r="I1368" s="67" t="s">
        <v>816</v>
      </c>
      <c r="J1368" s="67" t="str">
        <f>INDEX(数据元说明!A:F,MATCH(I1368,数据元说明!C:C,0),2)</f>
        <v>005019</v>
      </c>
      <c r="K1368" s="68" t="str">
        <f>INDEX(数据元说明!A:F,MATCH(I1368,数据元说明!C:C,0),5)</f>
        <v>银行自定义。例如：商业发票、增值税发票、提单、报关单、货物清单等。</v>
      </c>
      <c r="L1368" s="67" t="str">
        <f>INDEX(数据元说明!A:F,MATCH(I1368,数据元说明!C:C,0),6)</f>
        <v>C..30</v>
      </c>
      <c r="M1368" s="68"/>
      <c r="N1368" s="68" t="s">
        <v>1601</v>
      </c>
      <c r="O1368" s="68"/>
      <c r="P1368" s="68"/>
    </row>
    <row r="1369" ht="39.95" hidden="1" customHeight="1" outlineLevel="1" spans="1:16">
      <c r="A1369" s="70"/>
      <c r="B1369" s="71"/>
      <c r="C1369" s="59" t="s">
        <v>259</v>
      </c>
      <c r="D1369" s="59" t="s">
        <v>3330</v>
      </c>
      <c r="E1369" s="65">
        <v>903</v>
      </c>
      <c r="F1369" s="67" t="s">
        <v>3336</v>
      </c>
      <c r="G1369" s="65">
        <v>90310</v>
      </c>
      <c r="H1369" s="67" t="s">
        <v>3337</v>
      </c>
      <c r="I1369" s="67" t="s">
        <v>642</v>
      </c>
      <c r="J1369" s="67" t="str">
        <f>INDEX(数据元说明!A:F,MATCH(I1369,数据元说明!C:C,0),2)</f>
        <v>003010</v>
      </c>
      <c r="K1369" s="68" t="str">
        <f>INDEX(数据元说明!A:F,MATCH(I1369,数据元说明!C:C,0),5)</f>
        <v>遵循《GB/T 12406 表示货币和资金的代码》的字母代码，如CNY。上述文件所列币种无法涵盖的，允许银行自定义填报。多个币种合计折算为人民币（本外币合计）的，填报为BWB。</v>
      </c>
      <c r="L1369" s="67" t="str">
        <f>INDEX(数据元说明!A:F,MATCH(I1369,数据元说明!C:C,0),6)</f>
        <v>C3</v>
      </c>
      <c r="M1369" s="68"/>
      <c r="N1369" s="68" t="s">
        <v>1601</v>
      </c>
      <c r="O1369" s="68"/>
      <c r="P1369" s="68"/>
    </row>
    <row r="1370" ht="39.95" hidden="1" customHeight="1" outlineLevel="1" spans="1:16">
      <c r="A1370" s="70"/>
      <c r="B1370" s="71"/>
      <c r="C1370" s="59" t="s">
        <v>259</v>
      </c>
      <c r="D1370" s="59" t="s">
        <v>3330</v>
      </c>
      <c r="E1370" s="65">
        <v>903</v>
      </c>
      <c r="F1370" s="67" t="s">
        <v>3338</v>
      </c>
      <c r="G1370" s="65">
        <v>90311</v>
      </c>
      <c r="H1370" s="67" t="s">
        <v>3339</v>
      </c>
      <c r="I1370" s="67" t="s">
        <v>634</v>
      </c>
      <c r="J1370" s="67" t="str">
        <f>INDEX(数据元说明!A:F,MATCH(I1370,数据元说明!C:C,0),2)</f>
        <v>003008</v>
      </c>
      <c r="K1370" s="68" t="str">
        <f>INDEX(数据元说明!A:F,MATCH(I1370,数据元说明!C:C,0),5)</f>
        <v>与币种相对应金额。</v>
      </c>
      <c r="L1370" s="67" t="str">
        <f>INDEX(数据元说明!A:F,MATCH(I1370,数据元说明!C:C,0),6)</f>
        <v>D20.2</v>
      </c>
      <c r="M1370" s="68" t="s">
        <v>3340</v>
      </c>
      <c r="N1370" s="68" t="s">
        <v>1601</v>
      </c>
      <c r="O1370" s="68"/>
      <c r="P1370" s="68"/>
    </row>
    <row r="1371" ht="39.95" hidden="1" customHeight="1" outlineLevel="1" spans="1:16">
      <c r="A1371" s="63"/>
      <c r="B1371" s="64"/>
      <c r="C1371" s="59" t="s">
        <v>259</v>
      </c>
      <c r="D1371" s="59" t="s">
        <v>3330</v>
      </c>
      <c r="E1371" s="65">
        <v>903</v>
      </c>
      <c r="F1371" s="67" t="s">
        <v>484</v>
      </c>
      <c r="G1371" s="65">
        <v>90312</v>
      </c>
      <c r="H1371" s="67" t="s">
        <v>1623</v>
      </c>
      <c r="I1371" s="67" t="s">
        <v>484</v>
      </c>
      <c r="J1371" s="67" t="str">
        <f>INDEX(数据元说明!A:F,MATCH(I1371,数据元说明!C:C,0),2)</f>
        <v>001038</v>
      </c>
      <c r="K1371" s="68" t="str">
        <f>INDEX(数据元说明!A:F,MATCH(I1371,数据元说明!C:C,0),5)</f>
        <v>银行自定义。</v>
      </c>
      <c r="L1371" s="67" t="str">
        <f>INDEX(数据元说明!A:F,MATCH(I1371,数据元说明!C:C,0),6)</f>
        <v>C..600</v>
      </c>
      <c r="M1371" s="68" t="s">
        <v>1624</v>
      </c>
      <c r="N1371" s="68" t="s">
        <v>1601</v>
      </c>
      <c r="O1371" s="68"/>
      <c r="P1371" s="68"/>
    </row>
    <row r="1372" ht="39.95" hidden="1" customHeight="1" outlineLevel="1" spans="1:16">
      <c r="A1372" s="63"/>
      <c r="B1372" s="64"/>
      <c r="C1372" s="59" t="s">
        <v>259</v>
      </c>
      <c r="D1372" s="59" t="s">
        <v>3330</v>
      </c>
      <c r="E1372" s="65">
        <v>903</v>
      </c>
      <c r="F1372" s="67" t="s">
        <v>1625</v>
      </c>
      <c r="G1372" s="65">
        <v>90313</v>
      </c>
      <c r="H1372" s="67" t="s">
        <v>1626</v>
      </c>
      <c r="I1372" s="67" t="s">
        <v>345</v>
      </c>
      <c r="J1372" s="67" t="str">
        <f>INDEX(数据元说明!A:F,MATCH(I1372,数据元说明!C:C,0),2)</f>
        <v>001005</v>
      </c>
      <c r="K1372" s="68" t="str">
        <f>INDEX(数据元说明!A:F,MATCH(I1372,数据元说明!C:C,0),5)</f>
        <v>YYYYMMDD，默认值99991231。</v>
      </c>
      <c r="L1372" s="67" t="str">
        <f>INDEX(数据元说明!A:F,MATCH(I1372,数据元说明!C:C,0),6)</f>
        <v>C8</v>
      </c>
      <c r="M1372" s="68" t="s">
        <v>1627</v>
      </c>
      <c r="N1372" s="68" t="s">
        <v>1601</v>
      </c>
      <c r="O1372" s="68"/>
      <c r="P1372" s="68"/>
    </row>
    <row r="1373" ht="39.95" hidden="1" customHeight="1" collapsed="1" spans="1:16">
      <c r="A1373" s="70"/>
      <c r="B1373" s="71"/>
      <c r="C1373" s="59" t="s">
        <v>262</v>
      </c>
      <c r="D1373" s="59" t="s">
        <v>3341</v>
      </c>
      <c r="E1373" s="65">
        <v>904</v>
      </c>
      <c r="F1373" s="67"/>
      <c r="G1373" s="65"/>
      <c r="H1373" s="67"/>
      <c r="I1373" s="67"/>
      <c r="J1373" s="67"/>
      <c r="K1373" s="68"/>
      <c r="L1373" s="67"/>
      <c r="M1373" s="68" t="str">
        <f>INDEX(表结构总览!D:G,MATCH(D1373,表结构总览!D:D,0),4)</f>
        <v>报送范围为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v>
      </c>
      <c r="N1373" s="68" t="s">
        <v>1583</v>
      </c>
      <c r="O1373" s="68" t="s">
        <v>484</v>
      </c>
      <c r="P1373" s="68"/>
    </row>
    <row r="1374" ht="39.95" hidden="1" customHeight="1" outlineLevel="1" spans="1:16">
      <c r="A1374" s="63"/>
      <c r="B1374" s="64"/>
      <c r="C1374" s="59" t="s">
        <v>262</v>
      </c>
      <c r="D1374" s="59" t="s">
        <v>3341</v>
      </c>
      <c r="E1374" s="65">
        <v>904</v>
      </c>
      <c r="F1374" s="67" t="s">
        <v>373</v>
      </c>
      <c r="G1374" s="65">
        <v>90401</v>
      </c>
      <c r="H1374" s="67" t="s">
        <v>1588</v>
      </c>
      <c r="I1374" s="67" t="s">
        <v>373</v>
      </c>
      <c r="J1374" s="67" t="str">
        <f>INDEX(数据元说明!A:F,MATCH(I1374,数据元说明!C:C,0),2)</f>
        <v>001011</v>
      </c>
      <c r="K1374" s="68" t="str">
        <f>INDEX(数据元说明!A:F,MATCH(I1374,数据元说明!C:C,0),5)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74" s="67" t="str">
        <f>INDEX(数据元说明!A:F,MATCH(I1374,数据元说明!C:C,0),6)</f>
        <v>C..30</v>
      </c>
      <c r="M1374" s="68" t="s">
        <v>3284</v>
      </c>
      <c r="N1374" s="68"/>
      <c r="O1374" s="68"/>
      <c r="P1374" s="68"/>
    </row>
    <row r="1375" ht="39.95" hidden="1" customHeight="1" outlineLevel="1" spans="1:16">
      <c r="A1375" s="63"/>
      <c r="B1375" s="64"/>
      <c r="C1375" s="59" t="s">
        <v>262</v>
      </c>
      <c r="D1375" s="59" t="s">
        <v>3341</v>
      </c>
      <c r="E1375" s="65">
        <v>904</v>
      </c>
      <c r="F1375" s="67" t="s">
        <v>377</v>
      </c>
      <c r="G1375" s="65">
        <v>90402</v>
      </c>
      <c r="H1375" s="67" t="s">
        <v>1586</v>
      </c>
      <c r="I1375" s="67" t="s">
        <v>377</v>
      </c>
      <c r="J1375" s="67" t="str">
        <f>INDEX(数据元说明!A:F,MATCH(I1375,数据元说明!C:C,0),2)</f>
        <v>001012</v>
      </c>
      <c r="K1375" s="68" t="str">
        <f>INDEX(数据元说明!A:F,MATCH(I1375,数据元说明!C:C,0),5)</f>
        <v>银行内部机构号。应具有标识机构的唯一性。</v>
      </c>
      <c r="L1375" s="67" t="str">
        <f>INDEX(数据元说明!A:F,MATCH(I1375,数据元说明!C:C,0),6)</f>
        <v>C..30</v>
      </c>
      <c r="M1375" s="68" t="s">
        <v>3342</v>
      </c>
      <c r="N1375" s="68"/>
      <c r="O1375" s="68"/>
      <c r="P1375" s="68"/>
    </row>
    <row r="1376" ht="39.95" hidden="1" customHeight="1" outlineLevel="1" spans="1:16">
      <c r="A1376" s="63"/>
      <c r="B1376" s="64"/>
      <c r="C1376" s="59" t="s">
        <v>262</v>
      </c>
      <c r="D1376" s="59" t="s">
        <v>3341</v>
      </c>
      <c r="E1376" s="65">
        <v>904</v>
      </c>
      <c r="F1376" s="68" t="s">
        <v>1592</v>
      </c>
      <c r="G1376" s="65">
        <v>90403</v>
      </c>
      <c r="H1376" s="68" t="s">
        <v>1593</v>
      </c>
      <c r="I1376" s="68" t="s">
        <v>325</v>
      </c>
      <c r="J1376" s="68" t="str">
        <f>INDEX(数据元说明!A:F,MATCH(I1376,数据元说明!C:C,0),2)</f>
        <v>001001</v>
      </c>
      <c r="K1376" s="68" t="str">
        <f>INDEX(数据元说明!A:F,MATCH(I1376,数据元说明!C:C,0),5)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76" s="68" t="str">
        <f>INDEX(数据元说明!A:F,MATCH(I1376,数据元说明!C:C,0),6)</f>
        <v>C..450</v>
      </c>
      <c r="M1376" s="68" t="s">
        <v>3286</v>
      </c>
      <c r="N1376" s="68"/>
      <c r="O1376" s="68"/>
      <c r="P1376" s="68"/>
    </row>
    <row r="1377" ht="39.95" hidden="1" customHeight="1" outlineLevel="1" spans="1:16">
      <c r="A1377" s="70"/>
      <c r="B1377" s="71"/>
      <c r="C1377" s="59" t="s">
        <v>262</v>
      </c>
      <c r="D1377" s="59" t="s">
        <v>3341</v>
      </c>
      <c r="E1377" s="65">
        <v>904</v>
      </c>
      <c r="F1377" s="67" t="s">
        <v>2125</v>
      </c>
      <c r="G1377" s="65">
        <v>90404</v>
      </c>
      <c r="H1377" s="67" t="s">
        <v>2126</v>
      </c>
      <c r="I1377" s="67" t="s">
        <v>609</v>
      </c>
      <c r="J1377" s="67" t="str">
        <f>INDEX(数据元说明!A:F,MATCH(I1377,数据元说明!C:C,0),2)</f>
        <v>003002</v>
      </c>
      <c r="K1377" s="68" t="str">
        <f>INDEX(数据元说明!A:F,MATCH(I1377,数据元说明!C:C,0),5)</f>
        <v>机构实际使用的总账会计科目编码。</v>
      </c>
      <c r="L1377" s="67" t="str">
        <f>INDEX(数据元说明!A:F,MATCH(I1377,数据元说明!C:C,0),6)</f>
        <v>C..60</v>
      </c>
      <c r="M1377" s="68" t="s">
        <v>2219</v>
      </c>
      <c r="N1377" s="68" t="s">
        <v>1601</v>
      </c>
      <c r="O1377" s="68"/>
      <c r="P1377" s="68" t="s">
        <v>1634</v>
      </c>
    </row>
    <row r="1378" ht="39.95" hidden="1" customHeight="1" outlineLevel="1" spans="1:16">
      <c r="A1378" s="70"/>
      <c r="B1378" s="71"/>
      <c r="C1378" s="59" t="s">
        <v>262</v>
      </c>
      <c r="D1378" s="59" t="s">
        <v>3341</v>
      </c>
      <c r="E1378" s="65">
        <v>904</v>
      </c>
      <c r="F1378" s="67" t="s">
        <v>2128</v>
      </c>
      <c r="G1378" s="65">
        <v>90405</v>
      </c>
      <c r="H1378" s="67" t="s">
        <v>2129</v>
      </c>
      <c r="I1378" s="67" t="s">
        <v>613</v>
      </c>
      <c r="J1378" s="67" t="str">
        <f>INDEX(数据元说明!A:F,MATCH(I1378,数据元说明!C:C,0),2)</f>
        <v>003003</v>
      </c>
      <c r="K1378" s="68" t="str">
        <f>INDEX(数据元说明!A:F,MATCH(I1378,数据元说明!C:C,0),5)</f>
        <v>机构实际使用的总账会计科目编码对应的名称。</v>
      </c>
      <c r="L1378" s="67" t="str">
        <f>INDEX(数据元说明!A:F,MATCH(I1378,数据元说明!C:C,0),6)</f>
        <v>C..300</v>
      </c>
      <c r="M1378" s="68" t="s">
        <v>2219</v>
      </c>
      <c r="N1378" s="68" t="s">
        <v>1601</v>
      </c>
      <c r="O1378" s="68"/>
      <c r="P1378" s="68" t="s">
        <v>1634</v>
      </c>
    </row>
    <row r="1379" ht="39.95" hidden="1" customHeight="1" outlineLevel="1" spans="1:16">
      <c r="A1379" s="70"/>
      <c r="B1379" s="71"/>
      <c r="C1379" s="59" t="s">
        <v>262</v>
      </c>
      <c r="D1379" s="59" t="s">
        <v>3341</v>
      </c>
      <c r="E1379" s="65">
        <v>904</v>
      </c>
      <c r="F1379" s="67" t="s">
        <v>2257</v>
      </c>
      <c r="G1379" s="65">
        <v>90406</v>
      </c>
      <c r="H1379" s="67" t="s">
        <v>3288</v>
      </c>
      <c r="I1379" s="67" t="s">
        <v>683</v>
      </c>
      <c r="J1379" s="67" t="str">
        <f>INDEX(数据元说明!A:F,MATCH(I1379,数据元说明!C:C,0),2)</f>
        <v>003020</v>
      </c>
      <c r="K1379" s="68" t="str">
        <f>INDEX(数据元说明!A:F,MATCH(I1379,数据元说明!C:C,0),5)</f>
        <v>合同号。</v>
      </c>
      <c r="L1379" s="67" t="str">
        <f>INDEX(数据元说明!A:F,MATCH(I1379,数据元说明!C:C,0),6)</f>
        <v>C..100</v>
      </c>
      <c r="M1379" s="68" t="s">
        <v>3343</v>
      </c>
      <c r="N1379" s="68" t="s">
        <v>1583</v>
      </c>
      <c r="O1379" s="68" t="s">
        <v>1695</v>
      </c>
      <c r="P1379" s="68"/>
    </row>
    <row r="1380" ht="39.95" hidden="1" customHeight="1" outlineLevel="1" spans="1:16">
      <c r="A1380" s="70"/>
      <c r="B1380" s="71"/>
      <c r="C1380" s="59" t="s">
        <v>262</v>
      </c>
      <c r="D1380" s="59" t="s">
        <v>3341</v>
      </c>
      <c r="E1380" s="65">
        <v>904</v>
      </c>
      <c r="F1380" s="67" t="s">
        <v>2260</v>
      </c>
      <c r="G1380" s="65">
        <v>90407</v>
      </c>
      <c r="H1380" s="67" t="s">
        <v>2261</v>
      </c>
      <c r="I1380" s="67" t="s">
        <v>678</v>
      </c>
      <c r="J1380" s="67" t="str">
        <f>INDEX(数据元说明!A:F,MATCH(I1380,数据元说明!C:C,0),2)</f>
        <v>003019</v>
      </c>
      <c r="K1380" s="68" t="str">
        <f>INDEX(数据元说明!A:F,MATCH(I1380,数据元说明!C:C,0),5)</f>
        <v>借据统一编号。</v>
      </c>
      <c r="L1380" s="67" t="str">
        <f>INDEX(数据元说明!A:F,MATCH(I1380,数据元说明!C:C,0),6)</f>
        <v>C..100</v>
      </c>
      <c r="M1380" s="68" t="s">
        <v>3344</v>
      </c>
      <c r="N1380" s="68" t="s">
        <v>1583</v>
      </c>
      <c r="O1380" s="68" t="s">
        <v>1695</v>
      </c>
      <c r="P1380" s="68" t="s">
        <v>1634</v>
      </c>
    </row>
    <row r="1381" ht="39.95" hidden="1" customHeight="1" outlineLevel="1" spans="1:16">
      <c r="A1381" s="70"/>
      <c r="B1381" s="71"/>
      <c r="C1381" s="59" t="s">
        <v>262</v>
      </c>
      <c r="D1381" s="59" t="s">
        <v>3341</v>
      </c>
      <c r="E1381" s="65">
        <v>904</v>
      </c>
      <c r="F1381" s="67" t="s">
        <v>884</v>
      </c>
      <c r="G1381" s="65">
        <v>90408</v>
      </c>
      <c r="H1381" s="67" t="s">
        <v>3345</v>
      </c>
      <c r="I1381" s="67" t="s">
        <v>884</v>
      </c>
      <c r="J1381" s="67" t="str">
        <f>INDEX(数据元说明!A:F,MATCH(I1381,数据元说明!C:C,0),2)</f>
        <v>005036</v>
      </c>
      <c r="K1381" s="68" t="str">
        <f>INDEX(数据元说明!A:F,MATCH(I1381,数据元说明!C:C,0),5)</f>
        <v>现金管理项下委托贷款，非现金管理项下委托贷款，公积金贷款。</v>
      </c>
      <c r="L1381" s="67" t="str">
        <f>INDEX(数据元说明!A:F,MATCH(I1381,数据元说明!C:C,0),6)</f>
        <v>C..60</v>
      </c>
      <c r="M1381" s="68"/>
      <c r="N1381" s="68" t="s">
        <v>1601</v>
      </c>
      <c r="O1381" s="68"/>
      <c r="P1381" s="68"/>
    </row>
    <row r="1382" ht="39.95" hidden="1" customHeight="1" outlineLevel="1" spans="1:16">
      <c r="A1382" s="63"/>
      <c r="B1382" s="64"/>
      <c r="C1382" s="59" t="s">
        <v>262</v>
      </c>
      <c r="D1382" s="59" t="s">
        <v>3341</v>
      </c>
      <c r="E1382" s="65">
        <v>904</v>
      </c>
      <c r="F1382" s="67" t="s">
        <v>642</v>
      </c>
      <c r="G1382" s="65">
        <v>90409</v>
      </c>
      <c r="H1382" s="67" t="s">
        <v>1914</v>
      </c>
      <c r="I1382" s="67" t="s">
        <v>642</v>
      </c>
      <c r="J1382" s="67" t="str">
        <f>INDEX(数据元说明!A:F,MATCH(I1382,数据元说明!C:C,0),2)</f>
        <v>003010</v>
      </c>
      <c r="K1382" s="68" t="str">
        <f>INDEX(数据元说明!A:F,MATCH(I1382,数据元说明!C:C,0),5)</f>
        <v>遵循《GB/T 12406 表示货币和资金的代码》的字母代码，如CNY。上述文件所列币种无法涵盖的，允许银行自定义填报。多个币种合计折算为人民币（本外币合计）的，填报为BWB。</v>
      </c>
      <c r="L1382" s="67" t="str">
        <f>INDEX(数据元说明!A:F,MATCH(I1382,数据元说明!C:C,0),6)</f>
        <v>C3</v>
      </c>
      <c r="M1382" s="68"/>
      <c r="N1382" s="68" t="s">
        <v>1601</v>
      </c>
      <c r="O1382" s="68"/>
      <c r="P1382" s="68"/>
    </row>
    <row r="1383" ht="39.95" hidden="1" customHeight="1" outlineLevel="1" spans="1:16">
      <c r="A1383" s="70"/>
      <c r="B1383" s="71"/>
      <c r="C1383" s="59" t="s">
        <v>262</v>
      </c>
      <c r="D1383" s="59" t="s">
        <v>3341</v>
      </c>
      <c r="E1383" s="65">
        <v>904</v>
      </c>
      <c r="F1383" s="67" t="s">
        <v>2309</v>
      </c>
      <c r="G1383" s="65">
        <v>90410</v>
      </c>
      <c r="H1383" s="67" t="s">
        <v>2267</v>
      </c>
      <c r="I1383" s="67" t="s">
        <v>634</v>
      </c>
      <c r="J1383" s="67" t="str">
        <f>INDEX(数据元说明!A:F,MATCH(I1383,数据元说明!C:C,0),2)</f>
        <v>003008</v>
      </c>
      <c r="K1383" s="68" t="str">
        <f>INDEX(数据元说明!A:F,MATCH(I1383,数据元说明!C:C,0),5)</f>
        <v>与币种相对应金额。</v>
      </c>
      <c r="L1383" s="67" t="str">
        <f>INDEX(数据元说明!A:F,MATCH(I1383,数据元说明!C:C,0),6)</f>
        <v>D20.2</v>
      </c>
      <c r="M1383" s="68" t="s">
        <v>3346</v>
      </c>
      <c r="N1383" s="68" t="s">
        <v>1601</v>
      </c>
      <c r="O1383" s="68"/>
      <c r="P1383" s="68"/>
    </row>
    <row r="1384" ht="39.95" hidden="1" customHeight="1" outlineLevel="1" spans="1:16">
      <c r="A1384" s="63"/>
      <c r="B1384" s="64"/>
      <c r="C1384" s="59" t="s">
        <v>262</v>
      </c>
      <c r="D1384" s="59" t="s">
        <v>3341</v>
      </c>
      <c r="E1384" s="65">
        <v>904</v>
      </c>
      <c r="F1384" s="67" t="s">
        <v>2311</v>
      </c>
      <c r="G1384" s="65">
        <v>90411</v>
      </c>
      <c r="H1384" s="67" t="s">
        <v>2312</v>
      </c>
      <c r="I1384" s="67" t="s">
        <v>345</v>
      </c>
      <c r="J1384" s="67" t="str">
        <f>INDEX(数据元说明!A:F,MATCH(I1384,数据元说明!C:C,0),2)</f>
        <v>001005</v>
      </c>
      <c r="K1384" s="68" t="str">
        <f>INDEX(数据元说明!A:F,MATCH(I1384,数据元说明!C:C,0),5)</f>
        <v>YYYYMMDD，默认值99991231。</v>
      </c>
      <c r="L1384" s="67" t="str">
        <f>INDEX(数据元说明!A:F,MATCH(I1384,数据元说明!C:C,0),6)</f>
        <v>C8</v>
      </c>
      <c r="M1384" s="68" t="s">
        <v>3347</v>
      </c>
      <c r="N1384" s="68" t="s">
        <v>1583</v>
      </c>
      <c r="O1384" s="68" t="s">
        <v>1695</v>
      </c>
      <c r="P1384" s="68"/>
    </row>
    <row r="1385" ht="39.95" hidden="1" customHeight="1" outlineLevel="1" spans="1:16">
      <c r="A1385" s="63"/>
      <c r="B1385" s="64"/>
      <c r="C1385" s="59" t="s">
        <v>262</v>
      </c>
      <c r="D1385" s="59" t="s">
        <v>3341</v>
      </c>
      <c r="E1385" s="65">
        <v>904</v>
      </c>
      <c r="F1385" s="67" t="s">
        <v>2314</v>
      </c>
      <c r="G1385" s="65">
        <v>90412</v>
      </c>
      <c r="H1385" s="67" t="s">
        <v>2315</v>
      </c>
      <c r="I1385" s="67" t="s">
        <v>345</v>
      </c>
      <c r="J1385" s="67" t="str">
        <f>INDEX(数据元说明!A:F,MATCH(I1385,数据元说明!C:C,0),2)</f>
        <v>001005</v>
      </c>
      <c r="K1385" s="68" t="str">
        <f>INDEX(数据元说明!A:F,MATCH(I1385,数据元说明!C:C,0),5)</f>
        <v>YYYYMMDD，默认值99991231。</v>
      </c>
      <c r="L1385" s="67" t="str">
        <f>INDEX(数据元说明!A:F,MATCH(I1385,数据元说明!C:C,0),6)</f>
        <v>C8</v>
      </c>
      <c r="M1385" s="68" t="s">
        <v>3348</v>
      </c>
      <c r="N1385" s="68" t="s">
        <v>1583</v>
      </c>
      <c r="O1385" s="68" t="s">
        <v>1695</v>
      </c>
      <c r="P1385" s="68"/>
    </row>
    <row r="1386" ht="39.95" hidden="1" customHeight="1" outlineLevel="1" spans="1:16">
      <c r="A1386" s="70"/>
      <c r="B1386" s="71"/>
      <c r="C1386" s="59" t="s">
        <v>262</v>
      </c>
      <c r="D1386" s="59" t="s">
        <v>3341</v>
      </c>
      <c r="E1386" s="65">
        <v>904</v>
      </c>
      <c r="F1386" s="67" t="s">
        <v>3349</v>
      </c>
      <c r="G1386" s="65">
        <v>90413</v>
      </c>
      <c r="H1386" s="67" t="s">
        <v>3350</v>
      </c>
      <c r="I1386" s="67" t="s">
        <v>488</v>
      </c>
      <c r="J1386" s="67" t="str">
        <f>INDEX(数据元说明!A:F,MATCH(I1386,数据元说明!C:C,0),2)</f>
        <v>002001</v>
      </c>
      <c r="K1386" s="68" t="str">
        <f>INDEX(数据元说明!A:F,MATCH(I1386,数据元说明!C:C,0),5)</f>
        <v>银行自定义的唯一识别客户的标识。供应链融资的填写供应链融资编码。</v>
      </c>
      <c r="L1386" s="67" t="str">
        <f>INDEX(数据元说明!A:F,MATCH(I1386,数据元说明!C:C,0),6)</f>
        <v>C..60</v>
      </c>
      <c r="M1386" s="68" t="s">
        <v>3351</v>
      </c>
      <c r="N1386" s="68" t="s">
        <v>1583</v>
      </c>
      <c r="O1386" s="68"/>
      <c r="P1386" s="68" t="s">
        <v>1634</v>
      </c>
    </row>
    <row r="1387" ht="39.95" hidden="1" customHeight="1" outlineLevel="1" spans="1:16">
      <c r="A1387" s="63"/>
      <c r="B1387" s="64"/>
      <c r="C1387" s="59" t="s">
        <v>262</v>
      </c>
      <c r="D1387" s="59" t="s">
        <v>3341</v>
      </c>
      <c r="E1387" s="65">
        <v>904</v>
      </c>
      <c r="F1387" s="67" t="s">
        <v>3352</v>
      </c>
      <c r="G1387" s="65">
        <v>90414</v>
      </c>
      <c r="H1387" s="67" t="s">
        <v>3353</v>
      </c>
      <c r="I1387" s="67" t="s">
        <v>325</v>
      </c>
      <c r="J1387" s="67" t="str">
        <f>INDEX(数据元说明!A:F,MATCH(I1387,数据元说明!C:C,0),2)</f>
        <v>001001</v>
      </c>
      <c r="K1387" s="68" t="str">
        <f>INDEX(数据元说明!A:F,MATCH(I1387,数据元说明!C:C,0),5)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87" s="67" t="str">
        <f>INDEX(数据元说明!A:F,MATCH(I1387,数据元说明!C:C,0),6)</f>
        <v>C..450</v>
      </c>
      <c r="M1387" s="68" t="s">
        <v>3354</v>
      </c>
      <c r="N1387" s="68" t="s">
        <v>1583</v>
      </c>
      <c r="O1387" s="68" t="s">
        <v>1660</v>
      </c>
      <c r="P1387" s="68"/>
    </row>
    <row r="1388" ht="39.95" hidden="1" customHeight="1" outlineLevel="1" spans="1:16">
      <c r="A1388" s="70"/>
      <c r="B1388" s="71"/>
      <c r="C1388" s="59" t="s">
        <v>262</v>
      </c>
      <c r="D1388" s="59" t="s">
        <v>3341</v>
      </c>
      <c r="E1388" s="65">
        <v>904</v>
      </c>
      <c r="F1388" s="67" t="s">
        <v>3355</v>
      </c>
      <c r="G1388" s="65">
        <v>90415</v>
      </c>
      <c r="H1388" s="67" t="s">
        <v>3356</v>
      </c>
      <c r="I1388" s="67" t="s">
        <v>704</v>
      </c>
      <c r="J1388" s="67" t="str">
        <f>INDEX(数据元说明!A:F,MATCH(I1388,数据元说明!C:C,0),2)</f>
        <v>003025</v>
      </c>
      <c r="K1388" s="68" t="str">
        <f>INDEX(数据元说明!A:F,MATCH(I1388,数据元说明!C:C,0),5)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388" s="67" t="str">
        <f>INDEX(数据元说明!A:F,MATCH(I1388,数据元说明!C:C,0),6)</f>
        <v>C..60</v>
      </c>
      <c r="M1388" s="68" t="s">
        <v>3357</v>
      </c>
      <c r="N1388" s="68" t="s">
        <v>1583</v>
      </c>
      <c r="O1388" s="68" t="s">
        <v>1695</v>
      </c>
      <c r="P1388" s="68" t="s">
        <v>1648</v>
      </c>
    </row>
    <row r="1389" ht="39.95" hidden="1" customHeight="1" outlineLevel="1" spans="1:16">
      <c r="A1389" s="70"/>
      <c r="B1389" s="71"/>
      <c r="C1389" s="59" t="s">
        <v>262</v>
      </c>
      <c r="D1389" s="59" t="s">
        <v>3341</v>
      </c>
      <c r="E1389" s="65">
        <v>904</v>
      </c>
      <c r="F1389" s="67" t="s">
        <v>3358</v>
      </c>
      <c r="G1389" s="65">
        <v>90416</v>
      </c>
      <c r="H1389" s="67" t="s">
        <v>3359</v>
      </c>
      <c r="I1389" s="67" t="s">
        <v>325</v>
      </c>
      <c r="J1389" s="67" t="str">
        <f>INDEX(数据元说明!A:F,MATCH(I1389,数据元说明!C:C,0),2)</f>
        <v>001001</v>
      </c>
      <c r="K1389" s="68" t="str">
        <f>INDEX(数据元说明!A:F,MATCH(I1389,数据元说明!C:C,0),5)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89" s="67" t="str">
        <f>INDEX(数据元说明!A:F,MATCH(I1389,数据元说明!C:C,0),6)</f>
        <v>C..450</v>
      </c>
      <c r="M1389" s="68" t="s">
        <v>3360</v>
      </c>
      <c r="N1389" s="68" t="s">
        <v>1583</v>
      </c>
      <c r="O1389" s="68" t="s">
        <v>1695</v>
      </c>
      <c r="P1389" s="68"/>
    </row>
    <row r="1390" ht="39.95" hidden="1" customHeight="1" outlineLevel="1" spans="1:16">
      <c r="A1390" s="70"/>
      <c r="B1390" s="71"/>
      <c r="C1390" s="59" t="s">
        <v>262</v>
      </c>
      <c r="D1390" s="59" t="s">
        <v>3341</v>
      </c>
      <c r="E1390" s="65">
        <v>904</v>
      </c>
      <c r="F1390" s="67" t="s">
        <v>3311</v>
      </c>
      <c r="G1390" s="65">
        <v>90417</v>
      </c>
      <c r="H1390" s="67" t="s">
        <v>3312</v>
      </c>
      <c r="I1390" s="67" t="s">
        <v>325</v>
      </c>
      <c r="J1390" s="67" t="str">
        <f>INDEX(数据元说明!A:F,MATCH(I1390,数据元说明!C:C,0),2)</f>
        <v>001001</v>
      </c>
      <c r="K1390" s="68" t="str">
        <f>INDEX(数据元说明!A:F,MATCH(I1390,数据元说明!C:C,0),5)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90" s="67" t="str">
        <f>INDEX(数据元说明!A:F,MATCH(I1390,数据元说明!C:C,0),6)</f>
        <v>C..450</v>
      </c>
      <c r="M1390" s="68" t="s">
        <v>3361</v>
      </c>
      <c r="N1390" s="68" t="s">
        <v>1583</v>
      </c>
      <c r="O1390" s="68" t="s">
        <v>1660</v>
      </c>
      <c r="P1390" s="68" t="s">
        <v>1634</v>
      </c>
    </row>
    <row r="1391" ht="39.95" hidden="1" customHeight="1" outlineLevel="1" spans="1:16">
      <c r="A1391" s="63"/>
      <c r="B1391" s="64"/>
      <c r="C1391" s="59" t="s">
        <v>262</v>
      </c>
      <c r="D1391" s="59" t="s">
        <v>3341</v>
      </c>
      <c r="E1391" s="65">
        <v>904</v>
      </c>
      <c r="F1391" s="68" t="s">
        <v>3362</v>
      </c>
      <c r="G1391" s="65">
        <v>90418</v>
      </c>
      <c r="H1391" s="67" t="s">
        <v>3318</v>
      </c>
      <c r="I1391" s="67" t="s">
        <v>704</v>
      </c>
      <c r="J1391" s="68" t="str">
        <f>INDEX(数据元说明!A:F,MATCH(I1391,数据元说明!C:C,0),2)</f>
        <v>003025</v>
      </c>
      <c r="K1391" s="68" t="str">
        <f>INDEX(数据元说明!A:F,MATCH(I1391,数据元说明!C:C,0),5)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391" s="68" t="str">
        <f>INDEX(数据元说明!A:F,MATCH(I1391,数据元说明!C:C,0),6)</f>
        <v>C..60</v>
      </c>
      <c r="M1391" s="68" t="s">
        <v>3363</v>
      </c>
      <c r="N1391" s="67" t="s">
        <v>1583</v>
      </c>
      <c r="O1391" s="67" t="s">
        <v>484</v>
      </c>
      <c r="P1391" s="68"/>
    </row>
    <row r="1392" ht="39.95" hidden="1" customHeight="1" outlineLevel="1" spans="1:16">
      <c r="A1392" s="63"/>
      <c r="B1392" s="64"/>
      <c r="C1392" s="59" t="s">
        <v>262</v>
      </c>
      <c r="D1392" s="59" t="s">
        <v>3341</v>
      </c>
      <c r="E1392" s="65">
        <v>904</v>
      </c>
      <c r="F1392" s="68" t="s">
        <v>3320</v>
      </c>
      <c r="G1392" s="65">
        <v>90419</v>
      </c>
      <c r="H1392" s="67" t="s">
        <v>3321</v>
      </c>
      <c r="I1392" s="68" t="s">
        <v>325</v>
      </c>
      <c r="J1392" s="68" t="str">
        <f>INDEX(数据元说明!A:F,MATCH(I1392,数据元说明!C:C,0),2)</f>
        <v>001001</v>
      </c>
      <c r="K1392" s="68" t="str">
        <f>INDEX(数据元说明!A:F,MATCH(I1392,数据元说明!C:C,0),5)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392" s="68" t="str">
        <f>INDEX(数据元说明!A:F,MATCH(I1392,数据元说明!C:C,0),6)</f>
        <v>C..450</v>
      </c>
      <c r="M1392" s="68"/>
      <c r="N1392" s="67" t="s">
        <v>1583</v>
      </c>
      <c r="O1392" s="67" t="s">
        <v>484</v>
      </c>
      <c r="P1392" s="68"/>
    </row>
    <row r="1393" ht="39.95" hidden="1" customHeight="1" outlineLevel="1" spans="1:16">
      <c r="A1393" s="63"/>
      <c r="B1393" s="64"/>
      <c r="C1393" s="59" t="s">
        <v>262</v>
      </c>
      <c r="D1393" s="59" t="s">
        <v>3341</v>
      </c>
      <c r="E1393" s="65">
        <v>904</v>
      </c>
      <c r="F1393" s="67" t="s">
        <v>3364</v>
      </c>
      <c r="G1393" s="65">
        <v>90420</v>
      </c>
      <c r="H1393" s="67" t="s">
        <v>3365</v>
      </c>
      <c r="I1393" s="67" t="s">
        <v>330</v>
      </c>
      <c r="J1393" s="67" t="str">
        <f>INDEX(数据元说明!A:F,MATCH(I1393,数据元说明!C:C,0),2)</f>
        <v>001002</v>
      </c>
      <c r="K1393" s="68" t="str">
        <f>INDEX(数据元说明!A:F,MATCH(I1393,数据元说明!C:C,0),5)</f>
        <v>是，否。</v>
      </c>
      <c r="L1393" s="67" t="str">
        <f>INDEX(数据元说明!A:F,MATCH(I1393,数据元说明!C:C,0),6)</f>
        <v>C3</v>
      </c>
      <c r="M1393" s="68"/>
      <c r="N1393" s="68"/>
      <c r="O1393" s="68"/>
      <c r="P1393" s="68"/>
    </row>
    <row r="1394" ht="39.95" hidden="1" customHeight="1" outlineLevel="1" spans="1:16">
      <c r="A1394" s="63"/>
      <c r="B1394" s="64"/>
      <c r="C1394" s="59" t="s">
        <v>262</v>
      </c>
      <c r="D1394" s="59" t="s">
        <v>3341</v>
      </c>
      <c r="E1394" s="65">
        <v>904</v>
      </c>
      <c r="F1394" s="68" t="s">
        <v>2689</v>
      </c>
      <c r="G1394" s="65">
        <v>90421</v>
      </c>
      <c r="H1394" s="67" t="s">
        <v>2690</v>
      </c>
      <c r="I1394" s="68" t="s">
        <v>642</v>
      </c>
      <c r="J1394" s="68" t="str">
        <f>INDEX(数据元说明!A:F,MATCH(I1394,数据元说明!C:C,0),2)</f>
        <v>003010</v>
      </c>
      <c r="K1394" s="68" t="str">
        <f>INDEX(数据元说明!A:F,MATCH(I1394,数据元说明!C:C,0),5)</f>
        <v>遵循《GB/T 12406 表示货币和资金的代码》的字母代码，如CNY。上述文件所列币种无法涵盖的，允许银行自定义填报。多个币种合计折算为人民币（本外币合计）的，填报为BWB。</v>
      </c>
      <c r="L1394" s="68" t="str">
        <f>INDEX(数据元说明!A:F,MATCH(I1394,数据元说明!C:C,0),6)</f>
        <v>C3</v>
      </c>
      <c r="M1394" s="68" t="s">
        <v>2691</v>
      </c>
      <c r="N1394" s="68" t="s">
        <v>1601</v>
      </c>
      <c r="O1394" s="68"/>
      <c r="P1394" s="68"/>
    </row>
    <row r="1395" ht="39.95" hidden="1" customHeight="1" outlineLevel="1" spans="1:16">
      <c r="A1395" s="63"/>
      <c r="B1395" s="64"/>
      <c r="C1395" s="59" t="s">
        <v>262</v>
      </c>
      <c r="D1395" s="59" t="s">
        <v>3341</v>
      </c>
      <c r="E1395" s="65">
        <v>904</v>
      </c>
      <c r="F1395" s="67" t="s">
        <v>2692</v>
      </c>
      <c r="G1395" s="65">
        <v>90422</v>
      </c>
      <c r="H1395" s="67" t="s">
        <v>2693</v>
      </c>
      <c r="I1395" s="67" t="s">
        <v>634</v>
      </c>
      <c r="J1395" s="67" t="str">
        <f>INDEX(数据元说明!A:F,MATCH(I1395,数据元说明!C:C,0),2)</f>
        <v>003008</v>
      </c>
      <c r="K1395" s="68" t="str">
        <f>INDEX(数据元说明!A:F,MATCH(I1395,数据元说明!C:C,0),5)</f>
        <v>与币种相对应金额。</v>
      </c>
      <c r="L1395" s="67" t="str">
        <f>INDEX(数据元说明!A:F,MATCH(I1395,数据元说明!C:C,0),6)</f>
        <v>D20.2</v>
      </c>
      <c r="M1395" s="68" t="s">
        <v>3366</v>
      </c>
      <c r="N1395" s="68" t="s">
        <v>1583</v>
      </c>
      <c r="O1395" s="68" t="s">
        <v>484</v>
      </c>
      <c r="P1395" s="68"/>
    </row>
    <row r="1396" ht="39.95" hidden="1" customHeight="1" outlineLevel="1" spans="1:16">
      <c r="A1396" s="63"/>
      <c r="B1396" s="64"/>
      <c r="C1396" s="59" t="s">
        <v>262</v>
      </c>
      <c r="D1396" s="59" t="s">
        <v>3341</v>
      </c>
      <c r="E1396" s="65">
        <v>904</v>
      </c>
      <c r="F1396" s="67" t="s">
        <v>2814</v>
      </c>
      <c r="G1396" s="65">
        <v>90423</v>
      </c>
      <c r="H1396" s="67" t="s">
        <v>2322</v>
      </c>
      <c r="I1396" s="67" t="s">
        <v>389</v>
      </c>
      <c r="J1396" s="67" t="str">
        <f>INDEX(数据元说明!A:F,MATCH(I1396,数据元说明!C:C,0),2)</f>
        <v>001015</v>
      </c>
      <c r="K1396" s="68" t="str">
        <f>INDEX(数据元说明!A:F,MATCH(I1396,数据元说明!C:C,0),5)</f>
        <v>工号，银行自定义。</v>
      </c>
      <c r="L1396" s="67" t="str">
        <f>INDEX(数据元说明!A:F,MATCH(I1396,数据元说明!C:C,0),6)</f>
        <v>C..30</v>
      </c>
      <c r="M1396" s="68" t="s">
        <v>3282</v>
      </c>
      <c r="N1396" s="68"/>
      <c r="O1396" s="68"/>
      <c r="P1396" s="68"/>
    </row>
    <row r="1397" ht="39.95" hidden="1" customHeight="1" outlineLevel="1" spans="1:16">
      <c r="A1397" s="63"/>
      <c r="B1397" s="64"/>
      <c r="C1397" s="59" t="s">
        <v>262</v>
      </c>
      <c r="D1397" s="59" t="s">
        <v>3341</v>
      </c>
      <c r="E1397" s="65">
        <v>904</v>
      </c>
      <c r="F1397" s="67" t="s">
        <v>832</v>
      </c>
      <c r="G1397" s="65">
        <v>90424</v>
      </c>
      <c r="H1397" s="67" t="s">
        <v>2278</v>
      </c>
      <c r="I1397" s="67" t="s">
        <v>832</v>
      </c>
      <c r="J1397" s="67" t="str">
        <f>INDEX(数据元说明!A:F,MATCH(I1397,数据元说明!C:C,0),2)</f>
        <v>005023</v>
      </c>
      <c r="K1397" s="68" t="str">
        <f>INDEX(数据元说明!A:F,MATCH(I1397,数据元说明!C:C,0),5)</f>
        <v>正常、结清、逾期、核销、转让，其他-银行自定义。以枚举类型填报，如无法以枚举类型填报，则以“其他-XX”填报，其中“XX”为银行自定义状态。</v>
      </c>
      <c r="L1397" s="67" t="str">
        <f>INDEX(数据元说明!A:F,MATCH(I1397,数据元说明!C:C,0),6)</f>
        <v>C..30</v>
      </c>
      <c r="M1397" s="68" t="s">
        <v>3367</v>
      </c>
      <c r="N1397" s="68" t="s">
        <v>1583</v>
      </c>
      <c r="O1397" s="68" t="s">
        <v>3193</v>
      </c>
      <c r="P1397" s="68"/>
    </row>
    <row r="1398" ht="39.95" hidden="1" customHeight="1" outlineLevel="1" spans="1:16">
      <c r="A1398" s="63"/>
      <c r="B1398" s="64"/>
      <c r="C1398" s="59" t="s">
        <v>262</v>
      </c>
      <c r="D1398" s="59" t="s">
        <v>3341</v>
      </c>
      <c r="E1398" s="65">
        <v>904</v>
      </c>
      <c r="F1398" s="67" t="s">
        <v>484</v>
      </c>
      <c r="G1398" s="65">
        <v>90425</v>
      </c>
      <c r="H1398" s="67" t="s">
        <v>1623</v>
      </c>
      <c r="I1398" s="67" t="s">
        <v>484</v>
      </c>
      <c r="J1398" s="67" t="str">
        <f>INDEX(数据元说明!A:F,MATCH(I1398,数据元说明!C:C,0),2)</f>
        <v>001038</v>
      </c>
      <c r="K1398" s="68" t="str">
        <f>INDEX(数据元说明!A:F,MATCH(I1398,数据元说明!C:C,0),5)</f>
        <v>银行自定义。</v>
      </c>
      <c r="L1398" s="67" t="str">
        <f>INDEX(数据元说明!A:F,MATCH(I1398,数据元说明!C:C,0),6)</f>
        <v>C..600</v>
      </c>
      <c r="M1398" s="68" t="s">
        <v>1624</v>
      </c>
      <c r="N1398" s="68" t="s">
        <v>1601</v>
      </c>
      <c r="O1398" s="68"/>
      <c r="P1398" s="68"/>
    </row>
    <row r="1399" ht="39.95" hidden="1" customHeight="1" outlineLevel="1" spans="1:16">
      <c r="A1399" s="63"/>
      <c r="B1399" s="64"/>
      <c r="C1399" s="59" t="s">
        <v>262</v>
      </c>
      <c r="D1399" s="59" t="s">
        <v>3341</v>
      </c>
      <c r="E1399" s="65">
        <v>904</v>
      </c>
      <c r="F1399" s="67" t="s">
        <v>1625</v>
      </c>
      <c r="G1399" s="65">
        <v>90426</v>
      </c>
      <c r="H1399" s="67" t="s">
        <v>1626</v>
      </c>
      <c r="I1399" s="67" t="s">
        <v>345</v>
      </c>
      <c r="J1399" s="67" t="str">
        <f>INDEX(数据元说明!A:F,MATCH(I1399,数据元说明!C:C,0),2)</f>
        <v>001005</v>
      </c>
      <c r="K1399" s="68" t="str">
        <f>INDEX(数据元说明!A:F,MATCH(I1399,数据元说明!C:C,0),5)</f>
        <v>YYYYMMDD，默认值99991231。</v>
      </c>
      <c r="L1399" s="67" t="str">
        <f>INDEX(数据元说明!A:F,MATCH(I1399,数据元说明!C:C,0),6)</f>
        <v>C8</v>
      </c>
      <c r="M1399" s="68" t="s">
        <v>1627</v>
      </c>
      <c r="N1399" s="68"/>
      <c r="O1399" s="68"/>
      <c r="P1399" s="68"/>
    </row>
    <row r="1400" ht="39.95" hidden="1" customHeight="1" collapsed="1" spans="1:16">
      <c r="A1400" s="63"/>
      <c r="B1400" s="64"/>
      <c r="C1400" s="59" t="s">
        <v>265</v>
      </c>
      <c r="D1400" s="59" t="s">
        <v>3368</v>
      </c>
      <c r="E1400" s="65">
        <v>905</v>
      </c>
      <c r="F1400" s="67"/>
      <c r="G1400" s="65"/>
      <c r="H1400" s="67"/>
      <c r="I1400" s="67"/>
      <c r="J1400" s="67"/>
      <c r="K1400" s="68"/>
      <c r="L1400" s="67"/>
      <c r="M1400" s="68" t="str">
        <f>INDEX(表结构总览!D:G,MATCH(D1400,表结构总览!D:D,0),4)</f>
        <v>报送范围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的交易需要报送。</v>
      </c>
      <c r="N1400" s="68" t="s">
        <v>1601</v>
      </c>
      <c r="O1400" s="68"/>
      <c r="P1400" s="69"/>
    </row>
    <row r="1401" ht="39.95" hidden="1" customHeight="1" outlineLevel="1" spans="1:16">
      <c r="A1401" s="63"/>
      <c r="B1401" s="64"/>
      <c r="C1401" s="59" t="s">
        <v>265</v>
      </c>
      <c r="D1401" s="59" t="s">
        <v>3368</v>
      </c>
      <c r="E1401" s="65">
        <v>905</v>
      </c>
      <c r="F1401" s="67" t="s">
        <v>373</v>
      </c>
      <c r="G1401" s="65">
        <v>90501</v>
      </c>
      <c r="H1401" s="67" t="s">
        <v>1588</v>
      </c>
      <c r="I1401" s="67" t="s">
        <v>373</v>
      </c>
      <c r="J1401" s="67" t="str">
        <f>INDEX(数据元说明!A:F,MATCH(I1401,数据元说明!C:C,0),2)</f>
        <v>001011</v>
      </c>
      <c r="K1401" s="68" t="str">
        <f>INDEX(数据元说明!A:F,MATCH(I1401,数据元说明!C:C,0),5)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01" s="67" t="str">
        <f>INDEX(数据元说明!A:F,MATCH(I1401,数据元说明!C:C,0),6)</f>
        <v>C..30</v>
      </c>
      <c r="M1401" s="68" t="s">
        <v>3284</v>
      </c>
      <c r="N1401" s="68" t="s">
        <v>1601</v>
      </c>
      <c r="O1401" s="68"/>
      <c r="P1401" s="68"/>
    </row>
    <row r="1402" ht="39.95" hidden="1" customHeight="1" collapsed="1" spans="1:16">
      <c r="A1402" s="63"/>
      <c r="B1402" s="64"/>
      <c r="C1402" s="59" t="s">
        <v>265</v>
      </c>
      <c r="D1402" s="59" t="s">
        <v>3368</v>
      </c>
      <c r="E1402" s="65">
        <v>905</v>
      </c>
      <c r="F1402" s="67" t="s">
        <v>377</v>
      </c>
      <c r="G1402" s="65">
        <v>90502</v>
      </c>
      <c r="H1402" s="75" t="s">
        <v>1586</v>
      </c>
      <c r="I1402" s="67" t="s">
        <v>377</v>
      </c>
      <c r="J1402" s="67" t="str">
        <f>INDEX(数据元说明!A:F,MATCH(I1402,数据元说明!C:C,0),2)</f>
        <v>001012</v>
      </c>
      <c r="K1402" s="68" t="str">
        <f>INDEX(数据元说明!A:F,MATCH(I1402,数据元说明!C:C,0),5)</f>
        <v>银行内部机构号。应具有标识机构的唯一性。</v>
      </c>
      <c r="L1402" s="67" t="str">
        <f>INDEX(数据元说明!A:F,MATCH(I1402,数据元说明!C:C,0),6)</f>
        <v>C..30</v>
      </c>
      <c r="M1402" s="68" t="s">
        <v>3369</v>
      </c>
      <c r="N1402" s="68" t="s">
        <v>1601</v>
      </c>
      <c r="O1402" s="74"/>
      <c r="P1402" s="69"/>
    </row>
    <row r="1403" ht="39.95" hidden="1" customHeight="1" outlineLevel="1" spans="1:16">
      <c r="A1403" s="63"/>
      <c r="B1403" s="64"/>
      <c r="C1403" s="59" t="s">
        <v>265</v>
      </c>
      <c r="D1403" s="59" t="s">
        <v>3368</v>
      </c>
      <c r="E1403" s="65">
        <v>905</v>
      </c>
      <c r="F1403" s="68" t="s">
        <v>1592</v>
      </c>
      <c r="G1403" s="65">
        <v>90503</v>
      </c>
      <c r="H1403" s="68" t="s">
        <v>1593</v>
      </c>
      <c r="I1403" s="68" t="s">
        <v>325</v>
      </c>
      <c r="J1403" s="68" t="str">
        <f>INDEX(数据元说明!A:F,MATCH(I1403,数据元说明!C:C,0),2)</f>
        <v>001001</v>
      </c>
      <c r="K1403" s="68" t="str">
        <f>INDEX(数据元说明!A:F,MATCH(I1403,数据元说明!C:C,0),5)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03" s="68" t="str">
        <f>INDEX(数据元说明!A:F,MATCH(I1403,数据元说明!C:C,0),6)</f>
        <v>C..450</v>
      </c>
      <c r="M1403" s="68" t="s">
        <v>3286</v>
      </c>
      <c r="N1403" s="68" t="s">
        <v>1601</v>
      </c>
      <c r="O1403" s="68"/>
      <c r="P1403" s="68"/>
    </row>
    <row r="1404" ht="39.95" hidden="1" customHeight="1" collapsed="1" spans="1:16">
      <c r="A1404" s="63"/>
      <c r="B1404" s="64"/>
      <c r="C1404" s="59" t="s">
        <v>265</v>
      </c>
      <c r="D1404" s="59" t="s">
        <v>3368</v>
      </c>
      <c r="E1404" s="65">
        <v>905</v>
      </c>
      <c r="F1404" s="67" t="s">
        <v>488</v>
      </c>
      <c r="G1404" s="65">
        <v>90504</v>
      </c>
      <c r="H1404" s="75" t="s">
        <v>1699</v>
      </c>
      <c r="I1404" s="67" t="s">
        <v>488</v>
      </c>
      <c r="J1404" s="67" t="str">
        <f>INDEX(数据元说明!A:F,MATCH(I1404,数据元说明!C:C,0),2)</f>
        <v>002001</v>
      </c>
      <c r="K1404" s="68" t="str">
        <f>INDEX(数据元说明!A:F,MATCH(I1404,数据元说明!C:C,0),5)</f>
        <v>银行自定义的唯一识别客户的标识。供应链融资的填写供应链融资编码。</v>
      </c>
      <c r="L1404" s="67" t="str">
        <f>INDEX(数据元说明!A:F,MATCH(I1404,数据元说明!C:C,0),6)</f>
        <v>C..60</v>
      </c>
      <c r="M1404" s="68" t="s">
        <v>3370</v>
      </c>
      <c r="N1404" s="68" t="s">
        <v>1601</v>
      </c>
      <c r="O1404" s="74"/>
      <c r="P1404" s="69"/>
    </row>
    <row r="1405" ht="39.95" hidden="1" customHeight="1" spans="1:16">
      <c r="A1405" s="63"/>
      <c r="B1405" s="64"/>
      <c r="C1405" s="59" t="s">
        <v>265</v>
      </c>
      <c r="D1405" s="59" t="s">
        <v>3368</v>
      </c>
      <c r="E1405" s="65">
        <v>905</v>
      </c>
      <c r="F1405" s="67" t="s">
        <v>1837</v>
      </c>
      <c r="G1405" s="65">
        <v>90505</v>
      </c>
      <c r="H1405" s="75" t="s">
        <v>1838</v>
      </c>
      <c r="I1405" s="67" t="s">
        <v>325</v>
      </c>
      <c r="J1405" s="67" t="str">
        <f>INDEX(数据元说明!A:F,MATCH(I1405,数据元说明!C:C,0),2)</f>
        <v>001001</v>
      </c>
      <c r="K1405" s="68" t="str">
        <f>INDEX(数据元说明!A:F,MATCH(I1405,数据元说明!C:C,0),5)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05" s="67" t="str">
        <f>INDEX(数据元说明!A:F,MATCH(I1405,数据元说明!C:C,0),6)</f>
        <v>C..450</v>
      </c>
      <c r="M1405" s="68" t="s">
        <v>3371</v>
      </c>
      <c r="N1405" s="68" t="s">
        <v>1601</v>
      </c>
      <c r="O1405" s="74"/>
      <c r="P1405" s="69"/>
    </row>
    <row r="1406" ht="39.95" hidden="1" customHeight="1" outlineLevel="1" spans="1:16">
      <c r="A1406" s="70"/>
      <c r="B1406" s="71"/>
      <c r="C1406" s="59" t="s">
        <v>265</v>
      </c>
      <c r="D1406" s="59" t="s">
        <v>3368</v>
      </c>
      <c r="E1406" s="65">
        <v>905</v>
      </c>
      <c r="F1406" s="67" t="s">
        <v>3372</v>
      </c>
      <c r="G1406" s="65">
        <v>90506</v>
      </c>
      <c r="H1406" s="67" t="s">
        <v>3373</v>
      </c>
      <c r="I1406" s="67" t="s">
        <v>704</v>
      </c>
      <c r="J1406" s="67" t="str">
        <f>INDEX(数据元说明!A:F,MATCH(I1406,数据元说明!C:C,0),2)</f>
        <v>003025</v>
      </c>
      <c r="K1406" s="68" t="str">
        <f>INDEX(数据元说明!A:F,MATCH(I1406,数据元说明!C:C,0),5)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406" s="67" t="str">
        <f>INDEX(数据元说明!A:F,MATCH(I1406,数据元说明!C:C,0),6)</f>
        <v>C..60</v>
      </c>
      <c r="M1406" s="68" t="s">
        <v>3374</v>
      </c>
      <c r="N1406" s="68" t="s">
        <v>1601</v>
      </c>
      <c r="O1406" s="68"/>
      <c r="P1406" s="68" t="s">
        <v>1648</v>
      </c>
    </row>
    <row r="1407" ht="39.95" hidden="1" customHeight="1" outlineLevel="1" spans="1:16">
      <c r="A1407" s="70"/>
      <c r="B1407" s="71"/>
      <c r="C1407" s="59" t="s">
        <v>265</v>
      </c>
      <c r="D1407" s="59" t="s">
        <v>3368</v>
      </c>
      <c r="E1407" s="65">
        <v>905</v>
      </c>
      <c r="F1407" s="67" t="s">
        <v>3375</v>
      </c>
      <c r="G1407" s="65">
        <v>90507</v>
      </c>
      <c r="H1407" s="67" t="s">
        <v>3376</v>
      </c>
      <c r="I1407" s="67" t="s">
        <v>325</v>
      </c>
      <c r="J1407" s="67" t="str">
        <f>INDEX(数据元说明!A:F,MATCH(I1407,数据元说明!C:C,0),2)</f>
        <v>001001</v>
      </c>
      <c r="K1407" s="68" t="str">
        <f>INDEX(数据元说明!A:F,MATCH(I1407,数据元说明!C:C,0),5)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07" s="67" t="str">
        <f>INDEX(数据元说明!A:F,MATCH(I1407,数据元说明!C:C,0),6)</f>
        <v>C..450</v>
      </c>
      <c r="M1407" s="68" t="s">
        <v>3377</v>
      </c>
      <c r="N1407" s="68" t="s">
        <v>1601</v>
      </c>
      <c r="O1407" s="68"/>
      <c r="P1407" s="68"/>
    </row>
    <row r="1408" ht="39.95" hidden="1" customHeight="1" collapsed="1" spans="1:16">
      <c r="A1408" s="63"/>
      <c r="B1408" s="64"/>
      <c r="C1408" s="59" t="s">
        <v>265</v>
      </c>
      <c r="D1408" s="59" t="s">
        <v>3368</v>
      </c>
      <c r="E1408" s="65">
        <v>905</v>
      </c>
      <c r="F1408" s="67" t="s">
        <v>1152</v>
      </c>
      <c r="G1408" s="65">
        <v>90508</v>
      </c>
      <c r="H1408" s="75" t="s">
        <v>3378</v>
      </c>
      <c r="I1408" s="67" t="s">
        <v>1152</v>
      </c>
      <c r="J1408" s="144" t="str">
        <f>INDEX(数据元说明!A:F,MATCH(I1408,数据元说明!C:C,0),2)</f>
        <v>010006</v>
      </c>
      <c r="K1408" s="68" t="str">
        <f>INDEX(数据元说明!A:F,MATCH(I1408,数据元说明!C:C,0),5)</f>
        <v>识别交易的唯一编号，可以是合同号、成交编号或者其他自定义的编号。</v>
      </c>
      <c r="L1408" s="67" t="str">
        <f>INDEX(数据元说明!A:F,MATCH(I1408,数据元说明!C:C,0),6)</f>
        <v>C..60</v>
      </c>
      <c r="M1408" s="68" t="s">
        <v>3379</v>
      </c>
      <c r="N1408" s="68" t="s">
        <v>1601</v>
      </c>
      <c r="O1408" s="74"/>
      <c r="P1408" s="69"/>
    </row>
    <row r="1409" ht="39.95" hidden="1" customHeight="1" spans="1:16">
      <c r="A1409" s="63"/>
      <c r="B1409" s="64"/>
      <c r="C1409" s="59" t="s">
        <v>265</v>
      </c>
      <c r="D1409" s="59" t="s">
        <v>3368</v>
      </c>
      <c r="E1409" s="65">
        <v>905</v>
      </c>
      <c r="F1409" s="67" t="s">
        <v>1562</v>
      </c>
      <c r="G1409" s="65">
        <v>90509</v>
      </c>
      <c r="H1409" s="75" t="s">
        <v>3380</v>
      </c>
      <c r="I1409" s="67" t="s">
        <v>1562</v>
      </c>
      <c r="J1409" s="144" t="str">
        <f>INDEX(数据元说明!A:F,MATCH(I1409,数据元说明!C:C,0),2)</f>
        <v>010109</v>
      </c>
      <c r="K1409" s="68" t="str">
        <f>INDEX(数据元说明!A:F,MATCH(I1409,数据元说明!C:C,0),5)</f>
        <v>债券承销，代理代销信托计划，代理代销资产管理计划，代理代销保险产品，代理代销基金，代理贵金属交易，代销他行理财产品，其他-银行自定义类型。无法以枚举类型填报的，以“其他-XX”填报，其中XX为银行自定义类型。</v>
      </c>
      <c r="L1409" s="67" t="str">
        <f>INDEX(数据元说明!A:F,MATCH(I1409,数据元说明!C:C,0),6)</f>
        <v>C..60</v>
      </c>
      <c r="M1409" s="68" t="s">
        <v>3381</v>
      </c>
      <c r="N1409" s="68" t="s">
        <v>1601</v>
      </c>
      <c r="O1409" s="74"/>
      <c r="P1409" s="69"/>
    </row>
    <row r="1410" ht="39.95" hidden="1" customHeight="1" spans="1:16">
      <c r="A1410" s="63"/>
      <c r="B1410" s="64"/>
      <c r="C1410" s="59" t="s">
        <v>265</v>
      </c>
      <c r="D1410" s="59" t="s">
        <v>3368</v>
      </c>
      <c r="E1410" s="65">
        <v>905</v>
      </c>
      <c r="F1410" s="67" t="s">
        <v>3382</v>
      </c>
      <c r="G1410" s="65">
        <v>90510</v>
      </c>
      <c r="H1410" s="75" t="s">
        <v>3383</v>
      </c>
      <c r="I1410" s="67" t="s">
        <v>746</v>
      </c>
      <c r="J1410" s="67" t="str">
        <f>INDEX(数据元说明!A:F,MATCH(I1410,数据元说明!C:C,0),2)</f>
        <v>005001</v>
      </c>
      <c r="K1410" s="68" t="str">
        <f>INDEX(数据元说明!A:F,MATCH(I1410,数据元说明!C:C,0),5)</f>
        <v>银行内部产品中文名称，银行自定义。</v>
      </c>
      <c r="L1410" s="67" t="str">
        <f>INDEX(数据元说明!A:F,MATCH(I1410,数据元说明!C:C,0),6)</f>
        <v>C..300</v>
      </c>
      <c r="M1410" s="68"/>
      <c r="N1410" s="68" t="s">
        <v>1601</v>
      </c>
      <c r="O1410" s="74"/>
      <c r="P1410" s="69"/>
    </row>
    <row r="1411" ht="39.95" hidden="1" customHeight="1" spans="1:16">
      <c r="A1411" s="63"/>
      <c r="B1411" s="64"/>
      <c r="C1411" s="59" t="s">
        <v>265</v>
      </c>
      <c r="D1411" s="59" t="s">
        <v>3368</v>
      </c>
      <c r="E1411" s="65">
        <v>905</v>
      </c>
      <c r="F1411" s="67" t="s">
        <v>2625</v>
      </c>
      <c r="G1411" s="65">
        <v>90511</v>
      </c>
      <c r="H1411" s="75" t="s">
        <v>2626</v>
      </c>
      <c r="I1411" s="67" t="s">
        <v>1164</v>
      </c>
      <c r="J1411" s="144" t="str">
        <f>INDEX(数据元说明!A:F,MATCH(I1411,数据元说明!C:C,0),2)</f>
        <v>010009</v>
      </c>
      <c r="K1411" s="68" t="str">
        <f>INDEX(数据元说明!A:F,MATCH(I1411,数据元说明!C:C,0),5)</f>
        <v>买入，卖出。</v>
      </c>
      <c r="L1411" s="67" t="str">
        <f>INDEX(数据元说明!A:F,MATCH(I1411,数据元说明!C:C,0),6)</f>
        <v>C6</v>
      </c>
      <c r="M1411" s="68"/>
      <c r="N1411" s="68"/>
      <c r="O1411" s="74"/>
      <c r="P1411" s="69"/>
    </row>
    <row r="1412" ht="39.95" hidden="1" customHeight="1" spans="1:16">
      <c r="A1412" s="63"/>
      <c r="B1412" s="64"/>
      <c r="C1412" s="59" t="s">
        <v>265</v>
      </c>
      <c r="D1412" s="59" t="s">
        <v>3368</v>
      </c>
      <c r="E1412" s="65">
        <v>905</v>
      </c>
      <c r="F1412" s="67" t="s">
        <v>3384</v>
      </c>
      <c r="G1412" s="65">
        <v>90512</v>
      </c>
      <c r="H1412" s="75" t="s">
        <v>3385</v>
      </c>
      <c r="I1412" s="67" t="s">
        <v>345</v>
      </c>
      <c r="J1412" s="67" t="str">
        <f>INDEX(数据元说明!A:F,MATCH(I1412,数据元说明!C:C,0),2)</f>
        <v>001005</v>
      </c>
      <c r="K1412" s="68" t="str">
        <f>INDEX(数据元说明!A:F,MATCH(I1412,数据元说明!C:C,0),5)</f>
        <v>YYYYMMDD，默认值99991231。</v>
      </c>
      <c r="L1412" s="67" t="str">
        <f>INDEX(数据元说明!A:F,MATCH(I1412,数据元说明!C:C,0),6)</f>
        <v>C8</v>
      </c>
      <c r="M1412" s="68" t="s">
        <v>3386</v>
      </c>
      <c r="N1412" s="68" t="s">
        <v>1601</v>
      </c>
      <c r="O1412" s="74"/>
      <c r="P1412" s="69"/>
    </row>
    <row r="1413" ht="39.95" hidden="1" customHeight="1" spans="1:16">
      <c r="A1413" s="63"/>
      <c r="B1413" s="64"/>
      <c r="C1413" s="59" t="s">
        <v>265</v>
      </c>
      <c r="D1413" s="59" t="s">
        <v>3368</v>
      </c>
      <c r="E1413" s="65">
        <v>905</v>
      </c>
      <c r="F1413" s="67" t="s">
        <v>642</v>
      </c>
      <c r="G1413" s="65">
        <v>90513</v>
      </c>
      <c r="H1413" s="75" t="s">
        <v>1914</v>
      </c>
      <c r="I1413" s="67" t="s">
        <v>642</v>
      </c>
      <c r="J1413" s="67" t="str">
        <f>INDEX(数据元说明!A:F,MATCH(I1413,数据元说明!C:C,0),2)</f>
        <v>003010</v>
      </c>
      <c r="K1413" s="68" t="str">
        <f>INDEX(数据元说明!A:F,MATCH(I1413,数据元说明!C:C,0),5)</f>
        <v>遵循《GB/T 12406 表示货币和资金的代码》的字母代码，如CNY。上述文件所列币种无法涵盖的，允许银行自定义填报。多个币种合计折算为人民币（本外币合计）的，填报为BWB。</v>
      </c>
      <c r="L1413" s="67" t="str">
        <f>INDEX(数据元说明!A:F,MATCH(I1413,数据元说明!C:C,0),6)</f>
        <v>C3</v>
      </c>
      <c r="M1413" s="68"/>
      <c r="N1413" s="68" t="s">
        <v>1601</v>
      </c>
      <c r="O1413" s="74"/>
      <c r="P1413" s="69"/>
    </row>
    <row r="1414" ht="39.95" hidden="1" customHeight="1" spans="1:16">
      <c r="A1414" s="63"/>
      <c r="B1414" s="64"/>
      <c r="C1414" s="59" t="s">
        <v>265</v>
      </c>
      <c r="D1414" s="59" t="s">
        <v>3368</v>
      </c>
      <c r="E1414" s="65">
        <v>905</v>
      </c>
      <c r="F1414" s="67" t="s">
        <v>2172</v>
      </c>
      <c r="G1414" s="65">
        <v>90514</v>
      </c>
      <c r="H1414" s="75" t="s">
        <v>2173</v>
      </c>
      <c r="I1414" s="67" t="s">
        <v>634</v>
      </c>
      <c r="J1414" s="67" t="str">
        <f>INDEX(数据元说明!A:F,MATCH(I1414,数据元说明!C:C,0),2)</f>
        <v>003008</v>
      </c>
      <c r="K1414" s="68" t="str">
        <f>INDEX(数据元说明!A:F,MATCH(I1414,数据元说明!C:C,0),5)</f>
        <v>与币种相对应金额。</v>
      </c>
      <c r="L1414" s="67" t="str">
        <f>INDEX(数据元说明!A:F,MATCH(I1414,数据元说明!C:C,0),6)</f>
        <v>D20.2</v>
      </c>
      <c r="M1414" s="68" t="s">
        <v>3387</v>
      </c>
      <c r="N1414" s="68" t="s">
        <v>1601</v>
      </c>
      <c r="O1414" s="74"/>
      <c r="P1414" s="69"/>
    </row>
    <row r="1415" ht="39.95" hidden="1" customHeight="1" spans="1:16">
      <c r="A1415" s="63"/>
      <c r="B1415" s="64"/>
      <c r="C1415" s="59" t="s">
        <v>265</v>
      </c>
      <c r="D1415" s="59" t="s">
        <v>3368</v>
      </c>
      <c r="E1415" s="65">
        <v>905</v>
      </c>
      <c r="F1415" s="67" t="s">
        <v>3388</v>
      </c>
      <c r="G1415" s="65">
        <v>90515</v>
      </c>
      <c r="H1415" s="75" t="s">
        <v>3389</v>
      </c>
      <c r="I1415" s="67" t="s">
        <v>325</v>
      </c>
      <c r="J1415" s="67" t="str">
        <f>INDEX(数据元说明!A:F,MATCH(I1415,数据元说明!C:C,0),2)</f>
        <v>001001</v>
      </c>
      <c r="K1415" s="68" t="str">
        <f>INDEX(数据元说明!A:F,MATCH(I1415,数据元说明!C:C,0),5)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15" s="67" t="str">
        <f>INDEX(数据元说明!A:F,MATCH(I1415,数据元说明!C:C,0),6)</f>
        <v>C..450</v>
      </c>
      <c r="M1415" s="68" t="s">
        <v>3390</v>
      </c>
      <c r="N1415" s="68" t="s">
        <v>1601</v>
      </c>
      <c r="O1415" s="74"/>
      <c r="P1415" s="69"/>
    </row>
    <row r="1416" ht="39.95" hidden="1" customHeight="1" outlineLevel="1" spans="1:16">
      <c r="A1416" s="63"/>
      <c r="B1416" s="64"/>
      <c r="C1416" s="59" t="s">
        <v>265</v>
      </c>
      <c r="D1416" s="59" t="s">
        <v>3368</v>
      </c>
      <c r="E1416" s="65">
        <v>905</v>
      </c>
      <c r="F1416" s="68" t="s">
        <v>3391</v>
      </c>
      <c r="G1416" s="65">
        <v>90516</v>
      </c>
      <c r="H1416" s="75" t="s">
        <v>3392</v>
      </c>
      <c r="I1416" s="68" t="s">
        <v>1168</v>
      </c>
      <c r="J1416" s="145" t="str">
        <f>INDEX(数据元说明!A:F,MATCH(I1416,数据元说明!C:C,0),2)</f>
        <v>010010</v>
      </c>
      <c r="K1416" s="68" t="str">
        <f>INDEX(数据元说明!A:F,MATCH(I1416,数据元说明!C:C,0),5)</f>
        <v>优先填报外部专业性的评级公司对融资人主体或资产的信用评级结果，如无，则由填报机构内部对融资人主体或资产的信用评级结果。</v>
      </c>
      <c r="L1416" s="68" t="s">
        <v>698</v>
      </c>
      <c r="M1416" s="68" t="s">
        <v>3393</v>
      </c>
      <c r="N1416" s="68" t="s">
        <v>1583</v>
      </c>
      <c r="O1416" s="68" t="s">
        <v>321</v>
      </c>
      <c r="P1416" s="86"/>
    </row>
    <row r="1417" ht="39.95" hidden="1" customHeight="1" collapsed="1" spans="1:16">
      <c r="A1417" s="63"/>
      <c r="B1417" s="64"/>
      <c r="C1417" s="59" t="s">
        <v>265</v>
      </c>
      <c r="D1417" s="59" t="s">
        <v>3368</v>
      </c>
      <c r="E1417" s="65">
        <v>905</v>
      </c>
      <c r="F1417" s="67" t="s">
        <v>3394</v>
      </c>
      <c r="G1417" s="65">
        <v>90517</v>
      </c>
      <c r="H1417" s="75" t="s">
        <v>3395</v>
      </c>
      <c r="I1417" s="67" t="s">
        <v>325</v>
      </c>
      <c r="J1417" s="67" t="str">
        <f>INDEX(数据元说明!A:F,MATCH(I1417,数据元说明!C:C,0),2)</f>
        <v>001001</v>
      </c>
      <c r="K1417" s="68" t="str">
        <f>INDEX(数据元说明!A:F,MATCH(I1417,数据元说明!C:C,0),5)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17" s="67" t="str">
        <f>INDEX(数据元说明!A:F,MATCH(I1417,数据元说明!C:C,0),6)</f>
        <v>C..450</v>
      </c>
      <c r="M1417" s="68" t="s">
        <v>3396</v>
      </c>
      <c r="N1417" s="68" t="s">
        <v>1583</v>
      </c>
      <c r="O1417" s="68" t="s">
        <v>322</v>
      </c>
      <c r="P1417" s="69"/>
    </row>
    <row r="1418" ht="39.95" hidden="1" customHeight="1" outlineLevel="1" spans="1:16">
      <c r="A1418" s="63"/>
      <c r="B1418" s="64"/>
      <c r="C1418" s="59" t="s">
        <v>265</v>
      </c>
      <c r="D1418" s="59" t="s">
        <v>3368</v>
      </c>
      <c r="E1418" s="65">
        <v>905</v>
      </c>
      <c r="F1418" s="80" t="s">
        <v>3397</v>
      </c>
      <c r="G1418" s="65">
        <v>90518</v>
      </c>
      <c r="H1418" s="75" t="s">
        <v>3398</v>
      </c>
      <c r="I1418" s="67" t="s">
        <v>704</v>
      </c>
      <c r="J1418" s="68" t="str">
        <f>INDEX(数据元说明!A:F,MATCH(I1418,数据元说明!C:C,0),2)</f>
        <v>003025</v>
      </c>
      <c r="K1418" s="68" t="str">
        <f>INDEX(数据元说明!A:F,MATCH(I1418,数据元说明!C:C,0),5)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418" s="80" t="s">
        <v>407</v>
      </c>
      <c r="M1418" s="68" t="s">
        <v>3399</v>
      </c>
      <c r="N1418" s="68" t="s">
        <v>1601</v>
      </c>
      <c r="O1418" s="68"/>
      <c r="P1418" s="86"/>
    </row>
    <row r="1419" ht="39.95" hidden="1" customHeight="1" outlineLevel="1" spans="1:16">
      <c r="A1419" s="63"/>
      <c r="B1419" s="64"/>
      <c r="C1419" s="59" t="s">
        <v>265</v>
      </c>
      <c r="D1419" s="59" t="s">
        <v>3368</v>
      </c>
      <c r="E1419" s="65">
        <v>905</v>
      </c>
      <c r="F1419" s="80" t="s">
        <v>3400</v>
      </c>
      <c r="G1419" s="65">
        <v>90519</v>
      </c>
      <c r="H1419" s="75" t="s">
        <v>3401</v>
      </c>
      <c r="I1419" s="80" t="s">
        <v>325</v>
      </c>
      <c r="J1419" s="68" t="str">
        <f>INDEX(数据元说明!A:F,MATCH(I1419,数据元说明!C:C,0),2)</f>
        <v>001001</v>
      </c>
      <c r="K1419" s="68" t="str">
        <f>INDEX(数据元说明!A:F,MATCH(I1419,数据元说明!C:C,0),5)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19" s="80" t="s">
        <v>367</v>
      </c>
      <c r="M1419" s="80" t="s">
        <v>3402</v>
      </c>
      <c r="N1419" s="68" t="s">
        <v>1601</v>
      </c>
      <c r="O1419" s="68"/>
      <c r="P1419" s="86"/>
    </row>
    <row r="1420" ht="39.95" hidden="1" customHeight="1" outlineLevel="1" spans="1:16">
      <c r="A1420" s="63"/>
      <c r="B1420" s="64"/>
      <c r="C1420" s="59" t="s">
        <v>265</v>
      </c>
      <c r="D1420" s="59" t="s">
        <v>3368</v>
      </c>
      <c r="E1420" s="65">
        <v>905</v>
      </c>
      <c r="F1420" s="80" t="s">
        <v>3403</v>
      </c>
      <c r="G1420" s="65">
        <v>90520</v>
      </c>
      <c r="H1420" s="75" t="s">
        <v>3404</v>
      </c>
      <c r="I1420" s="80" t="s">
        <v>325</v>
      </c>
      <c r="J1420" s="68" t="str">
        <f>INDEX(数据元说明!A:F,MATCH(I1420,数据元说明!C:C,0),2)</f>
        <v>001001</v>
      </c>
      <c r="K1420" s="68" t="str">
        <f>INDEX(数据元说明!A:F,MATCH(I1420,数据元说明!C:C,0),5)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20" s="80" t="s">
        <v>367</v>
      </c>
      <c r="M1420" s="80" t="s">
        <v>3405</v>
      </c>
      <c r="N1420" s="68" t="s">
        <v>1601</v>
      </c>
      <c r="O1420" s="68"/>
      <c r="P1420" s="86"/>
    </row>
    <row r="1421" ht="39.95" hidden="1" customHeight="1" outlineLevel="1" spans="1:16">
      <c r="A1421" s="63"/>
      <c r="B1421" s="64"/>
      <c r="C1421" s="59" t="s">
        <v>265</v>
      </c>
      <c r="D1421" s="59" t="s">
        <v>3368</v>
      </c>
      <c r="E1421" s="65">
        <v>905</v>
      </c>
      <c r="F1421" s="80" t="s">
        <v>3406</v>
      </c>
      <c r="G1421" s="65">
        <v>90521</v>
      </c>
      <c r="H1421" s="75" t="s">
        <v>3407</v>
      </c>
      <c r="I1421" s="80" t="s">
        <v>543</v>
      </c>
      <c r="J1421" s="67" t="str">
        <f>INDEX(数据元说明!A:F,MATCH(I1421,数据元说明!C:C,0),2)</f>
        <v>002014</v>
      </c>
      <c r="K1421" s="68" t="str">
        <f>INDEX(数据元说明!A:F,MATCH(I1421,数据元说明!C:C,0),5)</f>
        <v>行业分类按《GB/T 4754 国民经济行业分类》执行。填报至该客户所属行业的小类代码，如：所属行业为“稻谷种植”填报“A0111”。境外机构按“境外”填报。</v>
      </c>
      <c r="L1421" s="80" t="s">
        <v>367</v>
      </c>
      <c r="M1421" s="80" t="s">
        <v>3408</v>
      </c>
      <c r="N1421" s="68" t="s">
        <v>1601</v>
      </c>
      <c r="O1421" s="68"/>
      <c r="P1421" s="86"/>
    </row>
    <row r="1422" ht="39.95" hidden="1" customHeight="1" outlineLevel="1" spans="1:16">
      <c r="A1422" s="63"/>
      <c r="B1422" s="64"/>
      <c r="C1422" s="59" t="s">
        <v>265</v>
      </c>
      <c r="D1422" s="59" t="s">
        <v>3368</v>
      </c>
      <c r="E1422" s="65">
        <v>905</v>
      </c>
      <c r="F1422" s="68" t="s">
        <v>2689</v>
      </c>
      <c r="G1422" s="65">
        <v>90522</v>
      </c>
      <c r="H1422" s="67" t="s">
        <v>2690</v>
      </c>
      <c r="I1422" s="68" t="s">
        <v>642</v>
      </c>
      <c r="J1422" s="68" t="str">
        <f>INDEX(数据元说明!A:F,MATCH(I1422,数据元说明!C:C,0),2)</f>
        <v>003010</v>
      </c>
      <c r="K1422" s="68" t="str">
        <f>INDEX(数据元说明!A:F,MATCH(I1422,数据元说明!C:C,0),5)</f>
        <v>遵循《GB/T 12406 表示货币和资金的代码》的字母代码，如CNY。上述文件所列币种无法涵盖的，允许银行自定义填报。多个币种合计折算为人民币（本外币合计）的，填报为BWB。</v>
      </c>
      <c r="L1422" s="68" t="str">
        <f>INDEX(数据元说明!A:F,MATCH(I1422,数据元说明!C:C,0),6)</f>
        <v>C3</v>
      </c>
      <c r="M1422" s="68" t="s">
        <v>2691</v>
      </c>
      <c r="N1422" s="68" t="s">
        <v>1601</v>
      </c>
      <c r="O1422" s="68"/>
      <c r="P1422" s="68"/>
    </row>
    <row r="1423" ht="39.95" hidden="1" customHeight="1" outlineLevel="1" spans="1:16">
      <c r="A1423" s="63"/>
      <c r="B1423" s="64"/>
      <c r="C1423" s="59" t="s">
        <v>265</v>
      </c>
      <c r="D1423" s="59" t="s">
        <v>3368</v>
      </c>
      <c r="E1423" s="65">
        <v>905</v>
      </c>
      <c r="F1423" s="67" t="s">
        <v>2692</v>
      </c>
      <c r="G1423" s="65">
        <v>90523</v>
      </c>
      <c r="H1423" s="75" t="s">
        <v>2693</v>
      </c>
      <c r="I1423" s="67" t="s">
        <v>634</v>
      </c>
      <c r="J1423" s="68" t="str">
        <f>INDEX(数据元说明!A:F,MATCH(I1423,数据元说明!C:C,0),2)</f>
        <v>003008</v>
      </c>
      <c r="K1423" s="68" t="str">
        <f>INDEX(数据元说明!A:F,MATCH(I1423,数据元说明!C:C,0),5)</f>
        <v>与币种相对应金额。</v>
      </c>
      <c r="L1423" s="68" t="str">
        <f>INDEX(数据元说明!A:F,MATCH(I1423,数据元说明!C:C,0),6)</f>
        <v>D20.2</v>
      </c>
      <c r="M1423" s="68" t="s">
        <v>2694</v>
      </c>
      <c r="N1423" s="68" t="s">
        <v>1601</v>
      </c>
      <c r="O1423" s="68"/>
      <c r="P1423" s="68"/>
    </row>
    <row r="1424" ht="39.95" hidden="1" customHeight="1" outlineLevel="1" spans="1:16">
      <c r="A1424" s="63"/>
      <c r="B1424" s="64"/>
      <c r="C1424" s="59" t="s">
        <v>265</v>
      </c>
      <c r="D1424" s="59" t="s">
        <v>3368</v>
      </c>
      <c r="E1424" s="65">
        <v>905</v>
      </c>
      <c r="F1424" s="67" t="s">
        <v>721</v>
      </c>
      <c r="G1424" s="65">
        <v>90524</v>
      </c>
      <c r="H1424" s="75" t="s">
        <v>2189</v>
      </c>
      <c r="I1424" s="67" t="s">
        <v>721</v>
      </c>
      <c r="J1424" s="68" t="str">
        <f>INDEX(数据元说明!A:F,MATCH(I1424,数据元说明!C:C,0),2)</f>
        <v>004004</v>
      </c>
      <c r="K1424" s="68" t="str">
        <f>INDEX(数据元说明!A:F,MATCH(I1424,数据元说明!C:C,0),5)</f>
        <v>现，转。</v>
      </c>
      <c r="L1424" s="68" t="str">
        <f>INDEX(数据元说明!A:F,MATCH(I1424,数据元说明!C:C,0),6)</f>
        <v>C3</v>
      </c>
      <c r="M1424" s="68"/>
      <c r="N1424" s="68"/>
      <c r="O1424" s="68"/>
      <c r="P1424" s="68"/>
    </row>
    <row r="1425" ht="39.95" hidden="1" customHeight="1" collapsed="1" spans="1:16">
      <c r="A1425" s="63"/>
      <c r="B1425" s="64"/>
      <c r="C1425" s="59" t="s">
        <v>265</v>
      </c>
      <c r="D1425" s="59" t="s">
        <v>3368</v>
      </c>
      <c r="E1425" s="65">
        <v>905</v>
      </c>
      <c r="F1425" s="67" t="s">
        <v>2814</v>
      </c>
      <c r="G1425" s="65">
        <v>90525</v>
      </c>
      <c r="H1425" s="75" t="s">
        <v>3409</v>
      </c>
      <c r="I1425" s="67" t="s">
        <v>389</v>
      </c>
      <c r="J1425" s="67" t="str">
        <f>INDEX(数据元说明!A:F,MATCH(I1425,数据元说明!C:C,0),2)</f>
        <v>001015</v>
      </c>
      <c r="K1425" s="68" t="str">
        <f>INDEX(数据元说明!A:F,MATCH(I1425,数据元说明!C:C,0),5)</f>
        <v>工号，银行自定义。</v>
      </c>
      <c r="L1425" s="67" t="str">
        <f>INDEX(数据元说明!A:F,MATCH(I1425,数据元说明!C:C,0),6)</f>
        <v>C..30</v>
      </c>
      <c r="M1425" s="68" t="s">
        <v>3410</v>
      </c>
      <c r="N1425" s="68" t="s">
        <v>1601</v>
      </c>
      <c r="O1425" s="74"/>
      <c r="P1425" s="69"/>
    </row>
    <row r="1426" ht="39.95" hidden="1" customHeight="1" outlineLevel="1" spans="1:16">
      <c r="A1426" s="63"/>
      <c r="B1426" s="64"/>
      <c r="C1426" s="59" t="s">
        <v>265</v>
      </c>
      <c r="D1426" s="59" t="s">
        <v>3368</v>
      </c>
      <c r="E1426" s="65">
        <v>905</v>
      </c>
      <c r="F1426" s="67" t="s">
        <v>484</v>
      </c>
      <c r="G1426" s="65">
        <v>90526</v>
      </c>
      <c r="H1426" s="67" t="s">
        <v>1623</v>
      </c>
      <c r="I1426" s="67" t="s">
        <v>484</v>
      </c>
      <c r="J1426" s="67" t="str">
        <f>INDEX(数据元说明!A:F,MATCH(I1426,数据元说明!C:C,0),2)</f>
        <v>001038</v>
      </c>
      <c r="K1426" s="68" t="str">
        <f>INDEX(数据元说明!A:F,MATCH(I1426,数据元说明!C:C,0),5)</f>
        <v>银行自定义。</v>
      </c>
      <c r="L1426" s="67" t="str">
        <f>INDEX(数据元说明!A:F,MATCH(I1426,数据元说明!C:C,0),6)</f>
        <v>C..600</v>
      </c>
      <c r="M1426" s="68" t="s">
        <v>1624</v>
      </c>
      <c r="N1426" s="68" t="s">
        <v>1601</v>
      </c>
      <c r="O1426" s="68"/>
      <c r="P1426" s="68"/>
    </row>
    <row r="1427" ht="39.95" hidden="1" customHeight="1" outlineLevel="1" spans="1:16">
      <c r="A1427" s="63"/>
      <c r="B1427" s="64"/>
      <c r="C1427" s="59" t="s">
        <v>265</v>
      </c>
      <c r="D1427" s="59" t="s">
        <v>3368</v>
      </c>
      <c r="E1427" s="65">
        <v>905</v>
      </c>
      <c r="F1427" s="67" t="s">
        <v>1625</v>
      </c>
      <c r="G1427" s="65">
        <v>90527</v>
      </c>
      <c r="H1427" s="67" t="s">
        <v>1626</v>
      </c>
      <c r="I1427" s="67" t="s">
        <v>345</v>
      </c>
      <c r="J1427" s="67" t="str">
        <f>INDEX(数据元说明!A:F,MATCH(I1427,数据元说明!C:C,0),2)</f>
        <v>001005</v>
      </c>
      <c r="K1427" s="68" t="str">
        <f>INDEX(数据元说明!A:F,MATCH(I1427,数据元说明!C:C,0),5)</f>
        <v>YYYYMMDD，默认值99991231。</v>
      </c>
      <c r="L1427" s="67" t="str">
        <f>INDEX(数据元说明!A:F,MATCH(I1427,数据元说明!C:C,0),6)</f>
        <v>C8</v>
      </c>
      <c r="M1427" s="68" t="s">
        <v>1627</v>
      </c>
      <c r="N1427" s="68"/>
      <c r="O1427" s="68"/>
      <c r="P1427" s="68"/>
    </row>
    <row r="1428" ht="39.95" hidden="1" customHeight="1" collapsed="1" spans="1:16">
      <c r="A1428" s="63" t="s">
        <v>3411</v>
      </c>
      <c r="B1428" s="64" t="s">
        <v>269</v>
      </c>
      <c r="C1428" s="59"/>
      <c r="D1428" s="59"/>
      <c r="E1428" s="65"/>
      <c r="F1428" s="67"/>
      <c r="G1428" s="65"/>
      <c r="H1428" s="75"/>
      <c r="I1428" s="67"/>
      <c r="J1428" s="67"/>
      <c r="K1428" s="68"/>
      <c r="L1428" s="67"/>
      <c r="M1428" s="68"/>
      <c r="N1428" s="68"/>
      <c r="O1428" s="68"/>
      <c r="P1428" s="69"/>
    </row>
    <row r="1429" ht="39.95" hidden="1" customHeight="1" spans="1:16">
      <c r="A1429" s="63"/>
      <c r="B1429" s="64"/>
      <c r="C1429" s="59" t="s">
        <v>270</v>
      </c>
      <c r="D1429" s="59" t="s">
        <v>3412</v>
      </c>
      <c r="E1429" s="65">
        <v>1001</v>
      </c>
      <c r="F1429" s="67"/>
      <c r="G1429" s="65"/>
      <c r="H1429" s="75"/>
      <c r="I1429" s="67"/>
      <c r="J1429" s="67"/>
      <c r="K1429" s="68"/>
      <c r="L1429" s="67"/>
      <c r="M1429" s="68" t="str">
        <f>INDEX(表结构总览!D:G,MATCH(D1429,表结构总览!D:D,0),4)</f>
        <v>国家外汇管理局公布汇率的主要币种，填报各主要外币与人民币的折算汇率。其他货币对人民币的折算汇率，以当天美元兑人民币的基准汇率与同一天国际外汇市场其他货币兑美元汇率套算确定。机构可只填报常见的外币信息，但至少应包含其它表中填报使用过的所有外币。</v>
      </c>
      <c r="N1429" s="67" t="s">
        <v>1583</v>
      </c>
      <c r="O1429" s="67" t="s">
        <v>484</v>
      </c>
      <c r="P1429" s="69"/>
    </row>
    <row r="1430" ht="39.95" hidden="1" customHeight="1" outlineLevel="1" spans="1:16">
      <c r="A1430" s="63"/>
      <c r="B1430" s="64"/>
      <c r="C1430" s="59" t="s">
        <v>270</v>
      </c>
      <c r="D1430" s="59" t="s">
        <v>3412</v>
      </c>
      <c r="E1430" s="65">
        <v>1001</v>
      </c>
      <c r="F1430" s="67" t="s">
        <v>373</v>
      </c>
      <c r="G1430" s="65">
        <v>100101</v>
      </c>
      <c r="H1430" s="67" t="s">
        <v>1588</v>
      </c>
      <c r="I1430" s="67" t="s">
        <v>373</v>
      </c>
      <c r="J1430" s="67" t="str">
        <f>INDEX(数据元说明!A:F,MATCH(I1430,数据元说明!C:C,0),2)</f>
        <v>001011</v>
      </c>
      <c r="K1430" s="68" t="str">
        <f>INDEX(数据元说明!A:F,MATCH(I1430,数据元说明!C:C,0),5)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30" s="67" t="str">
        <f>INDEX(数据元说明!A:F,MATCH(I1430,数据元说明!C:C,0),6)</f>
        <v>C..30</v>
      </c>
      <c r="M1430" s="68" t="s">
        <v>2488</v>
      </c>
      <c r="N1430" s="86"/>
      <c r="O1430" s="68"/>
      <c r="P1430" s="68"/>
    </row>
    <row r="1431" ht="39.95" hidden="1" customHeight="1" outlineLevel="1" spans="1:16">
      <c r="A1431" s="63"/>
      <c r="B1431" s="64"/>
      <c r="C1431" s="59" t="s">
        <v>270</v>
      </c>
      <c r="D1431" s="59" t="s">
        <v>3412</v>
      </c>
      <c r="E1431" s="65">
        <v>1001</v>
      </c>
      <c r="F1431" s="67" t="s">
        <v>377</v>
      </c>
      <c r="G1431" s="65">
        <v>100102</v>
      </c>
      <c r="H1431" s="75" t="s">
        <v>1586</v>
      </c>
      <c r="I1431" s="67" t="s">
        <v>377</v>
      </c>
      <c r="J1431" s="67" t="str">
        <f>INDEX(数据元说明!A:F,MATCH(I1431,数据元说明!C:C,0),2)</f>
        <v>001012</v>
      </c>
      <c r="K1431" s="68" t="str">
        <f>INDEX(数据元说明!A:F,MATCH(I1431,数据元说明!C:C,0),5)</f>
        <v>银行内部机构号。应具有标识机构的唯一性。</v>
      </c>
      <c r="L1431" s="67" t="str">
        <f>INDEX(数据元说明!A:F,MATCH(I1431,数据元说明!C:C,0),6)</f>
        <v>C..30</v>
      </c>
      <c r="M1431" s="68" t="s">
        <v>1820</v>
      </c>
      <c r="N1431" s="68"/>
      <c r="O1431" s="68"/>
      <c r="P1431" s="69"/>
    </row>
    <row r="1432" ht="39.95" hidden="1" customHeight="1" outlineLevel="1" spans="1:16">
      <c r="A1432" s="63"/>
      <c r="B1432" s="64"/>
      <c r="C1432" s="59" t="s">
        <v>270</v>
      </c>
      <c r="D1432" s="59" t="s">
        <v>3412</v>
      </c>
      <c r="E1432" s="65">
        <v>1001</v>
      </c>
      <c r="F1432" s="67" t="s">
        <v>1592</v>
      </c>
      <c r="G1432" s="65">
        <v>100103</v>
      </c>
      <c r="H1432" s="75" t="s">
        <v>1593</v>
      </c>
      <c r="I1432" s="67" t="s">
        <v>325</v>
      </c>
      <c r="J1432" s="67" t="str">
        <f>INDEX(数据元说明!A:F,MATCH(I1432,数据元说明!C:C,0),2)</f>
        <v>001001</v>
      </c>
      <c r="K1432" s="68" t="str">
        <f>INDEX(数据元说明!A:F,MATCH(I1432,数据元说明!C:C,0),5)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32" s="67" t="str">
        <f>INDEX(数据元说明!A:F,MATCH(I1432,数据元说明!C:C,0),6)</f>
        <v>C..450</v>
      </c>
      <c r="M1432" s="68" t="s">
        <v>1631</v>
      </c>
      <c r="N1432" s="68" t="s">
        <v>1583</v>
      </c>
      <c r="O1432" s="68" t="s">
        <v>322</v>
      </c>
      <c r="P1432" s="69"/>
    </row>
    <row r="1433" ht="39.95" hidden="1" customHeight="1" outlineLevel="1" spans="1:16">
      <c r="A1433" s="63"/>
      <c r="B1433" s="64"/>
      <c r="C1433" s="59" t="s">
        <v>270</v>
      </c>
      <c r="D1433" s="59" t="s">
        <v>3412</v>
      </c>
      <c r="E1433" s="65">
        <v>1001</v>
      </c>
      <c r="F1433" s="67" t="s">
        <v>3413</v>
      </c>
      <c r="G1433" s="65">
        <v>100104</v>
      </c>
      <c r="H1433" s="75" t="s">
        <v>3414</v>
      </c>
      <c r="I1433" s="67" t="s">
        <v>445</v>
      </c>
      <c r="J1433" s="67" t="str">
        <f>INDEX(数据元说明!A:F,MATCH(I1433,数据元说明!C:C,0),2)</f>
        <v>001029</v>
      </c>
      <c r="K1433" s="68" t="str">
        <f>INDEX(数据元说明!A:F,MATCH(I1433,数据元说明!C:C,0),5)</f>
        <v>数量。</v>
      </c>
      <c r="L1433" s="67" t="str">
        <f>INDEX(数据元说明!A:F,MATCH(I1433,数据元说明!C:C,0),6)</f>
        <v>D20</v>
      </c>
      <c r="M1433" s="68" t="s">
        <v>3415</v>
      </c>
      <c r="N1433" s="68" t="s">
        <v>1601</v>
      </c>
      <c r="O1433" s="68"/>
      <c r="P1433" s="69"/>
    </row>
    <row r="1434" ht="39.95" hidden="1" customHeight="1" outlineLevel="1" spans="1:16">
      <c r="A1434" s="63"/>
      <c r="B1434" s="64"/>
      <c r="C1434" s="59" t="s">
        <v>270</v>
      </c>
      <c r="D1434" s="59" t="s">
        <v>3412</v>
      </c>
      <c r="E1434" s="65">
        <v>1001</v>
      </c>
      <c r="F1434" s="67" t="s">
        <v>3074</v>
      </c>
      <c r="G1434" s="65">
        <v>100105</v>
      </c>
      <c r="H1434" s="75" t="s">
        <v>3075</v>
      </c>
      <c r="I1434" s="67" t="s">
        <v>642</v>
      </c>
      <c r="J1434" s="67" t="str">
        <f>INDEX(数据元说明!A:F,MATCH(I1434,数据元说明!C:C,0),2)</f>
        <v>003010</v>
      </c>
      <c r="K1434" s="68" t="str">
        <f>INDEX(数据元说明!A:F,MATCH(I1434,数据元说明!C:C,0),5)</f>
        <v>遵循《GB/T 12406 表示货币和资金的代码》的字母代码，如CNY。上述文件所列币种无法涵盖的，允许银行自定义填报。多个币种合计折算为人民币（本外币合计）的，填报为BWB。</v>
      </c>
      <c r="L1434" s="67" t="str">
        <f>INDEX(数据元说明!A:F,MATCH(I1434,数据元说明!C:C,0),6)</f>
        <v>C3</v>
      </c>
      <c r="M1434" s="68" t="s">
        <v>1679</v>
      </c>
      <c r="N1434" s="68"/>
      <c r="O1434" s="68"/>
      <c r="P1434" s="69"/>
    </row>
    <row r="1435" ht="39.95" hidden="1" customHeight="1" outlineLevel="1" spans="1:16">
      <c r="A1435" s="63"/>
      <c r="B1435" s="64"/>
      <c r="C1435" s="59" t="s">
        <v>270</v>
      </c>
      <c r="D1435" s="59" t="s">
        <v>3412</v>
      </c>
      <c r="E1435" s="65">
        <v>1001</v>
      </c>
      <c r="F1435" s="67" t="s">
        <v>3416</v>
      </c>
      <c r="G1435" s="65">
        <v>100106</v>
      </c>
      <c r="H1435" s="75" t="s">
        <v>3417</v>
      </c>
      <c r="I1435" s="67" t="s">
        <v>445</v>
      </c>
      <c r="J1435" s="67" t="str">
        <f>INDEX(数据元说明!A:F,MATCH(I1435,数据元说明!C:C,0),2)</f>
        <v>001029</v>
      </c>
      <c r="K1435" s="68" t="str">
        <f>INDEX(数据元说明!A:F,MATCH(I1435,数据元说明!C:C,0),5)</f>
        <v>数量。</v>
      </c>
      <c r="L1435" s="67" t="str">
        <f>INDEX(数据元说明!A:F,MATCH(I1435,数据元说明!C:C,0),6)</f>
        <v>D20</v>
      </c>
      <c r="M1435" s="68"/>
      <c r="N1435" s="68" t="s">
        <v>1601</v>
      </c>
      <c r="O1435" s="68"/>
      <c r="P1435" s="69"/>
    </row>
    <row r="1436" ht="39.95" hidden="1" customHeight="1" outlineLevel="1" spans="1:16">
      <c r="A1436" s="63"/>
      <c r="B1436" s="64"/>
      <c r="C1436" s="59" t="s">
        <v>270</v>
      </c>
      <c r="D1436" s="59" t="s">
        <v>3412</v>
      </c>
      <c r="E1436" s="65">
        <v>1001</v>
      </c>
      <c r="F1436" s="67" t="s">
        <v>3418</v>
      </c>
      <c r="G1436" s="65">
        <v>100107</v>
      </c>
      <c r="H1436" s="75" t="s">
        <v>3419</v>
      </c>
      <c r="I1436" s="67" t="s">
        <v>642</v>
      </c>
      <c r="J1436" s="67" t="str">
        <f>INDEX(数据元说明!A:F,MATCH(I1436,数据元说明!C:C,0),2)</f>
        <v>003010</v>
      </c>
      <c r="K1436" s="68" t="str">
        <f>INDEX(数据元说明!A:F,MATCH(I1436,数据元说明!C:C,0),5)</f>
        <v>遵循《GB/T 12406 表示货币和资金的代码》的字母代码，如CNY。上述文件所列币种无法涵盖的，允许银行自定义填报。多个币种合计折算为人民币（本外币合计）的，填报为BWB。</v>
      </c>
      <c r="L1436" s="67" t="str">
        <f>INDEX(数据元说明!A:F,MATCH(I1436,数据元说明!C:C,0),6)</f>
        <v>C3</v>
      </c>
      <c r="M1436" s="68" t="s">
        <v>1679</v>
      </c>
      <c r="N1436" s="68"/>
      <c r="O1436" s="68"/>
      <c r="P1436" s="69"/>
    </row>
    <row r="1437" ht="39.95" hidden="1" customHeight="1" outlineLevel="1" spans="1:16">
      <c r="A1437" s="63"/>
      <c r="B1437" s="64"/>
      <c r="C1437" s="59" t="s">
        <v>270</v>
      </c>
      <c r="D1437" s="59" t="s">
        <v>3412</v>
      </c>
      <c r="E1437" s="65">
        <v>1001</v>
      </c>
      <c r="F1437" s="67" t="s">
        <v>3420</v>
      </c>
      <c r="G1437" s="65">
        <v>100108</v>
      </c>
      <c r="H1437" s="75" t="s">
        <v>3421</v>
      </c>
      <c r="I1437" s="67" t="s">
        <v>345</v>
      </c>
      <c r="J1437" s="67" t="str">
        <f>INDEX(数据元说明!A:F,MATCH(I1437,数据元说明!C:C,0),2)</f>
        <v>001005</v>
      </c>
      <c r="K1437" s="68" t="str">
        <f>INDEX(数据元说明!A:F,MATCH(I1437,数据元说明!C:C,0),5)</f>
        <v>YYYYMMDD，默认值99991231。</v>
      </c>
      <c r="L1437" s="67" t="str">
        <f>INDEX(数据元说明!A:F,MATCH(I1437,数据元说明!C:C,0),6)</f>
        <v>C8</v>
      </c>
      <c r="M1437" s="68" t="s">
        <v>3422</v>
      </c>
      <c r="N1437" s="68"/>
      <c r="O1437" s="68"/>
      <c r="P1437" s="69"/>
    </row>
    <row r="1438" ht="39.95" hidden="1" customHeight="1" outlineLevel="1" spans="1:16">
      <c r="A1438" s="63"/>
      <c r="B1438" s="64"/>
      <c r="C1438" s="59" t="s">
        <v>270</v>
      </c>
      <c r="D1438" s="59" t="s">
        <v>3412</v>
      </c>
      <c r="E1438" s="65">
        <v>1001</v>
      </c>
      <c r="F1438" s="67" t="s">
        <v>484</v>
      </c>
      <c r="G1438" s="65">
        <v>100109</v>
      </c>
      <c r="H1438" s="67" t="s">
        <v>1623</v>
      </c>
      <c r="I1438" s="67" t="s">
        <v>484</v>
      </c>
      <c r="J1438" s="67" t="str">
        <f>INDEX(数据元说明!A:F,MATCH(I1438,数据元说明!C:C,0),2)</f>
        <v>001038</v>
      </c>
      <c r="K1438" s="68" t="str">
        <f>INDEX(数据元说明!A:F,MATCH(I1438,数据元说明!C:C,0),5)</f>
        <v>银行自定义。</v>
      </c>
      <c r="L1438" s="67" t="str">
        <f>INDEX(数据元说明!A:F,MATCH(I1438,数据元说明!C:C,0),6)</f>
        <v>C..600</v>
      </c>
      <c r="M1438" s="68" t="s">
        <v>1624</v>
      </c>
      <c r="N1438" s="68" t="s">
        <v>1601</v>
      </c>
      <c r="O1438" s="68"/>
      <c r="P1438" s="68"/>
    </row>
    <row r="1439" ht="39.95" hidden="1" customHeight="1" outlineLevel="1" spans="1:16">
      <c r="A1439" s="63"/>
      <c r="B1439" s="64"/>
      <c r="C1439" s="59" t="s">
        <v>270</v>
      </c>
      <c r="D1439" s="59" t="s">
        <v>3412</v>
      </c>
      <c r="E1439" s="65">
        <v>1001</v>
      </c>
      <c r="F1439" s="67" t="s">
        <v>1625</v>
      </c>
      <c r="G1439" s="65">
        <v>100110</v>
      </c>
      <c r="H1439" s="75" t="s">
        <v>1626</v>
      </c>
      <c r="I1439" s="67" t="s">
        <v>345</v>
      </c>
      <c r="J1439" s="67" t="str">
        <f>INDEX(数据元说明!A:F,MATCH(I1439,数据元说明!C:C,0),2)</f>
        <v>001005</v>
      </c>
      <c r="K1439" s="68" t="str">
        <f>INDEX(数据元说明!A:F,MATCH(I1439,数据元说明!C:C,0),5)</f>
        <v>YYYYMMDD，默认值99991231。</v>
      </c>
      <c r="L1439" s="67" t="str">
        <f>INDEX(数据元说明!A:F,MATCH(I1439,数据元说明!C:C,0),6)</f>
        <v>C8</v>
      </c>
      <c r="M1439" s="68" t="s">
        <v>1627</v>
      </c>
      <c r="N1439" s="68"/>
      <c r="O1439" s="68"/>
      <c r="P1439" s="69"/>
    </row>
    <row r="1440" ht="39.95" hidden="1" customHeight="1" collapsed="1" spans="1:16">
      <c r="A1440" s="63"/>
      <c r="B1440" s="64"/>
      <c r="C1440" s="59" t="s">
        <v>274</v>
      </c>
      <c r="D1440" s="59" t="s">
        <v>3423</v>
      </c>
      <c r="E1440" s="65">
        <v>1002</v>
      </c>
      <c r="F1440" s="67"/>
      <c r="G1440" s="65"/>
      <c r="H1440" s="75"/>
      <c r="I1440" s="67"/>
      <c r="J1440" s="67"/>
      <c r="K1440" s="68"/>
      <c r="L1440" s="67"/>
      <c r="M1440" s="68" t="str">
        <f>INDEX(表结构总览!D:G,MATCH(D1440,表结构总览!D:D,0),4)</f>
        <v>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v>
      </c>
      <c r="N1440" s="68" t="s">
        <v>1583</v>
      </c>
      <c r="O1440" s="68" t="s">
        <v>484</v>
      </c>
      <c r="P1440" s="69"/>
    </row>
    <row r="1441" ht="39.95" hidden="1" customHeight="1" outlineLevel="1" spans="1:16">
      <c r="A1441" s="63"/>
      <c r="B1441" s="64"/>
      <c r="C1441" s="59" t="s">
        <v>274</v>
      </c>
      <c r="D1441" s="59" t="s">
        <v>3423</v>
      </c>
      <c r="E1441" s="65">
        <v>1002</v>
      </c>
      <c r="F1441" s="67" t="s">
        <v>373</v>
      </c>
      <c r="G1441" s="65">
        <v>100201</v>
      </c>
      <c r="H1441" s="67" t="s">
        <v>1588</v>
      </c>
      <c r="I1441" s="67" t="s">
        <v>373</v>
      </c>
      <c r="J1441" s="67" t="str">
        <f>INDEX(数据元说明!A:F,MATCH(I1441,数据元说明!C:C,0),2)</f>
        <v>001011</v>
      </c>
      <c r="K1441" s="68" t="str">
        <f>INDEX(数据元说明!A:F,MATCH(I1441,数据元说明!C:C,0),5)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41" s="67" t="str">
        <f>INDEX(数据元说明!A:F,MATCH(I1441,数据元说明!C:C,0),6)</f>
        <v>C..30</v>
      </c>
      <c r="M1441" s="68" t="s">
        <v>2488</v>
      </c>
      <c r="N1441" s="86"/>
      <c r="O1441" s="68"/>
      <c r="P1441" s="68"/>
    </row>
    <row r="1442" ht="39.95" hidden="1" customHeight="1" outlineLevel="1" spans="1:16">
      <c r="A1442" s="63"/>
      <c r="B1442" s="64"/>
      <c r="C1442" s="59" t="s">
        <v>274</v>
      </c>
      <c r="D1442" s="59" t="s">
        <v>3423</v>
      </c>
      <c r="E1442" s="65">
        <v>1002</v>
      </c>
      <c r="F1442" s="68" t="s">
        <v>377</v>
      </c>
      <c r="G1442" s="65">
        <v>100202</v>
      </c>
      <c r="H1442" s="75" t="s">
        <v>1586</v>
      </c>
      <c r="I1442" s="68" t="s">
        <v>377</v>
      </c>
      <c r="J1442" s="68" t="str">
        <f>INDEX(数据元说明!A:F,MATCH(I1442,数据元说明!C:C,0),2)</f>
        <v>001012</v>
      </c>
      <c r="K1442" s="68" t="str">
        <f>INDEX(数据元说明!A:F,MATCH(I1442,数据元说明!C:C,0),5)</f>
        <v>银行内部机构号。应具有标识机构的唯一性。</v>
      </c>
      <c r="L1442" s="68" t="str">
        <f>INDEX(数据元说明!A:F,MATCH(I1442,数据元说明!C:C,0),6)</f>
        <v>C..30</v>
      </c>
      <c r="M1442" s="68" t="s">
        <v>3424</v>
      </c>
      <c r="N1442" s="68"/>
      <c r="O1442" s="68"/>
      <c r="P1442" s="86"/>
    </row>
    <row r="1443" ht="39.95" hidden="1" customHeight="1" outlineLevel="1" spans="1:16">
      <c r="A1443" s="63"/>
      <c r="B1443" s="64"/>
      <c r="C1443" s="59" t="s">
        <v>274</v>
      </c>
      <c r="D1443" s="59" t="s">
        <v>3423</v>
      </c>
      <c r="E1443" s="65">
        <v>1002</v>
      </c>
      <c r="F1443" s="68" t="s">
        <v>1592</v>
      </c>
      <c r="G1443" s="65">
        <v>100203</v>
      </c>
      <c r="H1443" s="68" t="s">
        <v>1593</v>
      </c>
      <c r="I1443" s="68" t="s">
        <v>325</v>
      </c>
      <c r="J1443" s="68" t="str">
        <f>INDEX(数据元说明!A:F,MATCH(I1443,数据元说明!C:C,0),2)</f>
        <v>001001</v>
      </c>
      <c r="K1443" s="68" t="str">
        <f>INDEX(数据元说明!A:F,MATCH(I1443,数据元说明!C:C,0),5)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43" s="68" t="str">
        <f>INDEX(数据元说明!A:F,MATCH(I1443,数据元说明!C:C,0),6)</f>
        <v>C..450</v>
      </c>
      <c r="M1443" s="68" t="s">
        <v>1631</v>
      </c>
      <c r="N1443" s="86"/>
      <c r="O1443" s="68"/>
      <c r="P1443" s="68"/>
    </row>
    <row r="1444" ht="39.95" hidden="1" customHeight="1" outlineLevel="1" spans="1:16">
      <c r="A1444" s="63"/>
      <c r="B1444" s="64"/>
      <c r="C1444" s="59" t="s">
        <v>274</v>
      </c>
      <c r="D1444" s="59" t="s">
        <v>3423</v>
      </c>
      <c r="E1444" s="65">
        <v>1002</v>
      </c>
      <c r="F1444" s="87" t="s">
        <v>1132</v>
      </c>
      <c r="G1444" s="65">
        <v>100204</v>
      </c>
      <c r="H1444" s="75" t="s">
        <v>3425</v>
      </c>
      <c r="I1444" s="87" t="s">
        <v>1132</v>
      </c>
      <c r="J1444" s="144" t="str">
        <f>INDEX(数据元说明!A:F,MATCH(I1444,数据元说明!C:C,0),2)</f>
        <v>010001</v>
      </c>
      <c r="K1444" s="68" t="str">
        <f>INDEX(数据元说明!A:F,MATCH(I1444,数据元说明!C:C,0),5)</f>
        <v>能在表内唯一识别金融工具的编号，包括但不限于标准化或非标准化金融产品。在中登公司有登记的金融产品，需填报在中登公司记录的正确编号，如果不是标准产品，则由银行自定义。</v>
      </c>
      <c r="L1444" s="67" t="str">
        <f>INDEX(数据元说明!A:F,MATCH(I1444,数据元说明!C:C,0),6)</f>
        <v>C..60</v>
      </c>
      <c r="M1444" s="68" t="s">
        <v>3426</v>
      </c>
      <c r="N1444" s="68" t="s">
        <v>1583</v>
      </c>
      <c r="O1444" s="68" t="s">
        <v>1597</v>
      </c>
      <c r="P1444" s="69"/>
    </row>
    <row r="1445" ht="39.95" hidden="1" customHeight="1" outlineLevel="1" spans="1:16">
      <c r="A1445" s="63"/>
      <c r="B1445" s="64"/>
      <c r="C1445" s="59" t="s">
        <v>274</v>
      </c>
      <c r="D1445" s="59" t="s">
        <v>3423</v>
      </c>
      <c r="E1445" s="65">
        <v>1002</v>
      </c>
      <c r="F1445" s="87" t="s">
        <v>1136</v>
      </c>
      <c r="G1445" s="65">
        <v>100205</v>
      </c>
      <c r="H1445" s="75" t="s">
        <v>3427</v>
      </c>
      <c r="I1445" s="87" t="s">
        <v>1136</v>
      </c>
      <c r="J1445" s="144" t="str">
        <f>INDEX(数据元说明!A:F,MATCH(I1445,数据元说明!C:C,0),2)</f>
        <v>010002</v>
      </c>
      <c r="K1445" s="68" t="str">
        <f>INDEX(数据元说明!A:F,MATCH(I1445,数据元说明!C:C,0),5)</f>
        <v>金融产品名称，包括但不限于标准化或非标准化金融产品。如果不是标准产品，则由银行自定义。</v>
      </c>
      <c r="L1445" s="67" t="str">
        <f>INDEX(数据元说明!A:F,MATCH(I1445,数据元说明!C:C,0),6)</f>
        <v>C..450</v>
      </c>
      <c r="M1445" s="68" t="s">
        <v>3428</v>
      </c>
      <c r="N1445" s="68" t="s">
        <v>1583</v>
      </c>
      <c r="O1445" s="68" t="s">
        <v>322</v>
      </c>
      <c r="P1445" s="69"/>
    </row>
    <row r="1446" ht="39.95" hidden="1" customHeight="1" outlineLevel="1" spans="1:16">
      <c r="A1446" s="63"/>
      <c r="B1446" s="64"/>
      <c r="C1446" s="59" t="s">
        <v>274</v>
      </c>
      <c r="D1446" s="59" t="s">
        <v>3423</v>
      </c>
      <c r="E1446" s="65">
        <v>1002</v>
      </c>
      <c r="F1446" s="87" t="s">
        <v>1140</v>
      </c>
      <c r="G1446" s="65">
        <v>100206</v>
      </c>
      <c r="H1446" s="75" t="s">
        <v>2906</v>
      </c>
      <c r="I1446" s="87" t="s">
        <v>1140</v>
      </c>
      <c r="J1446" s="144" t="str">
        <f>INDEX(数据元说明!A:F,MATCH(I1446,数据元说明!C:C,0),2)</f>
        <v>010003</v>
      </c>
      <c r="K1446" s="68" t="str">
        <f>INDEX(数据元说明!A:F,MATCH(I1446,数据元说明!C:C,0),5)</f>
        <v>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v>
      </c>
      <c r="L1446" s="67" t="str">
        <f>INDEX(数据元说明!A:F,MATCH(I1446,数据元说明!C:C,0),6)</f>
        <v>C..120</v>
      </c>
      <c r="M1446" s="68" t="s">
        <v>3429</v>
      </c>
      <c r="N1446" s="68" t="s">
        <v>1583</v>
      </c>
      <c r="O1446" s="68" t="s">
        <v>322</v>
      </c>
      <c r="P1446" s="69"/>
    </row>
    <row r="1447" ht="39.95" hidden="1" customHeight="1" outlineLevel="1" spans="1:16">
      <c r="A1447" s="63"/>
      <c r="B1447" s="64"/>
      <c r="C1447" s="59" t="s">
        <v>274</v>
      </c>
      <c r="D1447" s="59" t="s">
        <v>3423</v>
      </c>
      <c r="E1447" s="65">
        <v>1002</v>
      </c>
      <c r="F1447" s="87" t="s">
        <v>642</v>
      </c>
      <c r="G1447" s="65">
        <v>100207</v>
      </c>
      <c r="H1447" s="75" t="s">
        <v>1914</v>
      </c>
      <c r="I1447" s="87" t="s">
        <v>642</v>
      </c>
      <c r="J1447" s="67" t="str">
        <f>INDEX(数据元说明!A:F,MATCH(I1447,数据元说明!C:C,0),2)</f>
        <v>003010</v>
      </c>
      <c r="K1447" s="68" t="str">
        <f>INDEX(数据元说明!A:F,MATCH(I1447,数据元说明!C:C,0),5)</f>
        <v>遵循《GB/T 12406 表示货币和资金的代码》的字母代码，如CNY。上述文件所列币种无法涵盖的，允许银行自定义填报。多个币种合计折算为人民币（本外币合计）的，填报为BWB。</v>
      </c>
      <c r="L1447" s="67" t="str">
        <f>INDEX(数据元说明!A:F,MATCH(I1447,数据元说明!C:C,0),6)</f>
        <v>C3</v>
      </c>
      <c r="M1447" s="68"/>
      <c r="N1447" s="68"/>
      <c r="O1447" s="68"/>
      <c r="P1447" s="69"/>
    </row>
    <row r="1448" ht="39.95" hidden="1" customHeight="1" outlineLevel="1" spans="1:16">
      <c r="A1448" s="63"/>
      <c r="B1448" s="64"/>
      <c r="C1448" s="59" t="s">
        <v>274</v>
      </c>
      <c r="D1448" s="59" t="s">
        <v>3423</v>
      </c>
      <c r="E1448" s="65">
        <v>1002</v>
      </c>
      <c r="F1448" s="87" t="s">
        <v>3430</v>
      </c>
      <c r="G1448" s="65">
        <v>100208</v>
      </c>
      <c r="H1448" s="75" t="s">
        <v>3431</v>
      </c>
      <c r="I1448" s="67" t="s">
        <v>634</v>
      </c>
      <c r="J1448" s="67" t="str">
        <f>INDEX(数据元说明!A:F,MATCH(I1448,数据元说明!C:C,0),2)</f>
        <v>003008</v>
      </c>
      <c r="K1448" s="68" t="str">
        <f>INDEX(数据元说明!A:F,MATCH(I1448,数据元说明!C:C,0),5)</f>
        <v>与币种相对应金额。</v>
      </c>
      <c r="L1448" s="67" t="str">
        <f>INDEX(数据元说明!A:F,MATCH(I1448,数据元说明!C:C,0),6)</f>
        <v>D20.2</v>
      </c>
      <c r="M1448" s="68" t="s">
        <v>3432</v>
      </c>
      <c r="N1448" s="67" t="s">
        <v>1583</v>
      </c>
      <c r="O1448" s="67" t="s">
        <v>484</v>
      </c>
      <c r="P1448" s="69"/>
    </row>
    <row r="1449" ht="39.95" hidden="1" customHeight="1" outlineLevel="1" spans="1:16">
      <c r="A1449" s="63"/>
      <c r="B1449" s="64"/>
      <c r="C1449" s="59" t="s">
        <v>274</v>
      </c>
      <c r="D1449" s="59" t="s">
        <v>3423</v>
      </c>
      <c r="E1449" s="65">
        <v>1002</v>
      </c>
      <c r="F1449" s="87" t="s">
        <v>3433</v>
      </c>
      <c r="G1449" s="65">
        <v>100209</v>
      </c>
      <c r="H1449" s="75" t="s">
        <v>3434</v>
      </c>
      <c r="I1449" s="67" t="s">
        <v>634</v>
      </c>
      <c r="J1449" s="67" t="str">
        <f>INDEX(数据元说明!A:F,MATCH(I1449,数据元说明!C:C,0),2)</f>
        <v>003008</v>
      </c>
      <c r="K1449" s="68" t="str">
        <f>INDEX(数据元说明!A:F,MATCH(I1449,数据元说明!C:C,0),5)</f>
        <v>与币种相对应金额。</v>
      </c>
      <c r="L1449" s="67" t="str">
        <f>INDEX(数据元说明!A:F,MATCH(I1449,数据元说明!C:C,0),6)</f>
        <v>D20.2</v>
      </c>
      <c r="M1449" s="68" t="s">
        <v>3435</v>
      </c>
      <c r="N1449" s="68" t="s">
        <v>1601</v>
      </c>
      <c r="O1449" s="68"/>
      <c r="P1449" s="69"/>
    </row>
    <row r="1450" ht="39.95" hidden="1" customHeight="1" outlineLevel="1" spans="1:16">
      <c r="A1450" s="63"/>
      <c r="B1450" s="64"/>
      <c r="C1450" s="59" t="s">
        <v>274</v>
      </c>
      <c r="D1450" s="59" t="s">
        <v>3423</v>
      </c>
      <c r="E1450" s="65">
        <v>1002</v>
      </c>
      <c r="F1450" s="87" t="s">
        <v>3388</v>
      </c>
      <c r="G1450" s="65">
        <v>100210</v>
      </c>
      <c r="H1450" s="75" t="s">
        <v>3389</v>
      </c>
      <c r="I1450" s="67" t="s">
        <v>325</v>
      </c>
      <c r="J1450" s="67" t="str">
        <f>INDEX(数据元说明!A:F,MATCH(I1450,数据元说明!C:C,0),2)</f>
        <v>001001</v>
      </c>
      <c r="K1450" s="68" t="str">
        <f>INDEX(数据元说明!A:F,MATCH(I1450,数据元说明!C:C,0),5)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50" s="67" t="str">
        <f>INDEX(数据元说明!A:F,MATCH(I1450,数据元说明!C:C,0),6)</f>
        <v>C..450</v>
      </c>
      <c r="M1450" s="68" t="s">
        <v>3436</v>
      </c>
      <c r="N1450" s="68" t="s">
        <v>1583</v>
      </c>
      <c r="O1450" s="68" t="s">
        <v>322</v>
      </c>
      <c r="P1450" s="69"/>
    </row>
    <row r="1451" ht="39.95" hidden="1" customHeight="1" outlineLevel="1" spans="1:16">
      <c r="A1451" s="63"/>
      <c r="B1451" s="64"/>
      <c r="C1451" s="59" t="s">
        <v>274</v>
      </c>
      <c r="D1451" s="59" t="s">
        <v>3423</v>
      </c>
      <c r="E1451" s="65">
        <v>1002</v>
      </c>
      <c r="F1451" s="87" t="s">
        <v>1458</v>
      </c>
      <c r="G1451" s="65">
        <v>100211</v>
      </c>
      <c r="H1451" s="75" t="s">
        <v>3437</v>
      </c>
      <c r="I1451" s="88" t="s">
        <v>552</v>
      </c>
      <c r="J1451" s="67" t="str">
        <f>INDEX(数据元说明!A:F,MATCH(I1451,数据元说明!C:C,0),2)</f>
        <v>002016</v>
      </c>
      <c r="K1451" s="68" t="str">
        <f>INDEX(数据元说明!A:F,MATCH(I1451,数据元说明!C:C,0),5)</f>
        <v>已登记统一社会信用代码的，填18位统一社会信用代码；未登记统一社会信用代码的，填组织机构代码。境外机构、临时验资户类客户填写默认值0</v>
      </c>
      <c r="L1451" s="67" t="str">
        <f>INDEX(数据元说明!A:F,MATCH(I1451,数据元说明!C:C,0),6)</f>
        <v>C..40</v>
      </c>
      <c r="M1451" s="68" t="s">
        <v>3438</v>
      </c>
      <c r="N1451" s="68" t="s">
        <v>1583</v>
      </c>
      <c r="O1451" s="68" t="s">
        <v>1576</v>
      </c>
      <c r="P1451" s="69"/>
    </row>
    <row r="1452" ht="39.95" hidden="1" customHeight="1" outlineLevel="1" spans="1:16">
      <c r="A1452" s="63"/>
      <c r="B1452" s="64"/>
      <c r="C1452" s="59" t="s">
        <v>274</v>
      </c>
      <c r="D1452" s="59" t="s">
        <v>3423</v>
      </c>
      <c r="E1452" s="65">
        <v>1002</v>
      </c>
      <c r="F1452" s="87" t="s">
        <v>3439</v>
      </c>
      <c r="G1452" s="65">
        <v>100212</v>
      </c>
      <c r="H1452" s="75" t="s">
        <v>3440</v>
      </c>
      <c r="I1452" s="67" t="s">
        <v>1148</v>
      </c>
      <c r="J1452" s="144" t="str">
        <f>INDEX(数据元说明!A:F,MATCH(I1452,数据元说明!C:C,0),2)</f>
        <v>010005</v>
      </c>
      <c r="K1452" s="68" t="str">
        <f>INDEX(数据元说明!A:F,MATCH(I1452,数据元说明!C:C,0),5)</f>
        <v>《GB/T 2659 世界各国和地区名称代码》定义的三字符代码，如CHN。</v>
      </c>
      <c r="L1452" s="67" t="str">
        <f>INDEX(数据元说明!A:F,MATCH(I1452,数据元说明!C:C,0),6)</f>
        <v>C3</v>
      </c>
      <c r="M1452" s="68" t="s">
        <v>3441</v>
      </c>
      <c r="N1452" s="68" t="s">
        <v>1583</v>
      </c>
      <c r="O1452" s="68" t="s">
        <v>322</v>
      </c>
      <c r="P1452" s="69"/>
    </row>
    <row r="1453" ht="39.95" hidden="1" customHeight="1" outlineLevel="1" spans="1:16">
      <c r="A1453" s="63"/>
      <c r="B1453" s="64"/>
      <c r="C1453" s="59" t="s">
        <v>274</v>
      </c>
      <c r="D1453" s="59" t="s">
        <v>3423</v>
      </c>
      <c r="E1453" s="65">
        <v>1002</v>
      </c>
      <c r="F1453" s="87" t="s">
        <v>3442</v>
      </c>
      <c r="G1453" s="65">
        <v>100213</v>
      </c>
      <c r="H1453" s="75" t="s">
        <v>3443</v>
      </c>
      <c r="I1453" s="67" t="s">
        <v>345</v>
      </c>
      <c r="J1453" s="67" t="str">
        <f>INDEX(数据元说明!A:F,MATCH(I1453,数据元说明!C:C,0),2)</f>
        <v>001005</v>
      </c>
      <c r="K1453" s="68" t="str">
        <f>INDEX(数据元说明!A:F,MATCH(I1453,数据元说明!C:C,0),5)</f>
        <v>YYYYMMDD，默认值99991231。</v>
      </c>
      <c r="L1453" s="67" t="str">
        <f>INDEX(数据元说明!A:F,MATCH(I1453,数据元说明!C:C,0),6)</f>
        <v>C8</v>
      </c>
      <c r="M1453" s="68" t="s">
        <v>3444</v>
      </c>
      <c r="N1453" s="68"/>
      <c r="O1453" s="68"/>
      <c r="P1453" s="69"/>
    </row>
    <row r="1454" ht="39.95" hidden="1" customHeight="1" outlineLevel="1" spans="1:16">
      <c r="A1454" s="63"/>
      <c r="B1454" s="64"/>
      <c r="C1454" s="59" t="s">
        <v>274</v>
      </c>
      <c r="D1454" s="59" t="s">
        <v>3423</v>
      </c>
      <c r="E1454" s="65">
        <v>1002</v>
      </c>
      <c r="F1454" s="87" t="s">
        <v>2275</v>
      </c>
      <c r="G1454" s="65">
        <v>100214</v>
      </c>
      <c r="H1454" s="75" t="s">
        <v>2276</v>
      </c>
      <c r="I1454" s="67" t="s">
        <v>345</v>
      </c>
      <c r="J1454" s="67" t="str">
        <f>INDEX(数据元说明!A:F,MATCH(I1454,数据元说明!C:C,0),2)</f>
        <v>001005</v>
      </c>
      <c r="K1454" s="68" t="str">
        <f>INDEX(数据元说明!A:F,MATCH(I1454,数据元说明!C:C,0),5)</f>
        <v>YYYYMMDD，默认值99991231。</v>
      </c>
      <c r="L1454" s="67" t="str">
        <f>INDEX(数据元说明!A:F,MATCH(I1454,数据元说明!C:C,0),6)</f>
        <v>C8</v>
      </c>
      <c r="M1454" s="68" t="s">
        <v>3445</v>
      </c>
      <c r="N1454" s="68"/>
      <c r="O1454" s="68"/>
      <c r="P1454" s="69"/>
    </row>
    <row r="1455" ht="39.95" hidden="1" customHeight="1" outlineLevel="1" spans="1:16">
      <c r="A1455" s="63"/>
      <c r="B1455" s="64"/>
      <c r="C1455" s="59" t="s">
        <v>274</v>
      </c>
      <c r="D1455" s="59" t="s">
        <v>3423</v>
      </c>
      <c r="E1455" s="65">
        <v>1002</v>
      </c>
      <c r="F1455" s="87" t="s">
        <v>1156</v>
      </c>
      <c r="G1455" s="65">
        <v>100215</v>
      </c>
      <c r="H1455" s="75" t="s">
        <v>2410</v>
      </c>
      <c r="I1455" s="67" t="s">
        <v>1156</v>
      </c>
      <c r="J1455" s="144" t="str">
        <f>INDEX(数据元说明!A:F,MATCH(I1455,数据元说明!C:C,0),2)</f>
        <v>010007</v>
      </c>
      <c r="K1455" s="68" t="str">
        <f>INDEX(数据元说明!A:F,MATCH(I1455,数据元说明!C:C,0),5)</f>
        <v>LPR，非LPR。</v>
      </c>
      <c r="L1455" s="67" t="str">
        <f>INDEX(数据元说明!A:F,MATCH(I1455,数据元说明!C:C,0),6)</f>
        <v>C..6</v>
      </c>
      <c r="M1455" s="68" t="s">
        <v>3446</v>
      </c>
      <c r="N1455" s="68" t="s">
        <v>1583</v>
      </c>
      <c r="O1455" s="68" t="s">
        <v>1577</v>
      </c>
      <c r="P1455" s="69"/>
    </row>
    <row r="1456" ht="39.95" hidden="1" customHeight="1" outlineLevel="1" spans="1:16">
      <c r="A1456" s="70"/>
      <c r="B1456" s="71"/>
      <c r="C1456" s="59" t="s">
        <v>274</v>
      </c>
      <c r="D1456" s="59" t="s">
        <v>3423</v>
      </c>
      <c r="E1456" s="65">
        <v>1002</v>
      </c>
      <c r="F1456" s="67" t="s">
        <v>2263</v>
      </c>
      <c r="G1456" s="65">
        <v>100216</v>
      </c>
      <c r="H1456" s="67" t="s">
        <v>2293</v>
      </c>
      <c r="I1456" s="67" t="s">
        <v>670</v>
      </c>
      <c r="J1456" s="67" t="str">
        <f>INDEX(数据元说明!A:F,MATCH(I1456,数据元说明!C:C,0),2)</f>
        <v>003017</v>
      </c>
      <c r="K1456" s="68" t="str">
        <f>INDEX(数据元说明!A:F,MATCH(I1456,数据元说明!C:C,0),5)</f>
        <v>百分比为单位，即%，如4.5%填报为4.5。</v>
      </c>
      <c r="L1456" s="67" t="str">
        <f>INDEX(数据元说明!A:F,MATCH(I1456,数据元说明!C:C,0),6)</f>
        <v>D20.4</v>
      </c>
      <c r="M1456" s="68" t="s">
        <v>3446</v>
      </c>
      <c r="N1456" s="68" t="s">
        <v>1601</v>
      </c>
      <c r="O1456" s="68"/>
      <c r="P1456" s="68"/>
    </row>
    <row r="1457" ht="39.95" hidden="1" customHeight="1" outlineLevel="1" spans="1:16">
      <c r="A1457" s="63"/>
      <c r="B1457" s="64"/>
      <c r="C1457" s="59" t="s">
        <v>274</v>
      </c>
      <c r="D1457" s="59" t="s">
        <v>3423</v>
      </c>
      <c r="E1457" s="65">
        <v>1002</v>
      </c>
      <c r="F1457" s="87" t="s">
        <v>3447</v>
      </c>
      <c r="G1457" s="65">
        <v>100217</v>
      </c>
      <c r="H1457" s="75" t="s">
        <v>3448</v>
      </c>
      <c r="I1457" s="67" t="s">
        <v>330</v>
      </c>
      <c r="J1457" s="67" t="str">
        <f>INDEX(数据元说明!A:F,MATCH(I1457,数据元说明!C:C,0),2)</f>
        <v>001002</v>
      </c>
      <c r="K1457" s="68" t="str">
        <f>INDEX(数据元说明!A:F,MATCH(I1457,数据元说明!C:C,0),5)</f>
        <v>是，否。</v>
      </c>
      <c r="L1457" s="67" t="str">
        <f>INDEX(数据元说明!A:F,MATCH(I1457,数据元说明!C:C,0),6)</f>
        <v>C3</v>
      </c>
      <c r="M1457" s="68"/>
      <c r="N1457" s="68"/>
      <c r="O1457" s="68"/>
      <c r="P1457" s="69"/>
    </row>
    <row r="1458" ht="39.95" hidden="1" customHeight="1" outlineLevel="1" spans="1:16">
      <c r="A1458" s="63"/>
      <c r="B1458" s="64"/>
      <c r="C1458" s="59" t="s">
        <v>274</v>
      </c>
      <c r="D1458" s="59" t="s">
        <v>3423</v>
      </c>
      <c r="E1458" s="65">
        <v>1002</v>
      </c>
      <c r="F1458" s="87" t="s">
        <v>3449</v>
      </c>
      <c r="G1458" s="65">
        <v>100218</v>
      </c>
      <c r="H1458" s="75" t="s">
        <v>3450</v>
      </c>
      <c r="I1458" s="67" t="s">
        <v>634</v>
      </c>
      <c r="J1458" s="67" t="str">
        <f>INDEX(数据元说明!A:F,MATCH(I1458,数据元说明!C:C,0),2)</f>
        <v>003008</v>
      </c>
      <c r="K1458" s="68" t="str">
        <f>INDEX(数据元说明!A:F,MATCH(I1458,数据元说明!C:C,0),5)</f>
        <v>与币种相对应金额。</v>
      </c>
      <c r="L1458" s="67" t="str">
        <f>INDEX(数据元说明!A:F,MATCH(I1458,数据元说明!C:C,0),6)</f>
        <v>D20.2</v>
      </c>
      <c r="M1458" s="68" t="s">
        <v>3451</v>
      </c>
      <c r="N1458" s="68" t="s">
        <v>1583</v>
      </c>
      <c r="O1458" s="68" t="s">
        <v>484</v>
      </c>
      <c r="P1458" s="69"/>
    </row>
    <row r="1459" ht="39.95" hidden="1" customHeight="1" outlineLevel="1" spans="1:16">
      <c r="A1459" s="63"/>
      <c r="B1459" s="64"/>
      <c r="C1459" s="59" t="s">
        <v>274</v>
      </c>
      <c r="D1459" s="59" t="s">
        <v>3423</v>
      </c>
      <c r="E1459" s="65">
        <v>1002</v>
      </c>
      <c r="F1459" s="87" t="s">
        <v>3452</v>
      </c>
      <c r="G1459" s="65">
        <v>100219</v>
      </c>
      <c r="H1459" s="75" t="s">
        <v>3453</v>
      </c>
      <c r="I1459" s="67" t="s">
        <v>345</v>
      </c>
      <c r="J1459" s="67" t="str">
        <f>INDEX(数据元说明!A:F,MATCH(I1459,数据元说明!C:C,0),2)</f>
        <v>001005</v>
      </c>
      <c r="K1459" s="68" t="str">
        <f>INDEX(数据元说明!A:F,MATCH(I1459,数据元说明!C:C,0),5)</f>
        <v>YYYYMMDD，默认值99991231。</v>
      </c>
      <c r="L1459" s="67" t="str">
        <f>INDEX(数据元说明!A:F,MATCH(I1459,数据元说明!C:C,0),6)</f>
        <v>C8</v>
      </c>
      <c r="M1459" s="68"/>
      <c r="N1459" s="68" t="s">
        <v>1583</v>
      </c>
      <c r="O1459" s="68" t="s">
        <v>1745</v>
      </c>
      <c r="P1459" s="69"/>
    </row>
    <row r="1460" ht="39.95" hidden="1" customHeight="1" collapsed="1" spans="1:16">
      <c r="A1460" s="63"/>
      <c r="B1460" s="64"/>
      <c r="C1460" s="59" t="s">
        <v>274</v>
      </c>
      <c r="D1460" s="59" t="s">
        <v>3423</v>
      </c>
      <c r="E1460" s="65">
        <v>1002</v>
      </c>
      <c r="F1460" s="67" t="s">
        <v>3454</v>
      </c>
      <c r="G1460" s="65">
        <v>100220</v>
      </c>
      <c r="H1460" s="75" t="s">
        <v>3455</v>
      </c>
      <c r="I1460" s="67" t="s">
        <v>1246</v>
      </c>
      <c r="J1460" s="144" t="str">
        <f>INDEX(数据元说明!A:F,MATCH(I1460,数据元说明!C:C,0),2)</f>
        <v>010029</v>
      </c>
      <c r="K1460" s="68" t="str">
        <f>INDEX(数据元说明!A:F,MATCH(I1460,数据元说明!C:C,0),5)</f>
        <v>银行自定义。</v>
      </c>
      <c r="L1460" s="67" t="str">
        <f>INDEX(数据元说明!A:F,MATCH(I1460,数据元说明!C:C,0),6)</f>
        <v>C..60</v>
      </c>
      <c r="M1460" s="68" t="s">
        <v>3456</v>
      </c>
      <c r="N1460" s="68" t="s">
        <v>1601</v>
      </c>
      <c r="O1460" s="68" t="s">
        <v>484</v>
      </c>
      <c r="P1460" s="69"/>
    </row>
    <row r="1461" ht="39.95" hidden="1" customHeight="1" spans="1:16">
      <c r="A1461" s="63"/>
      <c r="B1461" s="64"/>
      <c r="C1461" s="59" t="s">
        <v>274</v>
      </c>
      <c r="D1461" s="59" t="s">
        <v>3423</v>
      </c>
      <c r="E1461" s="65">
        <v>1002</v>
      </c>
      <c r="F1461" s="67" t="s">
        <v>3457</v>
      </c>
      <c r="G1461" s="65">
        <v>100221</v>
      </c>
      <c r="H1461" s="75" t="s">
        <v>3458</v>
      </c>
      <c r="I1461" s="67" t="s">
        <v>1145</v>
      </c>
      <c r="J1461" s="144" t="str">
        <f>INDEX(数据元说明!A:F,MATCH(I1461,数据元说明!C:C,0),2)</f>
        <v>010004</v>
      </c>
      <c r="K1461" s="68" t="str">
        <f>INDEX(数据元说明!A:F,MATCH(I1461,数据元说明!C:C,0),5)</f>
        <v>银行自定义。</v>
      </c>
      <c r="L1461" s="67" t="str">
        <f>INDEX(数据元说明!A:F,MATCH(I1461,数据元说明!C:C,0),6)</f>
        <v>C..120</v>
      </c>
      <c r="M1461" s="68" t="s">
        <v>3459</v>
      </c>
      <c r="N1461" s="68" t="s">
        <v>1601</v>
      </c>
      <c r="O1461" s="68" t="s">
        <v>322</v>
      </c>
      <c r="P1461" s="69" t="s">
        <v>1648</v>
      </c>
    </row>
    <row r="1462" ht="39.95" hidden="1" customHeight="1" spans="1:16">
      <c r="A1462" s="63"/>
      <c r="B1462" s="64"/>
      <c r="C1462" s="59" t="s">
        <v>274</v>
      </c>
      <c r="D1462" s="59" t="s">
        <v>3423</v>
      </c>
      <c r="E1462" s="65">
        <v>1002</v>
      </c>
      <c r="F1462" s="67" t="s">
        <v>3460</v>
      </c>
      <c r="G1462" s="65">
        <v>100222</v>
      </c>
      <c r="H1462" s="75" t="s">
        <v>3461</v>
      </c>
      <c r="I1462" s="67" t="s">
        <v>634</v>
      </c>
      <c r="J1462" s="67" t="str">
        <f>INDEX(数据元说明!A:F,MATCH(I1462,数据元说明!C:C,0),2)</f>
        <v>003008</v>
      </c>
      <c r="K1462" s="68" t="str">
        <f>INDEX(数据元说明!A:F,MATCH(I1462,数据元说明!C:C,0),5)</f>
        <v>与币种相对应金额。</v>
      </c>
      <c r="L1462" s="67" t="str">
        <f>INDEX(数据元说明!A:F,MATCH(I1462,数据元说明!C:C,0),6)</f>
        <v>D20.2</v>
      </c>
      <c r="M1462" s="68" t="s">
        <v>3459</v>
      </c>
      <c r="N1462" s="68" t="s">
        <v>1601</v>
      </c>
      <c r="O1462" s="68"/>
      <c r="P1462" s="69"/>
    </row>
    <row r="1463" ht="39.95" hidden="1" customHeight="1" spans="1:16">
      <c r="A1463" s="63"/>
      <c r="B1463" s="64"/>
      <c r="C1463" s="59" t="s">
        <v>274</v>
      </c>
      <c r="D1463" s="59" t="s">
        <v>3423</v>
      </c>
      <c r="E1463" s="65">
        <v>1002</v>
      </c>
      <c r="F1463" s="67" t="s">
        <v>3462</v>
      </c>
      <c r="G1463" s="65">
        <v>100223</v>
      </c>
      <c r="H1463" s="75" t="s">
        <v>3463</v>
      </c>
      <c r="I1463" s="67" t="s">
        <v>335</v>
      </c>
      <c r="J1463" s="67" t="str">
        <f>INDEX(数据元说明!A:F,MATCH(I1463,数据元说明!C:C,0),2)</f>
        <v>001003</v>
      </c>
      <c r="K1463" s="68" t="str">
        <f>INDEX(数据元说明!A:F,MATCH(I1463,数据元说明!C:C,0),5)</f>
        <v>百分比为单位，即1/100，保留两位小数。如4.5%则填报为4.50。</v>
      </c>
      <c r="L1463" s="67" t="str">
        <f>INDEX(数据元说明!A:F,MATCH(I1463,数据元说明!C:C,0),6)</f>
        <v>D20.2</v>
      </c>
      <c r="M1463" s="68" t="s">
        <v>3464</v>
      </c>
      <c r="N1463" s="68" t="s">
        <v>1601</v>
      </c>
      <c r="O1463" s="68"/>
      <c r="P1463" s="69"/>
    </row>
    <row r="1464" ht="39.95" hidden="1" customHeight="1" spans="1:16">
      <c r="A1464" s="63"/>
      <c r="B1464" s="64"/>
      <c r="C1464" s="59" t="s">
        <v>274</v>
      </c>
      <c r="D1464" s="59" t="s">
        <v>3423</v>
      </c>
      <c r="E1464" s="65">
        <v>1002</v>
      </c>
      <c r="F1464" s="67" t="s">
        <v>3465</v>
      </c>
      <c r="G1464" s="65">
        <v>100224</v>
      </c>
      <c r="H1464" s="75" t="s">
        <v>3466</v>
      </c>
      <c r="I1464" s="67" t="s">
        <v>1168</v>
      </c>
      <c r="J1464" s="144" t="str">
        <f>INDEX(数据元说明!A:F,MATCH(I1464,数据元说明!C:C,0),2)</f>
        <v>010010</v>
      </c>
      <c r="K1464" s="68" t="str">
        <f>INDEX(数据元说明!A:F,MATCH(I1464,数据元说明!C:C,0),5)</f>
        <v>优先填报外部专业性的评级公司对融资人主体或资产的信用评级结果，如无，则由填报机构内部对融资人主体或资产的信用评级结果。</v>
      </c>
      <c r="L1464" s="67" t="str">
        <f>INDEX(数据元说明!A:F,MATCH(I1464,数据元说明!C:C,0),6)</f>
        <v>C..30</v>
      </c>
      <c r="M1464" s="68" t="s">
        <v>3459</v>
      </c>
      <c r="N1464" s="68" t="s">
        <v>1601</v>
      </c>
      <c r="O1464" s="68"/>
      <c r="P1464" s="69" t="s">
        <v>1648</v>
      </c>
    </row>
    <row r="1465" ht="39.95" hidden="1" customHeight="1" spans="1:16">
      <c r="A1465" s="63"/>
      <c r="B1465" s="64"/>
      <c r="C1465" s="59" t="s">
        <v>274</v>
      </c>
      <c r="D1465" s="59" t="s">
        <v>3423</v>
      </c>
      <c r="E1465" s="65">
        <v>1002</v>
      </c>
      <c r="F1465" s="67" t="s">
        <v>3467</v>
      </c>
      <c r="G1465" s="65">
        <v>100225</v>
      </c>
      <c r="H1465" s="75" t="s">
        <v>3468</v>
      </c>
      <c r="I1465" s="67" t="s">
        <v>325</v>
      </c>
      <c r="J1465" s="67" t="str">
        <f>INDEX(数据元说明!A:F,MATCH(I1465,数据元说明!C:C,0),2)</f>
        <v>001001</v>
      </c>
      <c r="K1465" s="68" t="str">
        <f>INDEX(数据元说明!A:F,MATCH(I1465,数据元说明!C:C,0),5)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65" s="67" t="str">
        <f>INDEX(数据元说明!A:F,MATCH(I1465,数据元说明!C:C,0),6)</f>
        <v>C..450</v>
      </c>
      <c r="M1465" s="68" t="s">
        <v>3459</v>
      </c>
      <c r="N1465" s="68" t="s">
        <v>1601</v>
      </c>
      <c r="O1465" s="68" t="s">
        <v>322</v>
      </c>
      <c r="P1465" s="69" t="s">
        <v>1648</v>
      </c>
    </row>
    <row r="1466" ht="39.95" hidden="1" customHeight="1" spans="1:16">
      <c r="A1466" s="63"/>
      <c r="B1466" s="64"/>
      <c r="C1466" s="59" t="s">
        <v>274</v>
      </c>
      <c r="D1466" s="59" t="s">
        <v>3423</v>
      </c>
      <c r="E1466" s="65">
        <v>1002</v>
      </c>
      <c r="F1466" s="67" t="s">
        <v>3469</v>
      </c>
      <c r="G1466" s="65">
        <v>100226</v>
      </c>
      <c r="H1466" s="75" t="s">
        <v>3470</v>
      </c>
      <c r="I1466" s="67" t="s">
        <v>325</v>
      </c>
      <c r="J1466" s="67" t="str">
        <f>INDEX(数据元说明!A:F,MATCH(I1466,数据元说明!C:C,0),2)</f>
        <v>001001</v>
      </c>
      <c r="K1466" s="68" t="str">
        <f>INDEX(数据元说明!A:F,MATCH(I1466,数据元说明!C:C,0),5)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66" s="67" t="str">
        <f>INDEX(数据元说明!A:F,MATCH(I1466,数据元说明!C:C,0),6)</f>
        <v>C..450</v>
      </c>
      <c r="M1466" s="68" t="s">
        <v>3459</v>
      </c>
      <c r="N1466" s="68" t="s">
        <v>1601</v>
      </c>
      <c r="O1466" s="68" t="s">
        <v>322</v>
      </c>
      <c r="P1466" s="69" t="s">
        <v>1648</v>
      </c>
    </row>
    <row r="1467" ht="39.95" hidden="1" customHeight="1" spans="1:16">
      <c r="A1467" s="63"/>
      <c r="B1467" s="64"/>
      <c r="C1467" s="59" t="s">
        <v>274</v>
      </c>
      <c r="D1467" s="59" t="s">
        <v>3423</v>
      </c>
      <c r="E1467" s="65">
        <v>1002</v>
      </c>
      <c r="F1467" s="67" t="s">
        <v>3471</v>
      </c>
      <c r="G1467" s="65">
        <v>100227</v>
      </c>
      <c r="H1467" s="75" t="s">
        <v>3472</v>
      </c>
      <c r="I1467" s="67" t="s">
        <v>501</v>
      </c>
      <c r="J1467" s="67" t="str">
        <f>INDEX(数据元说明!A:F,MATCH(I1467,数据元说明!C:C,0),2)</f>
        <v>002004</v>
      </c>
      <c r="K1467" s="68" t="str">
        <f>INDEX(数据元说明!A:F,MATCH(I1467,数据元说明!C:C,0),5)</f>
        <v>参照《GB/T 2659-2000 世界各国和地区名称》，填报中文名称。</v>
      </c>
      <c r="L1467" s="67" t="str">
        <f>INDEX(数据元说明!A:F,MATCH(I1467,数据元说明!C:C,0),6)</f>
        <v>C..60</v>
      </c>
      <c r="M1467" s="68" t="s">
        <v>3459</v>
      </c>
      <c r="N1467" s="68" t="s">
        <v>1601</v>
      </c>
      <c r="O1467" s="68"/>
      <c r="P1467" s="69" t="s">
        <v>1648</v>
      </c>
    </row>
    <row r="1468" ht="39.95" hidden="1" customHeight="1" spans="1:16">
      <c r="A1468" s="63"/>
      <c r="B1468" s="64"/>
      <c r="C1468" s="59" t="s">
        <v>274</v>
      </c>
      <c r="D1468" s="59" t="s">
        <v>3423</v>
      </c>
      <c r="E1468" s="65">
        <v>1002</v>
      </c>
      <c r="F1468" s="67" t="s">
        <v>3473</v>
      </c>
      <c r="G1468" s="65">
        <v>100228</v>
      </c>
      <c r="H1468" s="75" t="s">
        <v>3474</v>
      </c>
      <c r="I1468" s="67" t="s">
        <v>1168</v>
      </c>
      <c r="J1468" s="144" t="str">
        <f>INDEX(数据元说明!A:F,MATCH(I1468,数据元说明!C:C,0),2)</f>
        <v>010010</v>
      </c>
      <c r="K1468" s="68" t="str">
        <f>INDEX(数据元说明!A:F,MATCH(I1468,数据元说明!C:C,0),5)</f>
        <v>优先填报外部专业性的评级公司对融资人主体或资产的信用评级结果，如无，则由填报机构内部对融资人主体或资产的信用评级结果。</v>
      </c>
      <c r="L1468" s="67" t="str">
        <f>INDEX(数据元说明!A:F,MATCH(I1468,数据元说明!C:C,0),6)</f>
        <v>C..30</v>
      </c>
      <c r="M1468" s="68" t="s">
        <v>3459</v>
      </c>
      <c r="N1468" s="68" t="s">
        <v>1601</v>
      </c>
      <c r="O1468" s="68"/>
      <c r="P1468" s="69" t="s">
        <v>1648</v>
      </c>
    </row>
    <row r="1469" ht="39.95" hidden="1" customHeight="1" spans="1:16">
      <c r="A1469" s="63"/>
      <c r="B1469" s="64"/>
      <c r="C1469" s="59" t="s">
        <v>274</v>
      </c>
      <c r="D1469" s="59" t="s">
        <v>3423</v>
      </c>
      <c r="E1469" s="65">
        <v>1002</v>
      </c>
      <c r="F1469" s="67" t="s">
        <v>3475</v>
      </c>
      <c r="G1469" s="65">
        <v>100229</v>
      </c>
      <c r="H1469" s="75" t="s">
        <v>3476</v>
      </c>
      <c r="I1469" s="67" t="s">
        <v>325</v>
      </c>
      <c r="J1469" s="67" t="str">
        <f>INDEX(数据元说明!A:F,MATCH(I1469,数据元说明!C:C,0),2)</f>
        <v>001001</v>
      </c>
      <c r="K1469" s="68" t="str">
        <f>INDEX(数据元说明!A:F,MATCH(I1469,数据元说明!C:C,0),5)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69" s="67" t="str">
        <f>INDEX(数据元说明!A:F,MATCH(I1469,数据元说明!C:C,0),6)</f>
        <v>C..450</v>
      </c>
      <c r="M1469" s="68" t="s">
        <v>3459</v>
      </c>
      <c r="N1469" s="68" t="s">
        <v>1601</v>
      </c>
      <c r="O1469" s="68" t="s">
        <v>322</v>
      </c>
      <c r="P1469" s="69" t="s">
        <v>1648</v>
      </c>
    </row>
    <row r="1470" ht="39.95" hidden="1" customHeight="1" spans="1:16">
      <c r="A1470" s="63"/>
      <c r="B1470" s="64"/>
      <c r="C1470" s="59" t="s">
        <v>274</v>
      </c>
      <c r="D1470" s="59" t="s">
        <v>3423</v>
      </c>
      <c r="E1470" s="65">
        <v>1002</v>
      </c>
      <c r="F1470" s="67" t="s">
        <v>3477</v>
      </c>
      <c r="G1470" s="65">
        <v>100230</v>
      </c>
      <c r="H1470" s="75" t="s">
        <v>3478</v>
      </c>
      <c r="I1470" s="67" t="s">
        <v>543</v>
      </c>
      <c r="J1470" s="67" t="str">
        <f>INDEX(数据元说明!A:F,MATCH(I1470,数据元说明!C:C,0),2)</f>
        <v>002014</v>
      </c>
      <c r="K1470" s="68" t="str">
        <f>INDEX(数据元说明!A:F,MATCH(I1470,数据元说明!C:C,0),5)</f>
        <v>行业分类按《GB/T 4754 国民经济行业分类》执行。填报至该客户所属行业的小类代码，如：所属行业为“稻谷种植”填报“A0111”。境外机构按“境外”填报。</v>
      </c>
      <c r="L1470" s="67" t="str">
        <f>INDEX(数据元说明!A:F,MATCH(I1470,数据元说明!C:C,0),6)</f>
        <v>C..90</v>
      </c>
      <c r="M1470" s="68" t="s">
        <v>3459</v>
      </c>
      <c r="N1470" s="68" t="s">
        <v>1601</v>
      </c>
      <c r="O1470" s="68"/>
      <c r="P1470" s="69" t="s">
        <v>1648</v>
      </c>
    </row>
    <row r="1471" ht="39.95" hidden="1" customHeight="1" spans="1:16">
      <c r="A1471" s="63"/>
      <c r="B1471" s="64"/>
      <c r="C1471" s="59" t="s">
        <v>274</v>
      </c>
      <c r="D1471" s="59" t="s">
        <v>3423</v>
      </c>
      <c r="E1471" s="65">
        <v>1002</v>
      </c>
      <c r="F1471" s="67" t="s">
        <v>3479</v>
      </c>
      <c r="G1471" s="65">
        <v>100231</v>
      </c>
      <c r="H1471" s="75" t="s">
        <v>3480</v>
      </c>
      <c r="I1471" s="67" t="s">
        <v>1289</v>
      </c>
      <c r="J1471" s="144" t="str">
        <f>INDEX(数据元说明!A:F,MATCH(I1471,数据元说明!C:C,0),2)</f>
        <v>010040</v>
      </c>
      <c r="K1471" s="68" t="str">
        <f>INDEX(数据元说明!A:F,MATCH(I1471,数据元说明!C:C,0),5)</f>
        <v>按照1104报表G31标准填写穿透后的最终投向。当业务中类为私募基金投资、资产管理产品投资和其他投资时必填。其他业务类型允许为空。</v>
      </c>
      <c r="L1471" s="67" t="str">
        <f>INDEX(数据元说明!A:F,MATCH(I1471,数据元说明!C:C,0),6)</f>
        <v>C..150</v>
      </c>
      <c r="M1471" s="68" t="s">
        <v>3459</v>
      </c>
      <c r="N1471" s="68" t="s">
        <v>1601</v>
      </c>
      <c r="O1471" s="68" t="s">
        <v>1901</v>
      </c>
      <c r="P1471" s="69"/>
    </row>
    <row r="1472" ht="39.95" hidden="1" customHeight="1" spans="1:16">
      <c r="A1472" s="63"/>
      <c r="B1472" s="64"/>
      <c r="C1472" s="59" t="s">
        <v>274</v>
      </c>
      <c r="D1472" s="59" t="s">
        <v>3423</v>
      </c>
      <c r="E1472" s="65">
        <v>1002</v>
      </c>
      <c r="F1472" s="67" t="s">
        <v>3481</v>
      </c>
      <c r="G1472" s="65">
        <v>100232</v>
      </c>
      <c r="H1472" s="75" t="s">
        <v>3482</v>
      </c>
      <c r="I1472" s="67" t="s">
        <v>543</v>
      </c>
      <c r="J1472" s="67" t="str">
        <f>INDEX(数据元说明!A:F,MATCH(I1472,数据元说明!C:C,0),2)</f>
        <v>002014</v>
      </c>
      <c r="K1472" s="68" t="str">
        <f>INDEX(数据元说明!A:F,MATCH(I1472,数据元说明!C:C,0),5)</f>
        <v>行业分类按《GB/T 4754 国民经济行业分类》执行。填报至该客户所属行业的小类代码，如：所属行业为“稻谷种植”填报“A0111”。境外机构按“境外”填报。</v>
      </c>
      <c r="L1472" s="67" t="str">
        <f>INDEX(数据元说明!A:F,MATCH(I1472,数据元说明!C:C,0),6)</f>
        <v>C..90</v>
      </c>
      <c r="M1472" s="68" t="s">
        <v>3459</v>
      </c>
      <c r="N1472" s="68" t="s">
        <v>1601</v>
      </c>
      <c r="O1472" s="68"/>
      <c r="P1472" s="69"/>
    </row>
    <row r="1473" ht="39.95" hidden="1" customHeight="1" outlineLevel="1" spans="1:16">
      <c r="A1473" s="63"/>
      <c r="B1473" s="64"/>
      <c r="C1473" s="59" t="s">
        <v>274</v>
      </c>
      <c r="D1473" s="59" t="s">
        <v>3423</v>
      </c>
      <c r="E1473" s="65">
        <v>1002</v>
      </c>
      <c r="F1473" s="67" t="s">
        <v>484</v>
      </c>
      <c r="G1473" s="65">
        <v>100233</v>
      </c>
      <c r="H1473" s="67" t="s">
        <v>1623</v>
      </c>
      <c r="I1473" s="67" t="s">
        <v>484</v>
      </c>
      <c r="J1473" s="67" t="str">
        <f>INDEX(数据元说明!A:F,MATCH(I1473,数据元说明!C:C,0),2)</f>
        <v>001038</v>
      </c>
      <c r="K1473" s="68" t="str">
        <f>INDEX(数据元说明!A:F,MATCH(I1473,数据元说明!C:C,0),5)</f>
        <v>银行自定义。</v>
      </c>
      <c r="L1473" s="67" t="str">
        <f>INDEX(数据元说明!A:F,MATCH(I1473,数据元说明!C:C,0),6)</f>
        <v>C..600</v>
      </c>
      <c r="M1473" s="68" t="s">
        <v>1624</v>
      </c>
      <c r="N1473" s="68" t="s">
        <v>1601</v>
      </c>
      <c r="O1473" s="68"/>
      <c r="P1473" s="68"/>
    </row>
    <row r="1474" ht="39.95" hidden="1" customHeight="1" outlineLevel="1" spans="1:16">
      <c r="A1474" s="63"/>
      <c r="B1474" s="64"/>
      <c r="C1474" s="59" t="s">
        <v>274</v>
      </c>
      <c r="D1474" s="59" t="s">
        <v>3423</v>
      </c>
      <c r="E1474" s="65">
        <v>1002</v>
      </c>
      <c r="F1474" s="67" t="s">
        <v>1625</v>
      </c>
      <c r="G1474" s="65">
        <v>100234</v>
      </c>
      <c r="H1474" s="75" t="s">
        <v>1626</v>
      </c>
      <c r="I1474" s="67" t="s">
        <v>345</v>
      </c>
      <c r="J1474" s="67" t="str">
        <f>INDEX(数据元说明!A:F,MATCH(I1474,数据元说明!C:C,0),2)</f>
        <v>001005</v>
      </c>
      <c r="K1474" s="68" t="str">
        <f>INDEX(数据元说明!A:F,MATCH(I1474,数据元说明!C:C,0),5)</f>
        <v>YYYYMMDD，默认值99991231。</v>
      </c>
      <c r="L1474" s="67" t="str">
        <f>INDEX(数据元说明!A:F,MATCH(I1474,数据元说明!C:C,0),6)</f>
        <v>C8</v>
      </c>
      <c r="M1474" s="68" t="s">
        <v>1627</v>
      </c>
      <c r="N1474" s="68"/>
      <c r="O1474" s="68"/>
      <c r="P1474" s="69"/>
    </row>
    <row r="1475" ht="39.95" hidden="1" customHeight="1" collapsed="1" spans="1:16">
      <c r="A1475" s="63"/>
      <c r="B1475" s="64"/>
      <c r="C1475" s="59" t="s">
        <v>278</v>
      </c>
      <c r="D1475" s="59" t="s">
        <v>3483</v>
      </c>
      <c r="E1475" s="65">
        <v>1003</v>
      </c>
      <c r="F1475" s="67"/>
      <c r="G1475" s="65"/>
      <c r="H1475" s="75"/>
      <c r="I1475" s="67"/>
      <c r="J1475" s="67"/>
      <c r="K1475" s="68"/>
      <c r="L1475" s="67"/>
      <c r="M1475" s="68" t="str">
        <f>INDEX(表结构总览!D:G,MATCH(D1475,表结构总览!D:D,0),4)</f>
        <v>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v>
      </c>
      <c r="N1475" s="67" t="s">
        <v>1583</v>
      </c>
      <c r="O1475" s="67" t="s">
        <v>484</v>
      </c>
      <c r="P1475" s="69"/>
    </row>
    <row r="1476" ht="39.95" hidden="1" customHeight="1" spans="1:16">
      <c r="A1476" s="63"/>
      <c r="B1476" s="64"/>
      <c r="C1476" s="59" t="s">
        <v>278</v>
      </c>
      <c r="D1476" s="59" t="s">
        <v>3483</v>
      </c>
      <c r="E1476" s="65">
        <v>1003</v>
      </c>
      <c r="F1476" s="67" t="s">
        <v>377</v>
      </c>
      <c r="G1476" s="65">
        <v>100301</v>
      </c>
      <c r="H1476" s="75" t="s">
        <v>1586</v>
      </c>
      <c r="I1476" s="67" t="s">
        <v>377</v>
      </c>
      <c r="J1476" s="67" t="str">
        <f>INDEX(数据元说明!A:F,MATCH(I1476,数据元说明!C:C,0),2)</f>
        <v>001012</v>
      </c>
      <c r="K1476" s="68" t="str">
        <f>INDEX(数据元说明!A:F,MATCH(I1476,数据元说明!C:C,0),5)</f>
        <v>银行内部机构号。应具有标识机构的唯一性。</v>
      </c>
      <c r="L1476" s="67" t="str">
        <f>INDEX(数据元说明!A:F,MATCH(I1476,数据元说明!C:C,0),6)</f>
        <v>C..30</v>
      </c>
      <c r="M1476" s="68" t="s">
        <v>1820</v>
      </c>
      <c r="N1476" s="68"/>
      <c r="O1476" s="68"/>
      <c r="P1476" s="69"/>
    </row>
    <row r="1477" ht="39.95" hidden="1" customHeight="1" outlineLevel="1" spans="1:16">
      <c r="A1477" s="63"/>
      <c r="B1477" s="64"/>
      <c r="C1477" s="59" t="s">
        <v>278</v>
      </c>
      <c r="D1477" s="59" t="s">
        <v>3483</v>
      </c>
      <c r="E1477" s="65">
        <v>1003</v>
      </c>
      <c r="F1477" s="67" t="s">
        <v>373</v>
      </c>
      <c r="G1477" s="65">
        <v>100302</v>
      </c>
      <c r="H1477" s="67" t="s">
        <v>1588</v>
      </c>
      <c r="I1477" s="67" t="s">
        <v>373</v>
      </c>
      <c r="J1477" s="67" t="str">
        <f>INDEX(数据元说明!A:F,MATCH(I1477,数据元说明!C:C,0),2)</f>
        <v>001011</v>
      </c>
      <c r="K1477" s="68" t="str">
        <f>INDEX(数据元说明!A:F,MATCH(I1477,数据元说明!C:C,0),5)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77" s="67" t="str">
        <f>INDEX(数据元说明!A:F,MATCH(I1477,数据元说明!C:C,0),6)</f>
        <v>C..30</v>
      </c>
      <c r="M1477" s="68" t="s">
        <v>2488</v>
      </c>
      <c r="N1477" s="86"/>
      <c r="O1477" s="68"/>
      <c r="P1477" s="68"/>
    </row>
    <row r="1478" ht="39.95" hidden="1" customHeight="1" collapsed="1" spans="1:16">
      <c r="A1478" s="63"/>
      <c r="B1478" s="64"/>
      <c r="C1478" s="59" t="s">
        <v>278</v>
      </c>
      <c r="D1478" s="59" t="s">
        <v>3483</v>
      </c>
      <c r="E1478" s="65">
        <v>1003</v>
      </c>
      <c r="F1478" s="67" t="s">
        <v>1592</v>
      </c>
      <c r="G1478" s="65">
        <v>100303</v>
      </c>
      <c r="H1478" s="75" t="s">
        <v>1593</v>
      </c>
      <c r="I1478" s="67" t="s">
        <v>325</v>
      </c>
      <c r="J1478" s="67" t="str">
        <f>INDEX(数据元说明!A:F,MATCH(I1478,数据元说明!C:C,0),2)</f>
        <v>001001</v>
      </c>
      <c r="K1478" s="68" t="str">
        <f>INDEX(数据元说明!A:F,MATCH(I1478,数据元说明!C:C,0),5)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78" s="67" t="str">
        <f>INDEX(数据元说明!A:F,MATCH(I1478,数据元说明!C:C,0),6)</f>
        <v>C..450</v>
      </c>
      <c r="M1478" s="68" t="s">
        <v>1631</v>
      </c>
      <c r="N1478" s="68" t="s">
        <v>1583</v>
      </c>
      <c r="O1478" s="68" t="s">
        <v>322</v>
      </c>
      <c r="P1478" s="69"/>
    </row>
    <row r="1479" ht="39.95" hidden="1" customHeight="1" outlineLevel="1" spans="1:16">
      <c r="A1479" s="70"/>
      <c r="B1479" s="71"/>
      <c r="C1479" s="59" t="s">
        <v>278</v>
      </c>
      <c r="D1479" s="59" t="s">
        <v>3483</v>
      </c>
      <c r="E1479" s="65">
        <v>1003</v>
      </c>
      <c r="F1479" s="67" t="s">
        <v>2125</v>
      </c>
      <c r="G1479" s="65">
        <v>100304</v>
      </c>
      <c r="H1479" s="67" t="s">
        <v>2126</v>
      </c>
      <c r="I1479" s="67" t="s">
        <v>609</v>
      </c>
      <c r="J1479" s="67" t="str">
        <f>INDEX(数据元说明!A:F,MATCH(I1479,数据元说明!C:C,0),2)</f>
        <v>003002</v>
      </c>
      <c r="K1479" s="68" t="str">
        <f>INDEX(数据元说明!A:F,MATCH(I1479,数据元说明!C:C,0),5)</f>
        <v>机构实际使用的总账会计科目编码。</v>
      </c>
      <c r="L1479" s="67" t="str">
        <f>INDEX(数据元说明!A:F,MATCH(I1479,数据元说明!C:C,0),6)</f>
        <v>C..60</v>
      </c>
      <c r="M1479" s="68" t="s">
        <v>2219</v>
      </c>
      <c r="N1479" s="68" t="s">
        <v>1601</v>
      </c>
      <c r="O1479" s="68"/>
      <c r="P1479" s="68"/>
    </row>
    <row r="1480" ht="39.95" hidden="1" customHeight="1" outlineLevel="1" spans="1:16">
      <c r="A1480" s="70"/>
      <c r="B1480" s="71"/>
      <c r="C1480" s="59" t="s">
        <v>278</v>
      </c>
      <c r="D1480" s="59" t="s">
        <v>3483</v>
      </c>
      <c r="E1480" s="65">
        <v>1003</v>
      </c>
      <c r="F1480" s="67" t="s">
        <v>2128</v>
      </c>
      <c r="G1480" s="65">
        <v>100305</v>
      </c>
      <c r="H1480" s="67" t="s">
        <v>2129</v>
      </c>
      <c r="I1480" s="67" t="s">
        <v>613</v>
      </c>
      <c r="J1480" s="67" t="str">
        <f>INDEX(数据元说明!A:F,MATCH(I1480,数据元说明!C:C,0),2)</f>
        <v>003003</v>
      </c>
      <c r="K1480" s="68" t="str">
        <f>INDEX(数据元说明!A:F,MATCH(I1480,数据元说明!C:C,0),5)</f>
        <v>机构实际使用的总账会计科目编码对应的名称。</v>
      </c>
      <c r="L1480" s="67" t="str">
        <f>INDEX(数据元说明!A:F,MATCH(I1480,数据元说明!C:C,0),6)</f>
        <v>C..300</v>
      </c>
      <c r="M1480" s="68" t="s">
        <v>2219</v>
      </c>
      <c r="N1480" s="68" t="s">
        <v>1601</v>
      </c>
      <c r="O1480" s="68"/>
      <c r="P1480" s="68"/>
    </row>
    <row r="1481" ht="39.95" hidden="1" customHeight="1" collapsed="1" spans="1:16">
      <c r="A1481" s="63"/>
      <c r="B1481" s="64"/>
      <c r="C1481" s="59" t="s">
        <v>278</v>
      </c>
      <c r="D1481" s="59" t="s">
        <v>3483</v>
      </c>
      <c r="E1481" s="65">
        <v>1003</v>
      </c>
      <c r="F1481" s="75" t="s">
        <v>1117</v>
      </c>
      <c r="G1481" s="65">
        <v>100306</v>
      </c>
      <c r="H1481" s="67" t="s">
        <v>3484</v>
      </c>
      <c r="I1481" s="67" t="s">
        <v>1117</v>
      </c>
      <c r="J1481" s="67" t="str">
        <f>INDEX(数据元说明!A:F,MATCH(I1481,数据元说明!C:C,0),2)</f>
        <v>009001</v>
      </c>
      <c r="K1481" s="67" t="str">
        <f>INDEX(数据元说明!A:F,MATCH(I1481,数据元说明!C:C,0),5)</f>
        <v>银行账户，交易账户。</v>
      </c>
      <c r="L1481" s="67" t="str">
        <f>INDEX(数据元说明!A:F,MATCH(I1481,数据元说明!C:C,0),6)</f>
        <v>C12</v>
      </c>
      <c r="M1481" s="68"/>
      <c r="N1481" s="68"/>
      <c r="O1481" s="68"/>
      <c r="P1481" s="69"/>
    </row>
    <row r="1482" ht="39.95" hidden="1" customHeight="1" spans="1:16">
      <c r="A1482" s="63"/>
      <c r="B1482" s="64"/>
      <c r="C1482" s="59" t="s">
        <v>278</v>
      </c>
      <c r="D1482" s="59" t="s">
        <v>3483</v>
      </c>
      <c r="E1482" s="65">
        <v>1003</v>
      </c>
      <c r="F1482" s="67" t="s">
        <v>1152</v>
      </c>
      <c r="G1482" s="65">
        <v>100307</v>
      </c>
      <c r="H1482" s="75" t="s">
        <v>3378</v>
      </c>
      <c r="I1482" s="67" t="s">
        <v>1152</v>
      </c>
      <c r="J1482" s="144" t="str">
        <f>INDEX(数据元说明!A:F,MATCH(I1482,数据元说明!C:C,0),2)</f>
        <v>010006</v>
      </c>
      <c r="K1482" s="68" t="str">
        <f>INDEX(数据元说明!A:F,MATCH(I1482,数据元说明!C:C,0),5)</f>
        <v>识别交易的唯一编号，可以是合同号、成交编号或者其他自定义的编号。</v>
      </c>
      <c r="L1482" s="67" t="str">
        <f>INDEX(数据元说明!A:F,MATCH(I1482,数据元说明!C:C,0),6)</f>
        <v>C..60</v>
      </c>
      <c r="M1482" s="68" t="s">
        <v>1679</v>
      </c>
      <c r="N1482" s="68"/>
      <c r="O1482" s="68"/>
      <c r="P1482" s="69"/>
    </row>
    <row r="1483" ht="39.95" hidden="1" customHeight="1" spans="1:16">
      <c r="A1483" s="63"/>
      <c r="B1483" s="64"/>
      <c r="C1483" s="59" t="s">
        <v>278</v>
      </c>
      <c r="D1483" s="59" t="s">
        <v>3483</v>
      </c>
      <c r="E1483" s="65">
        <v>1003</v>
      </c>
      <c r="F1483" s="67" t="s">
        <v>1132</v>
      </c>
      <c r="G1483" s="65">
        <v>100308</v>
      </c>
      <c r="H1483" s="75" t="s">
        <v>3425</v>
      </c>
      <c r="I1483" s="67" t="s">
        <v>1132</v>
      </c>
      <c r="J1483" s="144" t="str">
        <f>INDEX(数据元说明!A:F,MATCH(I1483,数据元说明!C:C,0),2)</f>
        <v>010001</v>
      </c>
      <c r="K1483" s="68" t="str">
        <f>INDEX(数据元说明!A:F,MATCH(I1483,数据元说明!C:C,0),5)</f>
        <v>能在表内唯一识别金融工具的编号，包括但不限于标准化或非标准化金融产品。在中登公司有登记的金融产品，需填报在中登公司记录的正确编号，如果不是标准产品，则由银行自定义。</v>
      </c>
      <c r="L1483" s="67" t="str">
        <f>INDEX(数据元说明!A:F,MATCH(I1483,数据元说明!C:C,0),6)</f>
        <v>C..60</v>
      </c>
      <c r="M1483" s="68" t="s">
        <v>3485</v>
      </c>
      <c r="N1483" s="68" t="s">
        <v>1601</v>
      </c>
      <c r="O1483" s="74"/>
      <c r="P1483" s="69"/>
    </row>
    <row r="1484" ht="39.95" hidden="1" customHeight="1" spans="1:16">
      <c r="A1484" s="63"/>
      <c r="B1484" s="64"/>
      <c r="C1484" s="59" t="s">
        <v>278</v>
      </c>
      <c r="D1484" s="59" t="s">
        <v>3483</v>
      </c>
      <c r="E1484" s="65">
        <v>1003</v>
      </c>
      <c r="F1484" s="67" t="s">
        <v>1136</v>
      </c>
      <c r="G1484" s="65">
        <v>100309</v>
      </c>
      <c r="H1484" s="75" t="s">
        <v>3427</v>
      </c>
      <c r="I1484" s="67" t="s">
        <v>1136</v>
      </c>
      <c r="J1484" s="144" t="str">
        <f>INDEX(数据元说明!A:F,MATCH(I1484,数据元说明!C:C,0),2)</f>
        <v>010002</v>
      </c>
      <c r="K1484" s="68" t="str">
        <f>INDEX(数据元说明!A:F,MATCH(I1484,数据元说明!C:C,0),5)</f>
        <v>金融产品名称，包括但不限于标准化或非标准化金融产品。如果不是标准产品，则由银行自定义。</v>
      </c>
      <c r="L1484" s="67" t="str">
        <f>INDEX(数据元说明!A:F,MATCH(I1484,数据元说明!C:C,0),6)</f>
        <v>C..450</v>
      </c>
      <c r="M1484" s="68" t="s">
        <v>3486</v>
      </c>
      <c r="N1484" s="68" t="s">
        <v>1601</v>
      </c>
      <c r="O1484" s="74"/>
      <c r="P1484" s="69"/>
    </row>
    <row r="1485" ht="39.95" hidden="1" customHeight="1" spans="1:16">
      <c r="A1485" s="63"/>
      <c r="B1485" s="64"/>
      <c r="C1485" s="59" t="s">
        <v>278</v>
      </c>
      <c r="D1485" s="59" t="s">
        <v>3483</v>
      </c>
      <c r="E1485" s="65">
        <v>1003</v>
      </c>
      <c r="F1485" s="67" t="s">
        <v>1234</v>
      </c>
      <c r="G1485" s="65">
        <v>100310</v>
      </c>
      <c r="H1485" s="75" t="s">
        <v>3487</v>
      </c>
      <c r="I1485" s="67" t="s">
        <v>1234</v>
      </c>
      <c r="J1485" s="144" t="str">
        <f>INDEX(数据元说明!A:F,MATCH(I1485,数据元说明!C:C,0),2)</f>
        <v>010026</v>
      </c>
      <c r="K1485" s="68" t="str">
        <f>INDEX(数据元说明!A:F,MATCH(I1485,数据元说明!C:C,0),5)</f>
        <v>同《自营报送范围》中的“业务大类”清单，其中债券与同业投资部分与1104报表G31的产品种类一致，不可自定义修改。</v>
      </c>
      <c r="L1485" s="67" t="str">
        <f>INDEX(数据元说明!A:F,MATCH(I1485,数据元说明!C:C,0),6)</f>
        <v>C..60</v>
      </c>
      <c r="M1485" s="68"/>
      <c r="N1485" s="68" t="s">
        <v>1601</v>
      </c>
      <c r="O1485" s="74"/>
      <c r="P1485" s="69"/>
    </row>
    <row r="1486" ht="39.95" hidden="1" customHeight="1" spans="1:16">
      <c r="A1486" s="63"/>
      <c r="B1486" s="64"/>
      <c r="C1486" s="59" t="s">
        <v>278</v>
      </c>
      <c r="D1486" s="59" t="s">
        <v>3483</v>
      </c>
      <c r="E1486" s="65">
        <v>1003</v>
      </c>
      <c r="F1486" s="67" t="s">
        <v>1238</v>
      </c>
      <c r="G1486" s="65">
        <v>100311</v>
      </c>
      <c r="H1486" s="75" t="s">
        <v>3291</v>
      </c>
      <c r="I1486" s="67" t="s">
        <v>1238</v>
      </c>
      <c r="J1486" s="144" t="str">
        <f>INDEX(数据元说明!A:F,MATCH(I1486,数据元说明!C:C,0),2)</f>
        <v>010027</v>
      </c>
      <c r="K1486" s="68" t="str">
        <f>INDEX(数据元说明!A:F,MATCH(I1486,数据元说明!C:C,0),5)</f>
        <v>同《自营报送范围》中的“业务中类”清单，其中债券与同业投资部分与1104报表G31的产品种类一致，不可自定义修改。</v>
      </c>
      <c r="L1486" s="67" t="str">
        <f>INDEX(数据元说明!A:F,MATCH(I1486,数据元说明!C:C,0),6)</f>
        <v>C..60</v>
      </c>
      <c r="M1486" s="68"/>
      <c r="N1486" s="80"/>
      <c r="O1486" s="80"/>
      <c r="P1486" s="69"/>
    </row>
    <row r="1487" ht="39.95" hidden="1" customHeight="1" spans="1:16">
      <c r="A1487" s="63"/>
      <c r="B1487" s="64"/>
      <c r="C1487" s="59" t="s">
        <v>278</v>
      </c>
      <c r="D1487" s="59" t="s">
        <v>3483</v>
      </c>
      <c r="E1487" s="65">
        <v>1003</v>
      </c>
      <c r="F1487" s="67" t="s">
        <v>1242</v>
      </c>
      <c r="G1487" s="65">
        <v>100312</v>
      </c>
      <c r="H1487" s="75" t="s">
        <v>3488</v>
      </c>
      <c r="I1487" s="67" t="s">
        <v>1242</v>
      </c>
      <c r="J1487" s="144" t="str">
        <f>INDEX(数据元说明!A:F,MATCH(I1487,数据元说明!C:C,0),2)</f>
        <v>010028</v>
      </c>
      <c r="K1487" s="68" t="str">
        <f>INDEX(数据元说明!A:F,MATCH(I1487,数据元说明!C:C,0),5)</f>
        <v>同《自营报送范围》中的“业务小类”清单，其中债券与同业投资部分与1104报表G31的产品种类一致，不可自定义修改。</v>
      </c>
      <c r="L1487" s="67" t="str">
        <f>INDEX(数据元说明!A:F,MATCH(I1487,数据元说明!C:C,0),6)</f>
        <v>C..60</v>
      </c>
      <c r="M1487" s="68"/>
      <c r="N1487" s="80"/>
      <c r="O1487" s="80"/>
      <c r="P1487" s="69"/>
    </row>
    <row r="1488" ht="39.95" hidden="1" customHeight="1" spans="1:16">
      <c r="A1488" s="63"/>
      <c r="B1488" s="64"/>
      <c r="C1488" s="59" t="s">
        <v>278</v>
      </c>
      <c r="D1488" s="59" t="s">
        <v>3483</v>
      </c>
      <c r="E1488" s="65">
        <v>1003</v>
      </c>
      <c r="F1488" s="67" t="s">
        <v>746</v>
      </c>
      <c r="G1488" s="65">
        <v>100313</v>
      </c>
      <c r="H1488" s="75" t="s">
        <v>3489</v>
      </c>
      <c r="I1488" s="67" t="s">
        <v>746</v>
      </c>
      <c r="J1488" s="67" t="str">
        <f>INDEX(数据元说明!A:F,MATCH(I1488,数据元说明!C:C,0),2)</f>
        <v>005001</v>
      </c>
      <c r="K1488" s="68" t="str">
        <f>INDEX(数据元说明!A:F,MATCH(I1488,数据元说明!C:C,0),5)</f>
        <v>银行内部产品中文名称，银行自定义。</v>
      </c>
      <c r="L1488" s="67" t="str">
        <f>INDEX(数据元说明!A:F,MATCH(I1488,数据元说明!C:C,0),6)</f>
        <v>C..300</v>
      </c>
      <c r="M1488" s="68"/>
      <c r="N1488" s="68"/>
      <c r="O1488" s="68"/>
      <c r="P1488" s="69"/>
    </row>
    <row r="1489" ht="39.95" hidden="1" customHeight="1" spans="1:16">
      <c r="A1489" s="63"/>
      <c r="B1489" s="64"/>
      <c r="C1489" s="59" t="s">
        <v>278</v>
      </c>
      <c r="D1489" s="59" t="s">
        <v>3483</v>
      </c>
      <c r="E1489" s="65">
        <v>1003</v>
      </c>
      <c r="F1489" s="67" t="s">
        <v>2625</v>
      </c>
      <c r="G1489" s="65">
        <v>100314</v>
      </c>
      <c r="H1489" s="75" t="s">
        <v>2626</v>
      </c>
      <c r="I1489" s="67" t="s">
        <v>1164</v>
      </c>
      <c r="J1489" s="144" t="str">
        <f>INDEX(数据元说明!A:F,MATCH(I1489,数据元说明!C:C,0),2)</f>
        <v>010009</v>
      </c>
      <c r="K1489" s="68" t="str">
        <f>INDEX(数据元说明!A:F,MATCH(I1489,数据元说明!C:C,0),5)</f>
        <v>买入，卖出。</v>
      </c>
      <c r="L1489" s="67" t="str">
        <f>INDEX(数据元说明!A:F,MATCH(I1489,数据元说明!C:C,0),6)</f>
        <v>C6</v>
      </c>
      <c r="M1489" s="68" t="s">
        <v>3490</v>
      </c>
      <c r="N1489" s="68" t="s">
        <v>1583</v>
      </c>
      <c r="O1489" s="68" t="s">
        <v>1577</v>
      </c>
      <c r="P1489" s="69"/>
    </row>
    <row r="1490" ht="39.95" hidden="1" customHeight="1" outlineLevel="1" spans="1:16">
      <c r="A1490" s="63"/>
      <c r="B1490" s="64"/>
      <c r="C1490" s="59" t="s">
        <v>278</v>
      </c>
      <c r="D1490" s="59" t="s">
        <v>3483</v>
      </c>
      <c r="E1490" s="65">
        <v>1003</v>
      </c>
      <c r="F1490" s="68" t="s">
        <v>3491</v>
      </c>
      <c r="G1490" s="65">
        <v>100315</v>
      </c>
      <c r="H1490" s="75" t="s">
        <v>3492</v>
      </c>
      <c r="I1490" s="68" t="s">
        <v>642</v>
      </c>
      <c r="J1490" s="68" t="str">
        <f>INDEX(数据元说明!A:F,MATCH(I1490,数据元说明!C:C,0),2)</f>
        <v>003010</v>
      </c>
      <c r="K1490" s="68" t="str">
        <f>INDEX(数据元说明!A:F,MATCH(I1490,数据元说明!C:C,0),5)</f>
        <v>遵循《GB/T 12406 表示货币和资金的代码》的字母代码，如CNY。上述文件所列币种无法涵盖的，允许银行自定义填报。多个币种合计折算为人民币（本外币合计）的，填报为BWB。</v>
      </c>
      <c r="L1490" s="68" t="str">
        <f>INDEX(数据元说明!A:F,MATCH(I1490,数据元说明!C:C,0),6)</f>
        <v>C3</v>
      </c>
      <c r="M1490" s="68"/>
      <c r="N1490" s="68" t="s">
        <v>1601</v>
      </c>
      <c r="O1490" s="68"/>
      <c r="P1490" s="86"/>
    </row>
    <row r="1491" ht="39.95" hidden="1" customHeight="1" outlineLevel="1" spans="1:16">
      <c r="A1491" s="63"/>
      <c r="B1491" s="64"/>
      <c r="C1491" s="59" t="s">
        <v>278</v>
      </c>
      <c r="D1491" s="59" t="s">
        <v>3483</v>
      </c>
      <c r="E1491" s="65">
        <v>1003</v>
      </c>
      <c r="F1491" s="68" t="s">
        <v>3493</v>
      </c>
      <c r="G1491" s="65">
        <v>100316</v>
      </c>
      <c r="H1491" s="75" t="s">
        <v>3494</v>
      </c>
      <c r="I1491" s="68" t="s">
        <v>634</v>
      </c>
      <c r="J1491" s="68" t="str">
        <f>INDEX(数据元说明!A:F,MATCH(I1491,数据元说明!C:C,0),2)</f>
        <v>003008</v>
      </c>
      <c r="K1491" s="68" t="str">
        <f>INDEX(数据元说明!A:F,MATCH(I1491,数据元说明!C:C,0),5)</f>
        <v>与币种相对应金额。</v>
      </c>
      <c r="L1491" s="68" t="str">
        <f>INDEX(数据元说明!A:F,MATCH(I1491,数据元说明!C:C,0),6)</f>
        <v>D20.2</v>
      </c>
      <c r="M1491" s="68" t="s">
        <v>3495</v>
      </c>
      <c r="N1491" s="68" t="s">
        <v>1601</v>
      </c>
      <c r="O1491" s="68"/>
      <c r="P1491" s="86"/>
    </row>
    <row r="1492" ht="39.95" hidden="1" customHeight="1" collapsed="1" spans="1:16">
      <c r="A1492" s="63"/>
      <c r="B1492" s="59"/>
      <c r="C1492" s="59" t="s">
        <v>278</v>
      </c>
      <c r="D1492" s="59" t="s">
        <v>3483</v>
      </c>
      <c r="E1492" s="65">
        <v>1003</v>
      </c>
      <c r="F1492" s="68" t="s">
        <v>3496</v>
      </c>
      <c r="G1492" s="65">
        <v>100317</v>
      </c>
      <c r="H1492" s="75" t="s">
        <v>3497</v>
      </c>
      <c r="I1492" s="67" t="s">
        <v>670</v>
      </c>
      <c r="J1492" s="67" t="str">
        <f>INDEX(数据元说明!A:F,MATCH(I1492,数据元说明!C:C,0),2)</f>
        <v>003017</v>
      </c>
      <c r="K1492" s="68" t="str">
        <f>INDEX(数据元说明!A:F,MATCH(I1492,数据元说明!C:C,0),5)</f>
        <v>百分比为单位，即%，如4.5%填报为4.5。</v>
      </c>
      <c r="L1492" s="67" t="str">
        <f>INDEX(数据元说明!A:F,MATCH(I1492,数据元说明!C:C,0),6)</f>
        <v>D20.4</v>
      </c>
      <c r="M1492" s="68" t="s">
        <v>3498</v>
      </c>
      <c r="N1492" s="68" t="s">
        <v>1583</v>
      </c>
      <c r="O1492" s="68" t="s">
        <v>484</v>
      </c>
      <c r="P1492" s="69"/>
    </row>
    <row r="1493" ht="39.95" hidden="1" customHeight="1" outlineLevel="1" spans="1:16">
      <c r="A1493" s="63"/>
      <c r="B1493" s="64"/>
      <c r="C1493" s="59" t="s">
        <v>278</v>
      </c>
      <c r="D1493" s="59" t="s">
        <v>3483</v>
      </c>
      <c r="E1493" s="65">
        <v>1003</v>
      </c>
      <c r="F1493" s="68" t="s">
        <v>3384</v>
      </c>
      <c r="G1493" s="65">
        <v>100318</v>
      </c>
      <c r="H1493" s="75" t="s">
        <v>3385</v>
      </c>
      <c r="I1493" s="68" t="s">
        <v>345</v>
      </c>
      <c r="J1493" s="68" t="str">
        <f>INDEX(数据元说明!A:F,MATCH(I1493,数据元说明!C:C,0),2)</f>
        <v>001005</v>
      </c>
      <c r="K1493" s="68" t="str">
        <f>INDEX(数据元说明!A:F,MATCH(I1493,数据元说明!C:C,0),5)</f>
        <v>YYYYMMDD，默认值99991231。</v>
      </c>
      <c r="L1493" s="68" t="s">
        <v>348</v>
      </c>
      <c r="M1493" s="68"/>
      <c r="N1493" s="68" t="s">
        <v>1601</v>
      </c>
      <c r="O1493" s="68"/>
      <c r="P1493" s="86"/>
    </row>
    <row r="1494" ht="39.95" hidden="1" customHeight="1" outlineLevel="1" spans="1:16">
      <c r="A1494" s="70"/>
      <c r="B1494" s="71"/>
      <c r="C1494" s="59" t="s">
        <v>278</v>
      </c>
      <c r="D1494" s="59" t="s">
        <v>3483</v>
      </c>
      <c r="E1494" s="65">
        <v>1003</v>
      </c>
      <c r="F1494" s="68" t="s">
        <v>2311</v>
      </c>
      <c r="G1494" s="65">
        <v>100319</v>
      </c>
      <c r="H1494" s="67" t="s">
        <v>2719</v>
      </c>
      <c r="I1494" s="67" t="s">
        <v>345</v>
      </c>
      <c r="J1494" s="67" t="str">
        <f>INDEX(数据元说明!A:F,MATCH(I1494,数据元说明!C:C,0),2)</f>
        <v>001005</v>
      </c>
      <c r="K1494" s="68" t="str">
        <f>INDEX(数据元说明!A:F,MATCH(I1494,数据元说明!C:C,0),5)</f>
        <v>YYYYMMDD，默认值99991231。</v>
      </c>
      <c r="L1494" s="67" t="str">
        <f>INDEX(数据元说明!A:F,MATCH(I1494,数据元说明!C:C,0),6)</f>
        <v>C8</v>
      </c>
      <c r="M1494" s="68" t="s">
        <v>3499</v>
      </c>
      <c r="N1494" s="68" t="s">
        <v>1601</v>
      </c>
      <c r="O1494" s="68"/>
      <c r="P1494" s="68"/>
    </row>
    <row r="1495" ht="39.95" hidden="1" customHeight="1" outlineLevel="1" spans="1:16">
      <c r="A1495" s="70"/>
      <c r="B1495" s="71"/>
      <c r="C1495" s="59" t="s">
        <v>278</v>
      </c>
      <c r="D1495" s="59" t="s">
        <v>3483</v>
      </c>
      <c r="E1495" s="65">
        <v>1003</v>
      </c>
      <c r="F1495" s="68" t="s">
        <v>2314</v>
      </c>
      <c r="G1495" s="65">
        <v>100320</v>
      </c>
      <c r="H1495" s="67" t="s">
        <v>2315</v>
      </c>
      <c r="I1495" s="67" t="s">
        <v>345</v>
      </c>
      <c r="J1495" s="67" t="str">
        <f>INDEX(数据元说明!A:F,MATCH(I1495,数据元说明!C:C,0),2)</f>
        <v>001005</v>
      </c>
      <c r="K1495" s="68" t="str">
        <f>INDEX(数据元说明!A:F,MATCH(I1495,数据元说明!C:C,0),5)</f>
        <v>YYYYMMDD，默认值99991231。</v>
      </c>
      <c r="L1495" s="67" t="str">
        <f>INDEX(数据元说明!A:F,MATCH(I1495,数据元说明!C:C,0),6)</f>
        <v>C8</v>
      </c>
      <c r="M1495" s="68" t="s">
        <v>3500</v>
      </c>
      <c r="N1495" s="68" t="s">
        <v>1601</v>
      </c>
      <c r="O1495" s="68"/>
      <c r="P1495" s="68"/>
    </row>
    <row r="1496" ht="39.95" hidden="1" customHeight="1" outlineLevel="1" spans="1:16">
      <c r="A1496" s="70"/>
      <c r="B1496" s="71"/>
      <c r="C1496" s="59" t="s">
        <v>278</v>
      </c>
      <c r="D1496" s="59" t="s">
        <v>3483</v>
      </c>
      <c r="E1496" s="65">
        <v>1003</v>
      </c>
      <c r="F1496" s="68" t="s">
        <v>3501</v>
      </c>
      <c r="G1496" s="65">
        <v>100321</v>
      </c>
      <c r="H1496" s="67" t="s">
        <v>3502</v>
      </c>
      <c r="I1496" s="67" t="s">
        <v>605</v>
      </c>
      <c r="J1496" s="67" t="str">
        <f>INDEX(数据元说明!A:F,MATCH(I1496,数据元说明!C:C,0),2)</f>
        <v>003001</v>
      </c>
      <c r="K1496" s="68" t="str">
        <f>INDEX(数据元说明!A:F,MATCH(I1496,数据元说明!C:C,0),5)</f>
        <v>系统内最细一级的账号，无唯一性约束，不需要和序号、子序号等做拼接。</v>
      </c>
      <c r="L1496" s="67" t="str">
        <f>INDEX(数据元说明!A:F,MATCH(I1496,数据元说明!C:C,0),6)</f>
        <v>C..60</v>
      </c>
      <c r="M1496" s="68" t="s">
        <v>3503</v>
      </c>
      <c r="N1496" s="68" t="s">
        <v>1583</v>
      </c>
      <c r="O1496" s="68" t="s">
        <v>484</v>
      </c>
      <c r="P1496" s="68"/>
    </row>
    <row r="1497" ht="39.95" hidden="1" customHeight="1" outlineLevel="1" spans="1:16">
      <c r="A1497" s="63"/>
      <c r="B1497" s="64"/>
      <c r="C1497" s="59" t="s">
        <v>278</v>
      </c>
      <c r="D1497" s="59" t="s">
        <v>3483</v>
      </c>
      <c r="E1497" s="65">
        <v>1003</v>
      </c>
      <c r="F1497" s="68" t="s">
        <v>1558</v>
      </c>
      <c r="G1497" s="65">
        <v>100322</v>
      </c>
      <c r="H1497" s="75" t="s">
        <v>3504</v>
      </c>
      <c r="I1497" s="68" t="s">
        <v>1558</v>
      </c>
      <c r="J1497" s="145" t="str">
        <f>INDEX(数据元说明!A:F,MATCH(I1497,数据元说明!C:C,0),2)</f>
        <v>010108</v>
      </c>
      <c r="K1497" s="68" t="str">
        <f>INDEX(数据元说明!A:F,MATCH(I1497,数据元说明!C:C,0),5)</f>
        <v>政府机关，银行业金融机构，非银行业金融机构，境外金融机构，公司客户，个人客户。</v>
      </c>
      <c r="L1497" s="68" t="s">
        <v>367</v>
      </c>
      <c r="M1497" s="68"/>
      <c r="N1497" s="68" t="s">
        <v>1601</v>
      </c>
      <c r="O1497" s="68"/>
      <c r="P1497" s="86"/>
    </row>
    <row r="1498" ht="39.95" hidden="1" customHeight="1" outlineLevel="1" spans="1:16">
      <c r="A1498" s="63"/>
      <c r="B1498" s="64"/>
      <c r="C1498" s="59" t="s">
        <v>278</v>
      </c>
      <c r="D1498" s="59" t="s">
        <v>3483</v>
      </c>
      <c r="E1498" s="65">
        <v>1003</v>
      </c>
      <c r="F1498" s="68" t="s">
        <v>2651</v>
      </c>
      <c r="G1498" s="65">
        <v>100323</v>
      </c>
      <c r="H1498" s="75" t="s">
        <v>2652</v>
      </c>
      <c r="I1498" s="68" t="s">
        <v>325</v>
      </c>
      <c r="J1498" s="68" t="str">
        <f>INDEX(数据元说明!A:F,MATCH(I1498,数据元说明!C:C,0),2)</f>
        <v>001001</v>
      </c>
      <c r="K1498" s="68" t="str">
        <f>INDEX(数据元说明!A:F,MATCH(I1498,数据元说明!C:C,0),5)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498" s="67" t="str">
        <f>INDEX(数据元说明!A:F,MATCH(I1498,数据元说明!C:C,0),6)</f>
        <v>C..450</v>
      </c>
      <c r="M1498" s="68" t="s">
        <v>3505</v>
      </c>
      <c r="N1498" s="68" t="s">
        <v>1601</v>
      </c>
      <c r="O1498" s="68"/>
      <c r="P1498" s="86"/>
    </row>
    <row r="1499" ht="39.95" hidden="1" customHeight="1" outlineLevel="1" spans="1:16">
      <c r="A1499" s="63"/>
      <c r="B1499" s="64"/>
      <c r="C1499" s="59" t="s">
        <v>278</v>
      </c>
      <c r="D1499" s="59" t="s">
        <v>3483</v>
      </c>
      <c r="E1499" s="65">
        <v>1003</v>
      </c>
      <c r="F1499" s="68" t="s">
        <v>3506</v>
      </c>
      <c r="G1499" s="65">
        <v>100324</v>
      </c>
      <c r="H1499" s="75" t="s">
        <v>3507</v>
      </c>
      <c r="I1499" s="68" t="s">
        <v>1168</v>
      </c>
      <c r="J1499" s="145" t="str">
        <f>INDEX(数据元说明!A:F,MATCH(I1499,数据元说明!C:C,0),2)</f>
        <v>010010</v>
      </c>
      <c r="K1499" s="68" t="str">
        <f>INDEX(数据元说明!A:F,MATCH(I1499,数据元说明!C:C,0),5)</f>
        <v>优先填报外部专业性的评级公司对融资人主体或资产的信用评级结果，如无，则由填报机构内部对融资人主体或资产的信用评级结果。</v>
      </c>
      <c r="L1499" s="68" t="s">
        <v>698</v>
      </c>
      <c r="M1499" s="68" t="s">
        <v>3508</v>
      </c>
      <c r="N1499" s="68" t="s">
        <v>1583</v>
      </c>
      <c r="O1499" s="68" t="s">
        <v>321</v>
      </c>
      <c r="P1499" s="86"/>
    </row>
    <row r="1500" ht="39.95" hidden="1" customHeight="1" collapsed="1" spans="1:16">
      <c r="A1500" s="63"/>
      <c r="B1500" s="64"/>
      <c r="C1500" s="59" t="s">
        <v>278</v>
      </c>
      <c r="D1500" s="59" t="s">
        <v>3483</v>
      </c>
      <c r="E1500" s="65">
        <v>1003</v>
      </c>
      <c r="F1500" s="68" t="s">
        <v>3509</v>
      </c>
      <c r="G1500" s="65">
        <v>100325</v>
      </c>
      <c r="H1500" s="75" t="s">
        <v>3510</v>
      </c>
      <c r="I1500" s="67" t="s">
        <v>325</v>
      </c>
      <c r="J1500" s="67" t="str">
        <f>INDEX(数据元说明!A:F,MATCH(I1500,数据元说明!C:C,0),2)</f>
        <v>001001</v>
      </c>
      <c r="K1500" s="68" t="str">
        <f>INDEX(数据元说明!A:F,MATCH(I1500,数据元说明!C:C,0),5)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00" s="67" t="str">
        <f>INDEX(数据元说明!A:F,MATCH(I1500,数据元说明!C:C,0),6)</f>
        <v>C..450</v>
      </c>
      <c r="M1500" s="68"/>
      <c r="N1500" s="68" t="s">
        <v>1583</v>
      </c>
      <c r="O1500" s="68" t="s">
        <v>322</v>
      </c>
      <c r="P1500" s="69"/>
    </row>
    <row r="1501" ht="39.95" hidden="1" customHeight="1" outlineLevel="1" spans="1:16">
      <c r="A1501" s="63"/>
      <c r="B1501" s="64"/>
      <c r="C1501" s="59" t="s">
        <v>278</v>
      </c>
      <c r="D1501" s="59" t="s">
        <v>3483</v>
      </c>
      <c r="E1501" s="65">
        <v>1003</v>
      </c>
      <c r="F1501" s="68" t="s">
        <v>2953</v>
      </c>
      <c r="G1501" s="65">
        <v>100326</v>
      </c>
      <c r="H1501" s="75" t="s">
        <v>3511</v>
      </c>
      <c r="I1501" s="67" t="s">
        <v>704</v>
      </c>
      <c r="J1501" s="68" t="str">
        <f>INDEX(数据元说明!A:F,MATCH(I1501,数据元说明!C:C,0),2)</f>
        <v>003025</v>
      </c>
      <c r="K1501" s="68" t="str">
        <f>INDEX(数据元说明!A:F,MATCH(I1501,数据元说明!C:C,0),5)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501" s="80" t="s">
        <v>407</v>
      </c>
      <c r="M1501" s="68" t="s">
        <v>3512</v>
      </c>
      <c r="N1501" s="68" t="s">
        <v>1601</v>
      </c>
      <c r="O1501" s="68"/>
      <c r="P1501" s="86"/>
    </row>
    <row r="1502" ht="39.95" hidden="1" customHeight="1" outlineLevel="1" spans="1:16">
      <c r="A1502" s="63"/>
      <c r="B1502" s="64"/>
      <c r="C1502" s="59" t="s">
        <v>278</v>
      </c>
      <c r="D1502" s="59" t="s">
        <v>3483</v>
      </c>
      <c r="E1502" s="65">
        <v>1003</v>
      </c>
      <c r="F1502" s="68" t="s">
        <v>3513</v>
      </c>
      <c r="G1502" s="65">
        <v>100327</v>
      </c>
      <c r="H1502" s="75" t="s">
        <v>3514</v>
      </c>
      <c r="I1502" s="80" t="s">
        <v>369</v>
      </c>
      <c r="J1502" s="68" t="str">
        <f>INDEX(数据元说明!A:F,MATCH(I1502,数据元说明!C:C,0),2)</f>
        <v>001010</v>
      </c>
      <c r="K1502" s="68" t="str">
        <f>INDEX(数据元说明!A:F,MATCH(I1502,数据元说明!C:C,0),5)</f>
        <v>12位人行支付行号或SWIFT行号。</v>
      </c>
      <c r="L1502" s="80" t="s">
        <v>367</v>
      </c>
      <c r="M1502" s="68"/>
      <c r="N1502" s="68" t="s">
        <v>1601</v>
      </c>
      <c r="O1502" s="68"/>
      <c r="P1502" s="86"/>
    </row>
    <row r="1503" ht="39.95" hidden="1" customHeight="1" outlineLevel="1" spans="1:16">
      <c r="A1503" s="63"/>
      <c r="B1503" s="64"/>
      <c r="C1503" s="59" t="s">
        <v>278</v>
      </c>
      <c r="D1503" s="59" t="s">
        <v>3483</v>
      </c>
      <c r="E1503" s="65">
        <v>1003</v>
      </c>
      <c r="F1503" s="68" t="s">
        <v>3515</v>
      </c>
      <c r="G1503" s="65">
        <v>100328</v>
      </c>
      <c r="H1503" s="75" t="s">
        <v>3516</v>
      </c>
      <c r="I1503" s="80" t="s">
        <v>325</v>
      </c>
      <c r="J1503" s="68" t="str">
        <f>INDEX(数据元说明!A:F,MATCH(I1503,数据元说明!C:C,0),2)</f>
        <v>001001</v>
      </c>
      <c r="K1503" s="68" t="str">
        <f>INDEX(数据元说明!A:F,MATCH(I1503,数据元说明!C:C,0),5)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03" s="80" t="s">
        <v>367</v>
      </c>
      <c r="M1503" s="68"/>
      <c r="N1503" s="68" t="s">
        <v>1601</v>
      </c>
      <c r="O1503" s="68"/>
      <c r="P1503" s="86"/>
    </row>
    <row r="1504" ht="39.95" hidden="1" customHeight="1" collapsed="1" spans="1:16">
      <c r="A1504" s="63"/>
      <c r="B1504" s="64"/>
      <c r="C1504" s="59" t="s">
        <v>278</v>
      </c>
      <c r="D1504" s="59" t="s">
        <v>3483</v>
      </c>
      <c r="E1504" s="65">
        <v>1003</v>
      </c>
      <c r="F1504" s="68" t="s">
        <v>3517</v>
      </c>
      <c r="G1504" s="65">
        <v>100329</v>
      </c>
      <c r="H1504" s="75" t="s">
        <v>3518</v>
      </c>
      <c r="I1504" s="67" t="s">
        <v>330</v>
      </c>
      <c r="J1504" s="67" t="str">
        <f>INDEX(数据元说明!A:F,MATCH(I1504,数据元说明!C:C,0),2)</f>
        <v>001002</v>
      </c>
      <c r="K1504" s="68" t="str">
        <f>INDEX(数据元说明!A:F,MATCH(I1504,数据元说明!C:C,0),5)</f>
        <v>是，否。</v>
      </c>
      <c r="L1504" s="67" t="str">
        <f>INDEX(数据元说明!A:F,MATCH(I1504,数据元说明!C:C,0),6)</f>
        <v>C3</v>
      </c>
      <c r="M1504" s="68" t="s">
        <v>3519</v>
      </c>
      <c r="N1504" s="68" t="s">
        <v>1601</v>
      </c>
      <c r="O1504" s="68"/>
      <c r="P1504" s="69"/>
    </row>
    <row r="1505" ht="39.95" hidden="1" customHeight="1" spans="1:16">
      <c r="A1505" s="63"/>
      <c r="B1505" s="64"/>
      <c r="C1505" s="59" t="s">
        <v>278</v>
      </c>
      <c r="D1505" s="59" t="s">
        <v>3483</v>
      </c>
      <c r="E1505" s="65">
        <v>1003</v>
      </c>
      <c r="F1505" s="68" t="s">
        <v>2897</v>
      </c>
      <c r="G1505" s="65">
        <v>100330</v>
      </c>
      <c r="H1505" s="75" t="s">
        <v>2898</v>
      </c>
      <c r="I1505" s="67" t="s">
        <v>389</v>
      </c>
      <c r="J1505" s="67" t="str">
        <f>INDEX(数据元说明!A:F,MATCH(I1505,数据元说明!C:C,0),2)</f>
        <v>001015</v>
      </c>
      <c r="K1505" s="68" t="str">
        <f>INDEX(数据元说明!A:F,MATCH(I1505,数据元说明!C:C,0),5)</f>
        <v>工号，银行自定义。</v>
      </c>
      <c r="L1505" s="67" t="str">
        <f>INDEX(数据元说明!A:F,MATCH(I1505,数据元说明!C:C,0),6)</f>
        <v>C..30</v>
      </c>
      <c r="M1505" s="68" t="s">
        <v>3520</v>
      </c>
      <c r="N1505" s="68" t="s">
        <v>1601</v>
      </c>
      <c r="O1505" s="68"/>
      <c r="P1505" s="69"/>
    </row>
    <row r="1506" ht="39.95" hidden="1" customHeight="1" spans="1:16">
      <c r="A1506" s="63"/>
      <c r="B1506" s="64"/>
      <c r="C1506" s="59" t="s">
        <v>278</v>
      </c>
      <c r="D1506" s="59" t="s">
        <v>3483</v>
      </c>
      <c r="E1506" s="65">
        <v>1003</v>
      </c>
      <c r="F1506" s="68" t="s">
        <v>2814</v>
      </c>
      <c r="G1506" s="65">
        <v>100331</v>
      </c>
      <c r="H1506" s="75" t="s">
        <v>3409</v>
      </c>
      <c r="I1506" s="67" t="s">
        <v>389</v>
      </c>
      <c r="J1506" s="67" t="str">
        <f>INDEX(数据元说明!A:F,MATCH(I1506,数据元说明!C:C,0),2)</f>
        <v>001015</v>
      </c>
      <c r="K1506" s="68" t="str">
        <f>INDEX(数据元说明!A:F,MATCH(I1506,数据元说明!C:C,0),5)</f>
        <v>工号，银行自定义。</v>
      </c>
      <c r="L1506" s="67" t="str">
        <f>INDEX(数据元说明!A:F,MATCH(I1506,数据元说明!C:C,0),6)</f>
        <v>C..30</v>
      </c>
      <c r="M1506" s="68" t="s">
        <v>3520</v>
      </c>
      <c r="N1506" s="68" t="s">
        <v>1583</v>
      </c>
      <c r="O1506" s="68" t="s">
        <v>1745</v>
      </c>
      <c r="P1506" s="69"/>
    </row>
    <row r="1507" ht="39.95" hidden="1" customHeight="1" outlineLevel="1" spans="1:16">
      <c r="A1507" s="63"/>
      <c r="B1507" s="64" t="s">
        <v>3521</v>
      </c>
      <c r="C1507" s="59" t="s">
        <v>278</v>
      </c>
      <c r="D1507" s="59" t="s">
        <v>3483</v>
      </c>
      <c r="E1507" s="65">
        <v>1003</v>
      </c>
      <c r="F1507" s="67" t="s">
        <v>484</v>
      </c>
      <c r="G1507" s="65">
        <v>100332</v>
      </c>
      <c r="H1507" s="67" t="s">
        <v>1623</v>
      </c>
      <c r="I1507" s="67" t="s">
        <v>484</v>
      </c>
      <c r="J1507" s="67" t="str">
        <f>INDEX(数据元说明!A:F,MATCH(I1507,数据元说明!C:C,0),2)</f>
        <v>001038</v>
      </c>
      <c r="K1507" s="68" t="str">
        <f>INDEX(数据元说明!A:F,MATCH(I1507,数据元说明!C:C,0),5)</f>
        <v>银行自定义。</v>
      </c>
      <c r="L1507" s="67" t="str">
        <f>INDEX(数据元说明!A:F,MATCH(I1507,数据元说明!C:C,0),6)</f>
        <v>C..600</v>
      </c>
      <c r="M1507" s="68" t="s">
        <v>1624</v>
      </c>
      <c r="N1507" s="68" t="s">
        <v>1601</v>
      </c>
      <c r="O1507" s="68"/>
      <c r="P1507" s="68"/>
    </row>
    <row r="1508" ht="39.95" hidden="1" customHeight="1" collapsed="1" spans="1:16">
      <c r="A1508" s="63"/>
      <c r="B1508" s="64"/>
      <c r="C1508" s="59" t="s">
        <v>278</v>
      </c>
      <c r="D1508" s="59" t="s">
        <v>3483</v>
      </c>
      <c r="E1508" s="65">
        <v>1003</v>
      </c>
      <c r="F1508" s="68" t="s">
        <v>1625</v>
      </c>
      <c r="G1508" s="65">
        <v>100333</v>
      </c>
      <c r="H1508" s="75" t="s">
        <v>1626</v>
      </c>
      <c r="I1508" s="67" t="s">
        <v>345</v>
      </c>
      <c r="J1508" s="67" t="str">
        <f>INDEX(数据元说明!A:F,MATCH(I1508,数据元说明!C:C,0),2)</f>
        <v>001005</v>
      </c>
      <c r="K1508" s="68" t="str">
        <f>INDEX(数据元说明!A:F,MATCH(I1508,数据元说明!C:C,0),5)</f>
        <v>YYYYMMDD，默认值99991231。</v>
      </c>
      <c r="L1508" s="67" t="str">
        <f>INDEX(数据元说明!A:F,MATCH(I1508,数据元说明!C:C,0),6)</f>
        <v>C8</v>
      </c>
      <c r="M1508" s="68" t="s">
        <v>1627</v>
      </c>
      <c r="N1508" s="68" t="s">
        <v>1583</v>
      </c>
      <c r="O1508" s="68" t="s">
        <v>484</v>
      </c>
      <c r="P1508" s="69" t="s">
        <v>1634</v>
      </c>
    </row>
    <row r="1509" ht="39.95" hidden="1" customHeight="1" spans="1:16">
      <c r="A1509" s="63"/>
      <c r="B1509" s="64"/>
      <c r="C1509" s="59" t="s">
        <v>282</v>
      </c>
      <c r="D1509" s="59" t="s">
        <v>3522</v>
      </c>
      <c r="E1509" s="65">
        <v>1004</v>
      </c>
      <c r="F1509" s="67"/>
      <c r="G1509" s="65"/>
      <c r="H1509" s="75"/>
      <c r="I1509" s="67"/>
      <c r="J1509" s="67"/>
      <c r="K1509" s="68"/>
      <c r="L1509" s="67"/>
      <c r="M1509" s="68" t="str">
        <f>INDEX(表结构总览!D:G,MATCH(D1509,表结构总览!D:D,0),4)</f>
        <v>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v>
      </c>
      <c r="N1509" s="67" t="s">
        <v>1583</v>
      </c>
      <c r="O1509" s="67" t="s">
        <v>484</v>
      </c>
      <c r="P1509" s="69"/>
    </row>
    <row r="1510" ht="39.95" hidden="1" customHeight="1" outlineLevel="1" spans="1:16">
      <c r="A1510" s="63"/>
      <c r="B1510" s="64"/>
      <c r="C1510" s="59" t="s">
        <v>282</v>
      </c>
      <c r="D1510" s="59" t="s">
        <v>3522</v>
      </c>
      <c r="E1510" s="65">
        <v>1004</v>
      </c>
      <c r="F1510" s="67" t="s">
        <v>373</v>
      </c>
      <c r="G1510" s="65">
        <v>100401</v>
      </c>
      <c r="H1510" s="67" t="s">
        <v>1588</v>
      </c>
      <c r="I1510" s="67" t="s">
        <v>373</v>
      </c>
      <c r="J1510" s="67" t="str">
        <f>INDEX(数据元说明!A:F,MATCH(I1510,数据元说明!C:C,0),2)</f>
        <v>001011</v>
      </c>
      <c r="K1510" s="68" t="str">
        <f>INDEX(数据元说明!A:F,MATCH(I1510,数据元说明!C:C,0),5)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10" s="67" t="str">
        <f>INDEX(数据元说明!A:F,MATCH(I1510,数据元说明!C:C,0),6)</f>
        <v>C..30</v>
      </c>
      <c r="M1510" s="68" t="s">
        <v>2488</v>
      </c>
      <c r="N1510" s="86"/>
      <c r="O1510" s="68"/>
      <c r="P1510" s="68"/>
    </row>
    <row r="1511" ht="39.95" hidden="1" customHeight="1" collapsed="1" spans="1:16">
      <c r="A1511" s="63"/>
      <c r="B1511" s="64"/>
      <c r="C1511" s="59" t="s">
        <v>282</v>
      </c>
      <c r="D1511" s="59" t="s">
        <v>3522</v>
      </c>
      <c r="E1511" s="65">
        <v>1004</v>
      </c>
      <c r="F1511" s="75" t="s">
        <v>377</v>
      </c>
      <c r="G1511" s="65">
        <v>100402</v>
      </c>
      <c r="H1511" s="75" t="s">
        <v>1586</v>
      </c>
      <c r="I1511" s="67" t="s">
        <v>377</v>
      </c>
      <c r="J1511" s="67" t="str">
        <f>INDEX(数据元说明!A:F,MATCH(I1511,数据元说明!C:C,0),2)</f>
        <v>001012</v>
      </c>
      <c r="K1511" s="68" t="str">
        <f>INDEX(数据元说明!A:F,MATCH(I1511,数据元说明!C:C,0),5)</f>
        <v>银行内部机构号。应具有标识机构的唯一性。</v>
      </c>
      <c r="L1511" s="67" t="str">
        <f>INDEX(数据元说明!A:F,MATCH(I1511,数据元说明!C:C,0),6)</f>
        <v>C..30</v>
      </c>
      <c r="M1511" s="68" t="s">
        <v>1820</v>
      </c>
      <c r="N1511" s="68"/>
      <c r="O1511" s="68"/>
      <c r="P1511" s="69"/>
    </row>
    <row r="1512" ht="39.95" hidden="1" customHeight="1" spans="1:16">
      <c r="A1512" s="63"/>
      <c r="B1512" s="64"/>
      <c r="C1512" s="59" t="s">
        <v>282</v>
      </c>
      <c r="D1512" s="59" t="s">
        <v>3522</v>
      </c>
      <c r="E1512" s="65">
        <v>1004</v>
      </c>
      <c r="F1512" s="75" t="s">
        <v>1592</v>
      </c>
      <c r="G1512" s="65">
        <v>100403</v>
      </c>
      <c r="H1512" s="75" t="s">
        <v>1593</v>
      </c>
      <c r="I1512" s="67" t="s">
        <v>325</v>
      </c>
      <c r="J1512" s="67" t="str">
        <f>INDEX(数据元说明!A:F,MATCH(I1512,数据元说明!C:C,0),2)</f>
        <v>001001</v>
      </c>
      <c r="K1512" s="68" t="str">
        <f>INDEX(数据元说明!A:F,MATCH(I1512,数据元说明!C:C,0),5)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12" s="67" t="str">
        <f>INDEX(数据元说明!A:F,MATCH(I1512,数据元说明!C:C,0),6)</f>
        <v>C..450</v>
      </c>
      <c r="M1512" s="68" t="s">
        <v>1631</v>
      </c>
      <c r="N1512" s="68" t="s">
        <v>1583</v>
      </c>
      <c r="O1512" s="68" t="s">
        <v>322</v>
      </c>
      <c r="P1512" s="69" t="s">
        <v>1634</v>
      </c>
    </row>
    <row r="1513" ht="39.95" hidden="1" customHeight="1" outlineLevel="1" spans="1:16">
      <c r="A1513" s="70"/>
      <c r="B1513" s="71"/>
      <c r="C1513" s="59" t="s">
        <v>282</v>
      </c>
      <c r="D1513" s="59" t="s">
        <v>3522</v>
      </c>
      <c r="E1513" s="65">
        <v>1004</v>
      </c>
      <c r="F1513" s="67" t="s">
        <v>2125</v>
      </c>
      <c r="G1513" s="65">
        <v>100404</v>
      </c>
      <c r="H1513" s="67" t="s">
        <v>2126</v>
      </c>
      <c r="I1513" s="67" t="s">
        <v>609</v>
      </c>
      <c r="J1513" s="67" t="str">
        <f>INDEX(数据元说明!A:F,MATCH(I1513,数据元说明!C:C,0),2)</f>
        <v>003002</v>
      </c>
      <c r="K1513" s="68" t="str">
        <f>INDEX(数据元说明!A:F,MATCH(I1513,数据元说明!C:C,0),5)</f>
        <v>机构实际使用的总账会计科目编码。</v>
      </c>
      <c r="L1513" s="67" t="str">
        <f>INDEX(数据元说明!A:F,MATCH(I1513,数据元说明!C:C,0),6)</f>
        <v>C..60</v>
      </c>
      <c r="M1513" s="68" t="s">
        <v>2219</v>
      </c>
      <c r="N1513" s="68" t="s">
        <v>1601</v>
      </c>
      <c r="O1513" s="68"/>
      <c r="P1513" s="68"/>
    </row>
    <row r="1514" ht="39.95" hidden="1" customHeight="1" outlineLevel="1" spans="1:16">
      <c r="A1514" s="70"/>
      <c r="B1514" s="71"/>
      <c r="C1514" s="59" t="s">
        <v>282</v>
      </c>
      <c r="D1514" s="59" t="s">
        <v>3522</v>
      </c>
      <c r="E1514" s="65">
        <v>1004</v>
      </c>
      <c r="F1514" s="67" t="s">
        <v>2128</v>
      </c>
      <c r="G1514" s="65">
        <v>100405</v>
      </c>
      <c r="H1514" s="67" t="s">
        <v>2129</v>
      </c>
      <c r="I1514" s="67" t="s">
        <v>613</v>
      </c>
      <c r="J1514" s="67" t="str">
        <f>INDEX(数据元说明!A:F,MATCH(I1514,数据元说明!C:C,0),2)</f>
        <v>003003</v>
      </c>
      <c r="K1514" s="68" t="str">
        <f>INDEX(数据元说明!A:F,MATCH(I1514,数据元说明!C:C,0),5)</f>
        <v>机构实际使用的总账会计科目编码对应的名称。</v>
      </c>
      <c r="L1514" s="67" t="str">
        <f>INDEX(数据元说明!A:F,MATCH(I1514,数据元说明!C:C,0),6)</f>
        <v>C..300</v>
      </c>
      <c r="M1514" s="68" t="s">
        <v>2219</v>
      </c>
      <c r="N1514" s="68" t="s">
        <v>1601</v>
      </c>
      <c r="O1514" s="68"/>
      <c r="P1514" s="68"/>
    </row>
    <row r="1515" ht="39.95" hidden="1" customHeight="1" collapsed="1" spans="1:16">
      <c r="A1515" s="63"/>
      <c r="B1515" s="64"/>
      <c r="C1515" s="59" t="s">
        <v>282</v>
      </c>
      <c r="D1515" s="59" t="s">
        <v>3522</v>
      </c>
      <c r="E1515" s="65">
        <v>1004</v>
      </c>
      <c r="F1515" s="67" t="s">
        <v>1132</v>
      </c>
      <c r="G1515" s="65">
        <v>100406</v>
      </c>
      <c r="H1515" s="75" t="s">
        <v>3425</v>
      </c>
      <c r="I1515" s="67" t="s">
        <v>1132</v>
      </c>
      <c r="J1515" s="144" t="str">
        <f>INDEX(数据元说明!A:F,MATCH(I1515,数据元说明!C:C,0),2)</f>
        <v>010001</v>
      </c>
      <c r="K1515" s="68" t="str">
        <f>INDEX(数据元说明!A:F,MATCH(I1515,数据元说明!C:C,0),5)</f>
        <v>能在表内唯一识别金融工具的编号，包括但不限于标准化或非标准化金融产品。在中登公司有登记的金融产品，需填报在中登公司记录的正确编号，如果不是标准产品，则由银行自定义。</v>
      </c>
      <c r="L1515" s="67" t="str">
        <f>INDEX(数据元说明!A:F,MATCH(I1515,数据元说明!C:C,0),6)</f>
        <v>C..60</v>
      </c>
      <c r="M1515" s="68" t="s">
        <v>3523</v>
      </c>
      <c r="N1515" s="68" t="s">
        <v>1601</v>
      </c>
      <c r="O1515" s="74"/>
      <c r="P1515" s="69"/>
    </row>
    <row r="1516" ht="39.95" hidden="1" customHeight="1" spans="1:16">
      <c r="A1516" s="63"/>
      <c r="B1516" s="64"/>
      <c r="C1516" s="59" t="s">
        <v>282</v>
      </c>
      <c r="D1516" s="59" t="s">
        <v>3522</v>
      </c>
      <c r="E1516" s="65">
        <v>1004</v>
      </c>
      <c r="F1516" s="67" t="s">
        <v>1136</v>
      </c>
      <c r="G1516" s="65">
        <v>100407</v>
      </c>
      <c r="H1516" s="75" t="s">
        <v>3427</v>
      </c>
      <c r="I1516" s="67" t="s">
        <v>1136</v>
      </c>
      <c r="J1516" s="144" t="str">
        <f>INDEX(数据元说明!A:F,MATCH(I1516,数据元说明!C:C,0),2)</f>
        <v>010002</v>
      </c>
      <c r="K1516" s="68" t="str">
        <f>INDEX(数据元说明!A:F,MATCH(I1516,数据元说明!C:C,0),5)</f>
        <v>金融产品名称，包括但不限于标准化或非标准化金融产品。如果不是标准产品，则由银行自定义。</v>
      </c>
      <c r="L1516" s="67" t="str">
        <f>INDEX(数据元说明!A:F,MATCH(I1516,数据元说明!C:C,0),6)</f>
        <v>C..450</v>
      </c>
      <c r="M1516" s="68" t="s">
        <v>3486</v>
      </c>
      <c r="N1516" s="68" t="s">
        <v>1601</v>
      </c>
      <c r="O1516" s="74"/>
      <c r="P1516" s="69"/>
    </row>
    <row r="1517" ht="39.95" hidden="1" customHeight="1" spans="1:16">
      <c r="A1517" s="63"/>
      <c r="B1517" s="64"/>
      <c r="C1517" s="59" t="s">
        <v>282</v>
      </c>
      <c r="D1517" s="59" t="s">
        <v>3522</v>
      </c>
      <c r="E1517" s="65">
        <v>1004</v>
      </c>
      <c r="F1517" s="75" t="s">
        <v>1117</v>
      </c>
      <c r="G1517" s="65">
        <v>100408</v>
      </c>
      <c r="H1517" s="67" t="s">
        <v>3484</v>
      </c>
      <c r="I1517" s="67" t="s">
        <v>1117</v>
      </c>
      <c r="J1517" s="67" t="str">
        <f>INDEX(数据元说明!A:F,MATCH(I1517,数据元说明!C:C,0),2)</f>
        <v>009001</v>
      </c>
      <c r="K1517" s="67" t="str">
        <f>INDEX(数据元说明!A:F,MATCH(I1517,数据元说明!C:C,0),5)</f>
        <v>银行账户，交易账户。</v>
      </c>
      <c r="L1517" s="67" t="str">
        <f>INDEX(数据元说明!A:F,MATCH(I1517,数据元说明!C:C,0),6)</f>
        <v>C12</v>
      </c>
      <c r="M1517" s="68"/>
      <c r="N1517" s="68"/>
      <c r="O1517" s="68"/>
      <c r="P1517" s="69"/>
    </row>
    <row r="1518" ht="39.95" hidden="1" customHeight="1" spans="1:16">
      <c r="A1518" s="63"/>
      <c r="B1518" s="64"/>
      <c r="C1518" s="59" t="s">
        <v>282</v>
      </c>
      <c r="D1518" s="59" t="s">
        <v>3522</v>
      </c>
      <c r="E1518" s="65">
        <v>1004</v>
      </c>
      <c r="F1518" s="67" t="s">
        <v>1234</v>
      </c>
      <c r="G1518" s="65">
        <v>100409</v>
      </c>
      <c r="H1518" s="75" t="s">
        <v>3487</v>
      </c>
      <c r="I1518" s="67" t="s">
        <v>1234</v>
      </c>
      <c r="J1518" s="144" t="str">
        <f>INDEX(数据元说明!A:F,MATCH(I1518,数据元说明!C:C,0),2)</f>
        <v>010026</v>
      </c>
      <c r="K1518" s="68" t="str">
        <f>INDEX(数据元说明!A:F,MATCH(I1518,数据元说明!C:C,0),5)</f>
        <v>同《自营报送范围》中的“业务大类”清单，其中债券与同业投资部分与1104报表G31的产品种类一致，不可自定义修改。</v>
      </c>
      <c r="L1518" s="67" t="str">
        <f>INDEX(数据元说明!A:F,MATCH(I1518,数据元说明!C:C,0),6)</f>
        <v>C..60</v>
      </c>
      <c r="M1518" s="68"/>
      <c r="N1518" s="68" t="s">
        <v>1601</v>
      </c>
      <c r="O1518" s="74"/>
      <c r="P1518" s="69"/>
    </row>
    <row r="1519" ht="39.95" hidden="1" customHeight="1" spans="1:16">
      <c r="A1519" s="63"/>
      <c r="B1519" s="64"/>
      <c r="C1519" s="59" t="s">
        <v>282</v>
      </c>
      <c r="D1519" s="59" t="s">
        <v>3522</v>
      </c>
      <c r="E1519" s="65">
        <v>1004</v>
      </c>
      <c r="F1519" s="75" t="s">
        <v>1238</v>
      </c>
      <c r="G1519" s="65">
        <v>100410</v>
      </c>
      <c r="H1519" s="67" t="s">
        <v>3291</v>
      </c>
      <c r="I1519" s="67" t="s">
        <v>1238</v>
      </c>
      <c r="J1519" s="144" t="str">
        <f>INDEX(数据元说明!A:F,MATCH(I1519,数据元说明!C:C,0),2)</f>
        <v>010027</v>
      </c>
      <c r="K1519" s="68" t="str">
        <f>INDEX(数据元说明!A:F,MATCH(I1519,数据元说明!C:C,0),5)</f>
        <v>同《自营报送范围》中的“业务中类”清单，其中债券与同业投资部分与1104报表G31的产品种类一致，不可自定义修改。</v>
      </c>
      <c r="L1519" s="67" t="str">
        <f>INDEX(数据元说明!A:F,MATCH(I1519,数据元说明!C:C,0),6)</f>
        <v>C..60</v>
      </c>
      <c r="M1519" s="68"/>
      <c r="N1519" s="80"/>
      <c r="O1519" s="80"/>
      <c r="P1519" s="69"/>
    </row>
    <row r="1520" ht="39.95" hidden="1" customHeight="1" spans="1:16">
      <c r="A1520" s="63"/>
      <c r="B1520" s="64"/>
      <c r="C1520" s="59" t="s">
        <v>282</v>
      </c>
      <c r="D1520" s="59" t="s">
        <v>3522</v>
      </c>
      <c r="E1520" s="65">
        <v>1004</v>
      </c>
      <c r="F1520" s="75" t="s">
        <v>1242</v>
      </c>
      <c r="G1520" s="65">
        <v>100411</v>
      </c>
      <c r="H1520" s="67" t="s">
        <v>3488</v>
      </c>
      <c r="I1520" s="67" t="s">
        <v>1242</v>
      </c>
      <c r="J1520" s="144" t="str">
        <f>INDEX(数据元说明!A:F,MATCH(I1520,数据元说明!C:C,0),2)</f>
        <v>010028</v>
      </c>
      <c r="K1520" s="68" t="str">
        <f>INDEX(数据元说明!A:F,MATCH(I1520,数据元说明!C:C,0),5)</f>
        <v>同《自营报送范围》中的“业务小类”清单，其中债券与同业投资部分与1104报表G31的产品种类一致，不可自定义修改。</v>
      </c>
      <c r="L1520" s="67" t="str">
        <f>INDEX(数据元说明!A:F,MATCH(I1520,数据元说明!C:C,0),6)</f>
        <v>C..60</v>
      </c>
      <c r="M1520" s="68"/>
      <c r="N1520" s="80"/>
      <c r="O1520" s="80"/>
      <c r="P1520" s="69"/>
    </row>
    <row r="1521" ht="39.95" hidden="1" customHeight="1" spans="1:16">
      <c r="A1521" s="63"/>
      <c r="B1521" s="64"/>
      <c r="C1521" s="59" t="s">
        <v>282</v>
      </c>
      <c r="D1521" s="59" t="s">
        <v>3522</v>
      </c>
      <c r="E1521" s="65">
        <v>1004</v>
      </c>
      <c r="F1521" s="75" t="s">
        <v>746</v>
      </c>
      <c r="G1521" s="65">
        <v>100412</v>
      </c>
      <c r="H1521" s="67" t="s">
        <v>3489</v>
      </c>
      <c r="I1521" s="67" t="s">
        <v>746</v>
      </c>
      <c r="J1521" s="67" t="str">
        <f>INDEX(数据元说明!A:F,MATCH(I1521,数据元说明!C:C,0),2)</f>
        <v>005001</v>
      </c>
      <c r="K1521" s="68" t="str">
        <f>INDEX(数据元说明!A:F,MATCH(I1521,数据元说明!C:C,0),5)</f>
        <v>银行内部产品中文名称，银行自定义。</v>
      </c>
      <c r="L1521" s="67" t="str">
        <f>INDEX(数据元说明!A:F,MATCH(I1521,数据元说明!C:C,0),6)</f>
        <v>C..300</v>
      </c>
      <c r="M1521" s="68"/>
      <c r="N1521" s="68"/>
      <c r="O1521" s="68"/>
      <c r="P1521" s="69"/>
    </row>
    <row r="1522" ht="39.95" hidden="1" customHeight="1" spans="1:16">
      <c r="A1522" s="63"/>
      <c r="B1522" s="64"/>
      <c r="C1522" s="59" t="s">
        <v>282</v>
      </c>
      <c r="D1522" s="59" t="s">
        <v>3522</v>
      </c>
      <c r="E1522" s="65">
        <v>1004</v>
      </c>
      <c r="F1522" s="75" t="s">
        <v>642</v>
      </c>
      <c r="G1522" s="65">
        <v>100413</v>
      </c>
      <c r="H1522" s="67" t="s">
        <v>1914</v>
      </c>
      <c r="I1522" s="67" t="s">
        <v>642</v>
      </c>
      <c r="J1522" s="67" t="str">
        <f>INDEX(数据元说明!A:F,MATCH(I1522,数据元说明!C:C,0),2)</f>
        <v>003010</v>
      </c>
      <c r="K1522" s="68" t="str">
        <f>INDEX(数据元说明!A:F,MATCH(I1522,数据元说明!C:C,0),5)</f>
        <v>遵循《GB/T 12406 表示货币和资金的代码》的字母代码，如CNY。上述文件所列币种无法涵盖的，允许银行自定义填报。多个币种合计折算为人民币（本外币合计）的，填报为BWB。</v>
      </c>
      <c r="L1522" s="67" t="str">
        <f>INDEX(数据元说明!A:F,MATCH(I1522,数据元说明!C:C,0),6)</f>
        <v>C3</v>
      </c>
      <c r="M1522" s="68" t="s">
        <v>3524</v>
      </c>
      <c r="N1522" s="68"/>
      <c r="O1522" s="68"/>
      <c r="P1522" s="69"/>
    </row>
    <row r="1523" ht="39.95" hidden="1" customHeight="1" spans="1:16">
      <c r="A1523" s="89"/>
      <c r="B1523" s="73"/>
      <c r="C1523" s="59" t="s">
        <v>282</v>
      </c>
      <c r="D1523" s="59" t="s">
        <v>3522</v>
      </c>
      <c r="E1523" s="65">
        <v>1004</v>
      </c>
      <c r="F1523" s="69" t="s">
        <v>3525</v>
      </c>
      <c r="G1523" s="65">
        <v>100414</v>
      </c>
      <c r="H1523" s="69" t="s">
        <v>3526</v>
      </c>
      <c r="I1523" s="69" t="s">
        <v>634</v>
      </c>
      <c r="J1523" s="69" t="str">
        <f>INDEX(数据元说明!A:F,MATCH(I1523,数据元说明!C:C,0),2)</f>
        <v>003008</v>
      </c>
      <c r="K1523" s="69" t="str">
        <f>INDEX(数据元说明!A:F,MATCH(I1523,数据元说明!C:C,0),5)</f>
        <v>与币种相对应金额。</v>
      </c>
      <c r="L1523" s="69" t="str">
        <f>INDEX(数据元说明!A:F,MATCH(I1523,数据元说明!C:C,0),6)</f>
        <v>D20.2</v>
      </c>
      <c r="M1523" s="69" t="s">
        <v>3527</v>
      </c>
      <c r="N1523" s="67" t="s">
        <v>1583</v>
      </c>
      <c r="O1523" s="67" t="s">
        <v>484</v>
      </c>
      <c r="P1523" s="69"/>
    </row>
    <row r="1524" ht="39.95" hidden="1" customHeight="1" spans="1:16">
      <c r="A1524" s="63"/>
      <c r="B1524" s="64"/>
      <c r="C1524" s="59" t="s">
        <v>282</v>
      </c>
      <c r="D1524" s="59" t="s">
        <v>3522</v>
      </c>
      <c r="E1524" s="65">
        <v>1004</v>
      </c>
      <c r="F1524" s="75" t="s">
        <v>3528</v>
      </c>
      <c r="G1524" s="65">
        <v>100415</v>
      </c>
      <c r="H1524" s="67" t="s">
        <v>3529</v>
      </c>
      <c r="I1524" s="67" t="s">
        <v>634</v>
      </c>
      <c r="J1524" s="67" t="str">
        <f>INDEX(数据元说明!A:F,MATCH(I1524,数据元说明!C:C,0),2)</f>
        <v>003008</v>
      </c>
      <c r="K1524" s="68" t="str">
        <f>INDEX(数据元说明!A:F,MATCH(I1524,数据元说明!C:C,0),5)</f>
        <v>与币种相对应金额。</v>
      </c>
      <c r="L1524" s="67" t="str">
        <f>INDEX(数据元说明!A:F,MATCH(I1524,数据元说明!C:C,0),6)</f>
        <v>D20.2</v>
      </c>
      <c r="M1524" s="69" t="s">
        <v>3530</v>
      </c>
      <c r="N1524" s="68"/>
      <c r="O1524" s="68"/>
      <c r="P1524" s="69"/>
    </row>
    <row r="1525" ht="39.95" hidden="1" customHeight="1" spans="1:16">
      <c r="A1525" s="89"/>
      <c r="B1525" s="73"/>
      <c r="C1525" s="59" t="s">
        <v>282</v>
      </c>
      <c r="D1525" s="59" t="s">
        <v>3522</v>
      </c>
      <c r="E1525" s="65">
        <v>1004</v>
      </c>
      <c r="F1525" s="69" t="s">
        <v>3531</v>
      </c>
      <c r="G1525" s="65">
        <v>100416</v>
      </c>
      <c r="H1525" s="69" t="s">
        <v>3532</v>
      </c>
      <c r="I1525" s="69" t="s">
        <v>634</v>
      </c>
      <c r="J1525" s="69" t="str">
        <f>INDEX(数据元说明!A:F,MATCH(I1525,数据元说明!C:C,0),2)</f>
        <v>003008</v>
      </c>
      <c r="K1525" s="69" t="str">
        <f>INDEX(数据元说明!A:F,MATCH(I1525,数据元说明!C:C,0),5)</f>
        <v>与币种相对应金额。</v>
      </c>
      <c r="L1525" s="69" t="str">
        <f>INDEX(数据元说明!A:F,MATCH(I1525,数据元说明!C:C,0),6)</f>
        <v>D20.2</v>
      </c>
      <c r="M1525" s="69" t="s">
        <v>3533</v>
      </c>
      <c r="N1525" s="67" t="s">
        <v>1583</v>
      </c>
      <c r="O1525" s="67" t="s">
        <v>484</v>
      </c>
      <c r="P1525" s="69"/>
    </row>
    <row r="1526" ht="39.95" hidden="1" customHeight="1" spans="1:16">
      <c r="A1526" s="89"/>
      <c r="B1526" s="73"/>
      <c r="C1526" s="59" t="s">
        <v>282</v>
      </c>
      <c r="D1526" s="59" t="s">
        <v>3522</v>
      </c>
      <c r="E1526" s="65">
        <v>1004</v>
      </c>
      <c r="F1526" s="69" t="s">
        <v>3534</v>
      </c>
      <c r="G1526" s="65">
        <v>100417</v>
      </c>
      <c r="H1526" s="69" t="s">
        <v>3535</v>
      </c>
      <c r="I1526" s="69" t="s">
        <v>634</v>
      </c>
      <c r="J1526" s="69" t="str">
        <f>INDEX(数据元说明!A:F,MATCH(I1526,数据元说明!C:C,0),2)</f>
        <v>003008</v>
      </c>
      <c r="K1526" s="69" t="str">
        <f>INDEX(数据元说明!A:F,MATCH(I1526,数据元说明!C:C,0),5)</f>
        <v>与币种相对应金额。</v>
      </c>
      <c r="L1526" s="69" t="str">
        <f>INDEX(数据元说明!A:F,MATCH(I1526,数据元说明!C:C,0),6)</f>
        <v>D20.2</v>
      </c>
      <c r="M1526" s="69" t="s">
        <v>3536</v>
      </c>
      <c r="N1526" s="67" t="s">
        <v>1583</v>
      </c>
      <c r="O1526" s="67" t="s">
        <v>484</v>
      </c>
      <c r="P1526" s="69"/>
    </row>
    <row r="1527" ht="39.95" hidden="1" customHeight="1" spans="1:16">
      <c r="A1527" s="63"/>
      <c r="B1527" s="64"/>
      <c r="C1527" s="59" t="s">
        <v>282</v>
      </c>
      <c r="D1527" s="59" t="s">
        <v>3522</v>
      </c>
      <c r="E1527" s="65">
        <v>1004</v>
      </c>
      <c r="F1527" s="75" t="s">
        <v>3496</v>
      </c>
      <c r="G1527" s="65">
        <v>100418</v>
      </c>
      <c r="H1527" s="67" t="s">
        <v>3497</v>
      </c>
      <c r="I1527" s="67" t="s">
        <v>670</v>
      </c>
      <c r="J1527" s="67" t="str">
        <f>INDEX(数据元说明!A:F,MATCH(I1527,数据元说明!C:C,0),2)</f>
        <v>003017</v>
      </c>
      <c r="K1527" s="68" t="str">
        <f>INDEX(数据元说明!A:F,MATCH(I1527,数据元说明!C:C,0),5)</f>
        <v>百分比为单位，即%，如4.5%填报为4.5。</v>
      </c>
      <c r="L1527" s="67" t="str">
        <f>INDEX(数据元说明!A:F,MATCH(I1527,数据元说明!C:C,0),6)</f>
        <v>D20.4</v>
      </c>
      <c r="M1527" s="69" t="s">
        <v>3537</v>
      </c>
      <c r="N1527" s="67" t="s">
        <v>1583</v>
      </c>
      <c r="O1527" s="67" t="s">
        <v>484</v>
      </c>
      <c r="P1527" s="69"/>
    </row>
    <row r="1528" ht="39.95" hidden="1" customHeight="1" spans="1:16">
      <c r="A1528" s="63"/>
      <c r="B1528" s="64"/>
      <c r="C1528" s="59" t="s">
        <v>282</v>
      </c>
      <c r="D1528" s="59" t="s">
        <v>3522</v>
      </c>
      <c r="E1528" s="65">
        <v>1004</v>
      </c>
      <c r="F1528" s="75" t="s">
        <v>1293</v>
      </c>
      <c r="G1528" s="65">
        <v>100419</v>
      </c>
      <c r="H1528" s="67" t="s">
        <v>3538</v>
      </c>
      <c r="I1528" s="75" t="s">
        <v>1293</v>
      </c>
      <c r="J1528" s="144" t="str">
        <f>INDEX(数据元说明!A:F,MATCH(I1528,数据元说明!C:C,0),2)</f>
        <v>010041</v>
      </c>
      <c r="K1528" s="68" t="str">
        <f>INDEX(数据元说明!A:F,MATCH(I1528,数据元说明!C:C,0),5)</f>
        <v>信用风险加权资产计算权重，填写风险缓释后加权平均权重（即G4B-1表中的风险加权资产比例）。业务如可穿透管理则填写加权平均权重。</v>
      </c>
      <c r="L1528" s="67" t="str">
        <f>INDEX(数据元说明!A:F,MATCH(I1528,数据元说明!C:C,0),6)</f>
        <v>D20.6</v>
      </c>
      <c r="M1528" s="69" t="s">
        <v>3539</v>
      </c>
      <c r="N1528" s="68" t="s">
        <v>1583</v>
      </c>
      <c r="O1528" s="68" t="s">
        <v>321</v>
      </c>
      <c r="P1528" s="69"/>
    </row>
    <row r="1529" ht="39.95" hidden="1" customHeight="1" spans="1:16">
      <c r="A1529" s="63"/>
      <c r="B1529" s="64"/>
      <c r="C1529" s="59" t="s">
        <v>282</v>
      </c>
      <c r="D1529" s="59" t="s">
        <v>3522</v>
      </c>
      <c r="E1529" s="65">
        <v>1004</v>
      </c>
      <c r="F1529" s="75" t="s">
        <v>3170</v>
      </c>
      <c r="G1529" s="65">
        <v>100420</v>
      </c>
      <c r="H1529" s="67" t="s">
        <v>3171</v>
      </c>
      <c r="I1529" s="67" t="s">
        <v>691</v>
      </c>
      <c r="J1529" s="67" t="str">
        <f>INDEX(数据元说明!A:F,MATCH(I1529,数据元说明!C:C,0),2)</f>
        <v>003022</v>
      </c>
      <c r="K1529" s="68" t="str">
        <f>INDEX(数据元说明!A:F,MATCH(I1529,数据元说明!C:C,0),5)</f>
        <v>正常，关注，次级，可疑，损失。</v>
      </c>
      <c r="L1529" s="67" t="str">
        <f>INDEX(数据元说明!A:F,MATCH(I1529,数据元说明!C:C,0),6)</f>
        <v>C6</v>
      </c>
      <c r="M1529" s="69" t="s">
        <v>3540</v>
      </c>
      <c r="N1529" s="68"/>
      <c r="O1529" s="68"/>
      <c r="P1529" s="69"/>
    </row>
    <row r="1530" ht="39.95" hidden="1" customHeight="1" spans="1:16">
      <c r="A1530" s="63"/>
      <c r="B1530" s="64"/>
      <c r="C1530" s="59" t="s">
        <v>282</v>
      </c>
      <c r="D1530" s="59" t="s">
        <v>3522</v>
      </c>
      <c r="E1530" s="65">
        <v>1004</v>
      </c>
      <c r="F1530" s="75" t="s">
        <v>3541</v>
      </c>
      <c r="G1530" s="65">
        <v>100421</v>
      </c>
      <c r="H1530" s="67" t="s">
        <v>3542</v>
      </c>
      <c r="I1530" s="67" t="s">
        <v>634</v>
      </c>
      <c r="J1530" s="67" t="str">
        <f>INDEX(数据元说明!A:F,MATCH(I1530,数据元说明!C:C,0),2)</f>
        <v>003008</v>
      </c>
      <c r="K1530" s="68" t="str">
        <f>INDEX(数据元说明!A:F,MATCH(I1530,数据元说明!C:C,0),5)</f>
        <v>与币种相对应金额。</v>
      </c>
      <c r="L1530" s="67" t="str">
        <f>INDEX(数据元说明!A:F,MATCH(I1530,数据元说明!C:C,0),6)</f>
        <v>D20.2</v>
      </c>
      <c r="M1530" s="69" t="s">
        <v>3543</v>
      </c>
      <c r="N1530" s="68"/>
      <c r="O1530" s="68"/>
      <c r="P1530" s="69"/>
    </row>
    <row r="1531" ht="39.95" hidden="1" customHeight="1" spans="1:16">
      <c r="A1531" s="63"/>
      <c r="B1531" s="64"/>
      <c r="C1531" s="59" t="s">
        <v>282</v>
      </c>
      <c r="D1531" s="59" t="s">
        <v>3522</v>
      </c>
      <c r="E1531" s="65">
        <v>1004</v>
      </c>
      <c r="F1531" s="75" t="s">
        <v>3544</v>
      </c>
      <c r="G1531" s="65">
        <v>100422</v>
      </c>
      <c r="H1531" s="67" t="s">
        <v>2064</v>
      </c>
      <c r="I1531" s="67" t="s">
        <v>345</v>
      </c>
      <c r="J1531" s="67" t="str">
        <f>INDEX(数据元说明!A:F,MATCH(I1531,数据元说明!C:C,0),2)</f>
        <v>001005</v>
      </c>
      <c r="K1531" s="68" t="str">
        <f>INDEX(数据元说明!A:F,MATCH(I1531,数据元说明!C:C,0),5)</f>
        <v>YYYYMMDD，默认值99991231。</v>
      </c>
      <c r="L1531" s="67" t="str">
        <f>INDEX(数据元说明!A:F,MATCH(I1531,数据元说明!C:C,0),6)</f>
        <v>C8</v>
      </c>
      <c r="M1531" s="69" t="s">
        <v>3545</v>
      </c>
      <c r="N1531" s="68" t="s">
        <v>1583</v>
      </c>
      <c r="O1531" s="68" t="s">
        <v>1745</v>
      </c>
      <c r="P1531" s="69"/>
    </row>
    <row r="1532" ht="39.95" hidden="1" customHeight="1" spans="1:16">
      <c r="A1532" s="63"/>
      <c r="B1532" s="64"/>
      <c r="C1532" s="59" t="s">
        <v>282</v>
      </c>
      <c r="D1532" s="59" t="s">
        <v>3522</v>
      </c>
      <c r="E1532" s="65">
        <v>1004</v>
      </c>
      <c r="F1532" s="75" t="s">
        <v>2275</v>
      </c>
      <c r="G1532" s="65">
        <v>100423</v>
      </c>
      <c r="H1532" s="67" t="s">
        <v>2276</v>
      </c>
      <c r="I1532" s="67" t="s">
        <v>345</v>
      </c>
      <c r="J1532" s="67" t="str">
        <f>INDEX(数据元说明!A:F,MATCH(I1532,数据元说明!C:C,0),2)</f>
        <v>001005</v>
      </c>
      <c r="K1532" s="68" t="str">
        <f>INDEX(数据元说明!A:F,MATCH(I1532,数据元说明!C:C,0),5)</f>
        <v>YYYYMMDD，默认值99991231。</v>
      </c>
      <c r="L1532" s="67" t="str">
        <f>INDEX(数据元说明!A:F,MATCH(I1532,数据元说明!C:C,0),6)</f>
        <v>C8</v>
      </c>
      <c r="M1532" s="69" t="s">
        <v>3546</v>
      </c>
      <c r="N1532" s="68" t="s">
        <v>1583</v>
      </c>
      <c r="O1532" s="68" t="s">
        <v>1745</v>
      </c>
      <c r="P1532" s="69"/>
    </row>
    <row r="1533" ht="39.95" hidden="1" customHeight="1" outlineLevel="1" spans="1:16">
      <c r="A1533" s="63"/>
      <c r="B1533" s="64"/>
      <c r="C1533" s="59" t="s">
        <v>282</v>
      </c>
      <c r="D1533" s="59" t="s">
        <v>3522</v>
      </c>
      <c r="E1533" s="65">
        <v>1004</v>
      </c>
      <c r="F1533" s="67" t="s">
        <v>484</v>
      </c>
      <c r="G1533" s="65">
        <v>100424</v>
      </c>
      <c r="H1533" s="67" t="s">
        <v>1623</v>
      </c>
      <c r="I1533" s="67" t="s">
        <v>484</v>
      </c>
      <c r="J1533" s="67" t="str">
        <f>INDEX(数据元说明!A:F,MATCH(I1533,数据元说明!C:C,0),2)</f>
        <v>001038</v>
      </c>
      <c r="K1533" s="68" t="str">
        <f>INDEX(数据元说明!A:F,MATCH(I1533,数据元说明!C:C,0),5)</f>
        <v>银行自定义。</v>
      </c>
      <c r="L1533" s="67" t="str">
        <f>INDEX(数据元说明!A:F,MATCH(I1533,数据元说明!C:C,0),6)</f>
        <v>C..600</v>
      </c>
      <c r="M1533" s="68" t="s">
        <v>1624</v>
      </c>
      <c r="N1533" s="68" t="s">
        <v>1601</v>
      </c>
      <c r="O1533" s="68"/>
      <c r="P1533" s="68"/>
    </row>
    <row r="1534" ht="39.95" hidden="1" customHeight="1" collapsed="1" spans="1:16">
      <c r="A1534" s="63"/>
      <c r="B1534" s="64"/>
      <c r="C1534" s="59" t="s">
        <v>282</v>
      </c>
      <c r="D1534" s="59" t="s">
        <v>3522</v>
      </c>
      <c r="E1534" s="65">
        <v>1004</v>
      </c>
      <c r="F1534" s="67" t="s">
        <v>1625</v>
      </c>
      <c r="G1534" s="65">
        <v>100425</v>
      </c>
      <c r="H1534" s="75" t="s">
        <v>1626</v>
      </c>
      <c r="I1534" s="67" t="s">
        <v>345</v>
      </c>
      <c r="J1534" s="67" t="str">
        <f>INDEX(数据元说明!A:F,MATCH(I1534,数据元说明!C:C,0),2)</f>
        <v>001005</v>
      </c>
      <c r="K1534" s="68" t="str">
        <f>INDEX(数据元说明!A:F,MATCH(I1534,数据元说明!C:C,0),5)</f>
        <v>YYYYMMDD，默认值99991231。</v>
      </c>
      <c r="L1534" s="67" t="str">
        <f>INDEX(数据元说明!A:F,MATCH(I1534,数据元说明!C:C,0),6)</f>
        <v>C8</v>
      </c>
      <c r="M1534" s="68" t="s">
        <v>1627</v>
      </c>
      <c r="N1534" s="68" t="s">
        <v>1583</v>
      </c>
      <c r="O1534" s="68" t="s">
        <v>484</v>
      </c>
      <c r="P1534" s="69" t="s">
        <v>1634</v>
      </c>
    </row>
    <row r="1535" ht="39.95" hidden="1" customHeight="1" spans="1:16">
      <c r="A1535" s="63"/>
      <c r="B1535" s="64"/>
      <c r="C1535" s="59" t="s">
        <v>286</v>
      </c>
      <c r="D1535" s="59" t="s">
        <v>3547</v>
      </c>
      <c r="E1535" s="65">
        <v>1005</v>
      </c>
      <c r="F1535" s="67"/>
      <c r="G1535" s="65"/>
      <c r="H1535" s="75"/>
      <c r="I1535" s="67"/>
      <c r="J1535" s="67"/>
      <c r="K1535" s="68"/>
      <c r="L1535" s="67"/>
      <c r="M1535" s="68" t="str">
        <f>INDEX(表结构总览!D:G,MATCH(D1535,表结构总览!D:D,0),4)</f>
        <v>填报范围：报告期内发生的自营、代客即期资金交易，以及衍生品交易信息，按发生额填报。其中即期资金交易包括结售汇、贵金属实物（积存金）交易、商品类交易等。交易不涉及的数据项不填报。
填报方式：非掉期（互换）交易中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v>
      </c>
      <c r="N1535" s="68" t="s">
        <v>1601</v>
      </c>
      <c r="O1535" s="67"/>
      <c r="P1535" s="69"/>
    </row>
    <row r="1536" ht="39.95" hidden="1" customHeight="1" spans="1:16">
      <c r="A1536" s="63"/>
      <c r="B1536" s="64"/>
      <c r="C1536" s="59" t="s">
        <v>286</v>
      </c>
      <c r="D1536" s="59" t="s">
        <v>3547</v>
      </c>
      <c r="E1536" s="65">
        <v>1005</v>
      </c>
      <c r="F1536" s="74" t="s">
        <v>373</v>
      </c>
      <c r="G1536" s="81">
        <v>100501</v>
      </c>
      <c r="H1536" s="75" t="s">
        <v>1588</v>
      </c>
      <c r="I1536" s="67" t="s">
        <v>373</v>
      </c>
      <c r="J1536" s="67" t="str">
        <f>INDEX(数据元说明!A:F,MATCH(I1536,数据元说明!C:C,0),2)</f>
        <v>001011</v>
      </c>
      <c r="K1536" s="68" t="str">
        <f>INDEX(数据元说明!A:F,MATCH(I1536,数据元说明!C:C,0),5)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36" s="67" t="str">
        <f>INDEX(数据元说明!A:F,MATCH(I1536,数据元说明!C:C,0),6)</f>
        <v>C..30</v>
      </c>
      <c r="M1536" s="68" t="s">
        <v>2488</v>
      </c>
      <c r="N1536" s="68" t="s">
        <v>1601</v>
      </c>
      <c r="O1536" s="67"/>
      <c r="P1536" s="69"/>
    </row>
    <row r="1537" ht="39.95" hidden="1" customHeight="1" spans="1:16">
      <c r="A1537" s="63"/>
      <c r="B1537" s="64"/>
      <c r="C1537" s="59" t="s">
        <v>286</v>
      </c>
      <c r="D1537" s="59" t="s">
        <v>3547</v>
      </c>
      <c r="E1537" s="65">
        <v>1005</v>
      </c>
      <c r="F1537" s="74" t="s">
        <v>377</v>
      </c>
      <c r="G1537" s="81">
        <v>100502</v>
      </c>
      <c r="H1537" s="75" t="s">
        <v>1586</v>
      </c>
      <c r="I1537" s="67" t="s">
        <v>377</v>
      </c>
      <c r="J1537" s="67" t="str">
        <f>INDEX(数据元说明!A:F,MATCH(I1537,数据元说明!C:C,0),2)</f>
        <v>001012</v>
      </c>
      <c r="K1537" s="68" t="str">
        <f>INDEX(数据元说明!A:F,MATCH(I1537,数据元说明!C:C,0),5)</f>
        <v>银行内部机构号。应具有标识机构的唯一性。</v>
      </c>
      <c r="L1537" s="67" t="str">
        <f>INDEX(数据元说明!A:F,MATCH(I1537,数据元说明!C:C,0),6)</f>
        <v>C..30</v>
      </c>
      <c r="M1537" s="68" t="s">
        <v>1820</v>
      </c>
      <c r="N1537" s="68" t="s">
        <v>1601</v>
      </c>
      <c r="O1537" s="67"/>
      <c r="P1537" s="69"/>
    </row>
    <row r="1538" ht="39.95" hidden="1" customHeight="1" spans="1:16">
      <c r="A1538" s="63"/>
      <c r="B1538" s="64"/>
      <c r="C1538" s="59" t="s">
        <v>286</v>
      </c>
      <c r="D1538" s="59" t="s">
        <v>3547</v>
      </c>
      <c r="E1538" s="65">
        <v>1005</v>
      </c>
      <c r="F1538" s="74" t="s">
        <v>1592</v>
      </c>
      <c r="G1538" s="81">
        <v>100503</v>
      </c>
      <c r="H1538" s="75" t="s">
        <v>1593</v>
      </c>
      <c r="I1538" s="67" t="s">
        <v>325</v>
      </c>
      <c r="J1538" s="67" t="str">
        <f>INDEX(数据元说明!A:F,MATCH(I1538,数据元说明!C:C,0),2)</f>
        <v>001001</v>
      </c>
      <c r="K1538" s="68" t="str">
        <f>INDEX(数据元说明!A:F,MATCH(I1538,数据元说明!C:C,0),5)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38" s="67" t="str">
        <f>INDEX(数据元说明!A:F,MATCH(I1538,数据元说明!C:C,0),6)</f>
        <v>C..450</v>
      </c>
      <c r="M1538" s="68" t="s">
        <v>2327</v>
      </c>
      <c r="N1538" s="68" t="s">
        <v>1601</v>
      </c>
      <c r="O1538" s="67"/>
      <c r="P1538" s="69"/>
    </row>
    <row r="1539" ht="39.95" hidden="1" customHeight="1" spans="1:16">
      <c r="A1539" s="63"/>
      <c r="B1539" s="64"/>
      <c r="C1539" s="59" t="s">
        <v>286</v>
      </c>
      <c r="D1539" s="59" t="s">
        <v>3547</v>
      </c>
      <c r="E1539" s="65">
        <v>1005</v>
      </c>
      <c r="F1539" s="74" t="s">
        <v>1152</v>
      </c>
      <c r="G1539" s="81">
        <v>100504</v>
      </c>
      <c r="H1539" s="75" t="s">
        <v>3378</v>
      </c>
      <c r="I1539" s="67" t="s">
        <v>687</v>
      </c>
      <c r="J1539" s="67" t="str">
        <f>INDEX(数据元说明!A:F,MATCH(I1539,数据元说明!C:C,0),2)</f>
        <v>003021</v>
      </c>
      <c r="K1539" s="68" t="str">
        <f>INDEX(数据元说明!A:F,MATCH(I1539,数据元说明!C:C,0),5)</f>
        <v>能唯一识别同一笔交易的标识，银行自定义。</v>
      </c>
      <c r="L1539" s="67" t="str">
        <f>INDEX(数据元说明!A:F,MATCH(I1539,数据元说明!C:C,0),6)</f>
        <v>C..100</v>
      </c>
      <c r="M1539" s="68"/>
      <c r="N1539" s="68" t="s">
        <v>1601</v>
      </c>
      <c r="O1539" s="67"/>
      <c r="P1539" s="69"/>
    </row>
    <row r="1540" ht="39.95" hidden="1" customHeight="1" spans="1:16">
      <c r="A1540" s="63"/>
      <c r="B1540" s="64"/>
      <c r="C1540" s="59" t="s">
        <v>286</v>
      </c>
      <c r="D1540" s="59" t="s">
        <v>3547</v>
      </c>
      <c r="E1540" s="65">
        <v>1005</v>
      </c>
      <c r="F1540" s="74" t="s">
        <v>3548</v>
      </c>
      <c r="G1540" s="81">
        <v>100505</v>
      </c>
      <c r="H1540" s="75" t="s">
        <v>3549</v>
      </c>
      <c r="I1540" s="67" t="s">
        <v>746</v>
      </c>
      <c r="J1540" s="67" t="str">
        <f>INDEX(数据元说明!A:F,MATCH(I1540,数据元说明!C:C,0),2)</f>
        <v>005001</v>
      </c>
      <c r="K1540" s="68" t="str">
        <f>INDEX(数据元说明!A:F,MATCH(I1540,数据元说明!C:C,0),5)</f>
        <v>银行内部产品中文名称，银行自定义。</v>
      </c>
      <c r="L1540" s="67" t="str">
        <f>INDEX(数据元说明!A:F,MATCH(I1540,数据元说明!C:C,0),6)</f>
        <v>C..300</v>
      </c>
      <c r="M1540" s="80"/>
      <c r="N1540" s="68" t="s">
        <v>1601</v>
      </c>
      <c r="O1540" s="67"/>
      <c r="P1540" s="69"/>
    </row>
    <row r="1541" ht="39.95" hidden="1" customHeight="1" spans="1:16">
      <c r="A1541" s="63"/>
      <c r="B1541" s="64"/>
      <c r="C1541" s="59" t="s">
        <v>286</v>
      </c>
      <c r="D1541" s="59" t="s">
        <v>3547</v>
      </c>
      <c r="E1541" s="65">
        <v>1005</v>
      </c>
      <c r="F1541" s="74" t="s">
        <v>1551</v>
      </c>
      <c r="G1541" s="81">
        <v>100506</v>
      </c>
      <c r="H1541" s="75" t="s">
        <v>3550</v>
      </c>
      <c r="I1541" s="67" t="s">
        <v>1249</v>
      </c>
      <c r="J1541" s="144" t="str">
        <f>INDEX(数据元说明!A:F,MATCH(I1541,数据元说明!C:C,0),2)</f>
        <v>010030</v>
      </c>
      <c r="K1541" s="68" t="str">
        <f>INDEX(数据元说明!A:F,MATCH(I1541,数据元说明!C:C,0),5)</f>
        <v>利率，汇率，商品，股权，信用，贵金属，指数，其他-银行自定义。无法以枚举类型填报的，以“其它-XX”填报，其中“XX”为银行自定义基础资产类型。</v>
      </c>
      <c r="L1541" s="67" t="str">
        <f>INDEX(数据元说明!A:F,MATCH(I1541,数据元说明!C:C,0),6)</f>
        <v>C..30</v>
      </c>
      <c r="M1541" s="68"/>
      <c r="N1541" s="68" t="s">
        <v>1601</v>
      </c>
      <c r="O1541" s="67"/>
      <c r="P1541" s="69"/>
    </row>
    <row r="1542" ht="39.95" hidden="1" customHeight="1" spans="1:16">
      <c r="A1542" s="63"/>
      <c r="B1542" s="64"/>
      <c r="C1542" s="59" t="s">
        <v>286</v>
      </c>
      <c r="D1542" s="59" t="s">
        <v>3547</v>
      </c>
      <c r="E1542" s="65">
        <v>1005</v>
      </c>
      <c r="F1542" s="74" t="s">
        <v>3457</v>
      </c>
      <c r="G1542" s="81">
        <v>100507</v>
      </c>
      <c r="H1542" s="75" t="s">
        <v>3458</v>
      </c>
      <c r="I1542" s="74" t="s">
        <v>1253</v>
      </c>
      <c r="J1542" s="144" t="str">
        <f>INDEX(数据元说明!A:F,MATCH(I1542,数据元说明!C:C,0),2)</f>
        <v>010031</v>
      </c>
      <c r="K1542" s="68" t="str">
        <f>INDEX(数据元说明!A:F,MATCH(I1542,数据元说明!C:C,0),5)</f>
        <v>决定衍生品价值的具体基础资产或指数名称，银行自定义，尽量采用市场通用名称，如“LPR1Y”、“USDCNY”。</v>
      </c>
      <c r="L1542" s="67" t="str">
        <f>INDEX(数据元说明!A:F,MATCH(I1542,数据元说明!C:C,0),6)</f>
        <v>C..60</v>
      </c>
      <c r="M1542" s="68" t="s">
        <v>3551</v>
      </c>
      <c r="N1542" s="68" t="s">
        <v>1601</v>
      </c>
      <c r="O1542" s="67"/>
      <c r="P1542" s="69"/>
    </row>
    <row r="1543" ht="39.95" hidden="1" customHeight="1" spans="1:16">
      <c r="A1543" s="63"/>
      <c r="B1543" s="64"/>
      <c r="C1543" s="59" t="s">
        <v>286</v>
      </c>
      <c r="D1543" s="59" t="s">
        <v>3547</v>
      </c>
      <c r="E1543" s="65">
        <v>1005</v>
      </c>
      <c r="F1543" s="74" t="s">
        <v>713</v>
      </c>
      <c r="G1543" s="81">
        <v>100508</v>
      </c>
      <c r="H1543" s="75" t="s">
        <v>2164</v>
      </c>
      <c r="I1543" s="67" t="s">
        <v>1257</v>
      </c>
      <c r="J1543" s="144" t="str">
        <f>INDEX(数据元说明!A:F,MATCH(I1543,数据元说明!C:C,0),2)</f>
        <v>010032</v>
      </c>
      <c r="K1543" s="68" t="str">
        <f>INDEX(数据元说明!A:F,MATCH(I1543,数据元说明!C:C,0),5)</f>
        <v>套期保值，代客，代客平盘，做市，自营，其他-银行自定义。无法以枚举类型填报的，以“其它-XX”填报，其中“XX”为银行自定义交易类型。</v>
      </c>
      <c r="L1543" s="67" t="str">
        <f>INDEX(数据元说明!A:F,MATCH(I1543,数据元说明!C:C,0),6)</f>
        <v>C..30</v>
      </c>
      <c r="M1543" s="68" t="s">
        <v>3552</v>
      </c>
      <c r="N1543" s="68" t="s">
        <v>1601</v>
      </c>
      <c r="O1543" s="67"/>
      <c r="P1543" s="69"/>
    </row>
    <row r="1544" ht="39.95" hidden="1" customHeight="1" spans="1:16">
      <c r="A1544" s="63"/>
      <c r="B1544" s="64"/>
      <c r="C1544" s="59" t="s">
        <v>286</v>
      </c>
      <c r="D1544" s="59" t="s">
        <v>3547</v>
      </c>
      <c r="E1544" s="65">
        <v>1005</v>
      </c>
      <c r="F1544" s="74" t="s">
        <v>1261</v>
      </c>
      <c r="G1544" s="81">
        <v>100509</v>
      </c>
      <c r="H1544" s="75" t="s">
        <v>3553</v>
      </c>
      <c r="I1544" s="67" t="s">
        <v>1261</v>
      </c>
      <c r="J1544" s="144" t="str">
        <f>INDEX(数据元说明!A:F,MATCH(I1544,数据元说明!C:C,0),2)</f>
        <v>010033</v>
      </c>
      <c r="K1544" s="68" t="str">
        <f>INDEX(数据元说明!A:F,MATCH(I1544,数据元说明!C:C,0),5)</f>
        <v>即期，远期，期货，掉期，互换，期权，延期交收，其他-银行自定义。无法以枚举类型填报的，以“其它-XX”填报，其中“XX”为银行自定义交易合约种类。</v>
      </c>
      <c r="L1544" s="67" t="str">
        <f>INDEX(数据元说明!A:F,MATCH(I1544,数据元说明!C:C,0),6)</f>
        <v>C..30</v>
      </c>
      <c r="M1544" s="68" t="s">
        <v>3554</v>
      </c>
      <c r="N1544" s="68" t="s">
        <v>1601</v>
      </c>
      <c r="O1544" s="67"/>
      <c r="P1544" s="69"/>
    </row>
    <row r="1545" ht="39.95" hidden="1" customHeight="1" spans="1:16">
      <c r="A1545" s="63"/>
      <c r="B1545" s="64"/>
      <c r="C1545" s="59" t="s">
        <v>286</v>
      </c>
      <c r="D1545" s="59" t="s">
        <v>3547</v>
      </c>
      <c r="E1545" s="65">
        <v>1005</v>
      </c>
      <c r="F1545" s="74" t="s">
        <v>1265</v>
      </c>
      <c r="G1545" s="81">
        <v>100510</v>
      </c>
      <c r="H1545" s="75" t="s">
        <v>3555</v>
      </c>
      <c r="I1545" s="67" t="s">
        <v>1265</v>
      </c>
      <c r="J1545" s="144" t="str">
        <f>INDEX(数据元说明!A:F,MATCH(I1545,数据元说明!C:C,0),2)</f>
        <v>010034</v>
      </c>
      <c r="K1545" s="68" t="str">
        <f>INDEX(数据元说明!A:F,MATCH(I1545,数据元说明!C:C,0),5)</f>
        <v>新增，终止，变更，估值，行权，其他-银行自定义。无法以枚举类型填报的，以“其它-XX”填报，其中“XX”为银行自定义交易状态。</v>
      </c>
      <c r="L1545" s="67" t="str">
        <f>INDEX(数据元说明!A:F,MATCH(I1545,数据元说明!C:C,0),6)</f>
        <v>C..30</v>
      </c>
      <c r="M1545" s="73" t="s">
        <v>3556</v>
      </c>
      <c r="N1545" s="68" t="s">
        <v>1601</v>
      </c>
      <c r="O1545" s="67"/>
      <c r="P1545" s="69"/>
    </row>
    <row r="1546" ht="39.95" hidden="1" customHeight="1" spans="1:16">
      <c r="A1546" s="63"/>
      <c r="B1546" s="64"/>
      <c r="C1546" s="59" t="s">
        <v>286</v>
      </c>
      <c r="D1546" s="59" t="s">
        <v>3547</v>
      </c>
      <c r="E1546" s="65">
        <v>1005</v>
      </c>
      <c r="F1546" s="74" t="s">
        <v>3557</v>
      </c>
      <c r="G1546" s="81">
        <v>100511</v>
      </c>
      <c r="H1546" s="75" t="s">
        <v>3558</v>
      </c>
      <c r="I1546" s="67" t="s">
        <v>325</v>
      </c>
      <c r="J1546" s="67" t="str">
        <f>INDEX(数据元说明!A:F,MATCH(I1546,数据元说明!C:C,0),2)</f>
        <v>001001</v>
      </c>
      <c r="K1546" s="68" t="str">
        <f>INDEX(数据元说明!A:F,MATCH(I1546,数据元说明!C:C,0),5)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46" s="67" t="str">
        <f>INDEX(数据元说明!A:F,MATCH(I1546,数据元说明!C:C,0),6)</f>
        <v>C..450</v>
      </c>
      <c r="M1546" s="73" t="s">
        <v>3559</v>
      </c>
      <c r="N1546" s="68" t="s">
        <v>1601</v>
      </c>
      <c r="O1546" s="67"/>
      <c r="P1546" s="69"/>
    </row>
    <row r="1547" ht="39.95" hidden="1" customHeight="1" spans="1:16">
      <c r="A1547" s="63"/>
      <c r="B1547" s="64"/>
      <c r="C1547" s="59" t="s">
        <v>286</v>
      </c>
      <c r="D1547" s="59" t="s">
        <v>3547</v>
      </c>
      <c r="E1547" s="65">
        <v>1005</v>
      </c>
      <c r="F1547" s="74" t="s">
        <v>3560</v>
      </c>
      <c r="G1547" s="81">
        <v>100512</v>
      </c>
      <c r="H1547" s="75" t="s">
        <v>3561</v>
      </c>
      <c r="I1547" s="67" t="s">
        <v>488</v>
      </c>
      <c r="J1547" s="67" t="str">
        <f>INDEX(数据元说明!A:F,MATCH(I1547,数据元说明!C:C,0),2)</f>
        <v>002001</v>
      </c>
      <c r="K1547" s="68" t="str">
        <f>INDEX(数据元说明!A:F,MATCH(I1547,数据元说明!C:C,0),5)</f>
        <v>银行自定义的唯一识别客户的标识。供应链融资的填写供应链融资编码。</v>
      </c>
      <c r="L1547" s="67" t="str">
        <f>INDEX(数据元说明!A:F,MATCH(I1547,数据元说明!C:C,0),6)</f>
        <v>C..60</v>
      </c>
      <c r="M1547" s="73"/>
      <c r="N1547" s="68" t="s">
        <v>1601</v>
      </c>
      <c r="O1547" s="67"/>
      <c r="P1547" s="69"/>
    </row>
    <row r="1548" ht="39.95" hidden="1" customHeight="1" spans="1:16">
      <c r="A1548" s="63"/>
      <c r="B1548" s="64"/>
      <c r="C1548" s="59" t="s">
        <v>286</v>
      </c>
      <c r="D1548" s="59" t="s">
        <v>3547</v>
      </c>
      <c r="E1548" s="65">
        <v>1005</v>
      </c>
      <c r="F1548" s="74" t="s">
        <v>3562</v>
      </c>
      <c r="G1548" s="81">
        <v>100513</v>
      </c>
      <c r="H1548" s="75" t="s">
        <v>3563</v>
      </c>
      <c r="I1548" s="67" t="s">
        <v>325</v>
      </c>
      <c r="J1548" s="67" t="str">
        <f>INDEX(数据元说明!A:F,MATCH(I1548,数据元说明!C:C,0),2)</f>
        <v>001001</v>
      </c>
      <c r="K1548" s="68" t="str">
        <f>INDEX(数据元说明!A:F,MATCH(I1548,数据元说明!C:C,0),5)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48" s="67" t="str">
        <f>INDEX(数据元说明!A:F,MATCH(I1548,数据元说明!C:C,0),6)</f>
        <v>C..450</v>
      </c>
      <c r="M1548" s="73" t="s">
        <v>3564</v>
      </c>
      <c r="N1548" s="68" t="s">
        <v>1601</v>
      </c>
      <c r="O1548" s="67"/>
      <c r="P1548" s="69"/>
    </row>
    <row r="1549" ht="39.95" hidden="1" customHeight="1" spans="1:16">
      <c r="A1549" s="63"/>
      <c r="B1549" s="64"/>
      <c r="C1549" s="59" t="s">
        <v>286</v>
      </c>
      <c r="D1549" s="59" t="s">
        <v>3547</v>
      </c>
      <c r="E1549" s="65">
        <v>1005</v>
      </c>
      <c r="F1549" s="74" t="s">
        <v>3565</v>
      </c>
      <c r="G1549" s="81">
        <v>100514</v>
      </c>
      <c r="H1549" s="75" t="s">
        <v>3566</v>
      </c>
      <c r="I1549" s="67" t="s">
        <v>488</v>
      </c>
      <c r="J1549" s="67" t="str">
        <f>INDEX(数据元说明!A:F,MATCH(I1549,数据元说明!C:C,0),2)</f>
        <v>002001</v>
      </c>
      <c r="K1549" s="68" t="str">
        <f>INDEX(数据元说明!A:F,MATCH(I1549,数据元说明!C:C,0),5)</f>
        <v>银行自定义的唯一识别客户的标识。供应链融资的填写供应链融资编码。</v>
      </c>
      <c r="L1549" s="67" t="str">
        <f>INDEX(数据元说明!A:F,MATCH(I1549,数据元说明!C:C,0),6)</f>
        <v>C..60</v>
      </c>
      <c r="M1549" s="73"/>
      <c r="N1549" s="68" t="s">
        <v>1601</v>
      </c>
      <c r="O1549" s="67"/>
      <c r="P1549" s="69"/>
    </row>
    <row r="1550" ht="39.95" hidden="1" customHeight="1" spans="1:16">
      <c r="A1550" s="63"/>
      <c r="B1550" s="64"/>
      <c r="C1550" s="59" t="s">
        <v>286</v>
      </c>
      <c r="D1550" s="59" t="s">
        <v>3547</v>
      </c>
      <c r="E1550" s="65">
        <v>1005</v>
      </c>
      <c r="F1550" s="74" t="s">
        <v>3384</v>
      </c>
      <c r="G1550" s="81">
        <v>100515</v>
      </c>
      <c r="H1550" s="75" t="s">
        <v>3385</v>
      </c>
      <c r="I1550" s="67" t="s">
        <v>345</v>
      </c>
      <c r="J1550" s="67" t="str">
        <f>INDEX(数据元说明!A:F,MATCH(I1550,数据元说明!C:C,0),2)</f>
        <v>001005</v>
      </c>
      <c r="K1550" s="68" t="str">
        <f>INDEX(数据元说明!A:F,MATCH(I1550,数据元说明!C:C,0),5)</f>
        <v>YYYYMMDD，默认值99991231。</v>
      </c>
      <c r="L1550" s="67" t="str">
        <f>INDEX(数据元说明!A:F,MATCH(I1550,数据元说明!C:C,0),6)</f>
        <v>C8</v>
      </c>
      <c r="M1550" s="73"/>
      <c r="N1550" s="68" t="s">
        <v>1601</v>
      </c>
      <c r="O1550" s="67"/>
      <c r="P1550" s="69"/>
    </row>
    <row r="1551" ht="39.95" hidden="1" customHeight="1" spans="1:16">
      <c r="A1551" s="63"/>
      <c r="B1551" s="64"/>
      <c r="C1551" s="59" t="s">
        <v>286</v>
      </c>
      <c r="D1551" s="59" t="s">
        <v>3547</v>
      </c>
      <c r="E1551" s="65">
        <v>1005</v>
      </c>
      <c r="F1551" s="74" t="s">
        <v>3567</v>
      </c>
      <c r="G1551" s="81">
        <v>100516</v>
      </c>
      <c r="H1551" s="75" t="s">
        <v>3568</v>
      </c>
      <c r="I1551" s="67" t="s">
        <v>355</v>
      </c>
      <c r="J1551" s="67" t="str">
        <f>INDEX(数据元说明!A:F,MATCH(I1551,数据元说明!C:C,0),2)</f>
        <v>001007</v>
      </c>
      <c r="K1551" s="68" t="str">
        <f>INDEX(数据元说明!A:F,MATCH(I1551,数据元说明!C:C,0),5)</f>
        <v>24小时制时间，精确到秒。hhmmss，默认值000000。</v>
      </c>
      <c r="L1551" s="67" t="str">
        <f>INDEX(数据元说明!A:F,MATCH(I1551,数据元说明!C:C,0),6)</f>
        <v>C6</v>
      </c>
      <c r="M1551" s="73"/>
      <c r="N1551" s="68" t="s">
        <v>1601</v>
      </c>
      <c r="O1551" s="67"/>
      <c r="P1551" s="69"/>
    </row>
    <row r="1552" ht="39.95" hidden="1" customHeight="1" spans="1:16">
      <c r="A1552" s="63"/>
      <c r="B1552" s="64"/>
      <c r="C1552" s="59" t="s">
        <v>286</v>
      </c>
      <c r="D1552" s="59" t="s">
        <v>3547</v>
      </c>
      <c r="E1552" s="65">
        <v>1005</v>
      </c>
      <c r="F1552" s="74" t="s">
        <v>3544</v>
      </c>
      <c r="G1552" s="81">
        <v>100517</v>
      </c>
      <c r="H1552" s="75" t="s">
        <v>2064</v>
      </c>
      <c r="I1552" s="67" t="s">
        <v>345</v>
      </c>
      <c r="J1552" s="67" t="str">
        <f>INDEX(数据元说明!A:F,MATCH(I1552,数据元说明!C:C,0),2)</f>
        <v>001005</v>
      </c>
      <c r="K1552" s="68" t="str">
        <f>INDEX(数据元说明!A:F,MATCH(I1552,数据元说明!C:C,0),5)</f>
        <v>YYYYMMDD，默认值99991231。</v>
      </c>
      <c r="L1552" s="67" t="str">
        <f>INDEX(数据元说明!A:F,MATCH(I1552,数据元说明!C:C,0),6)</f>
        <v>C8</v>
      </c>
      <c r="M1552" s="68"/>
      <c r="N1552" s="68" t="s">
        <v>1601</v>
      </c>
      <c r="O1552" s="67"/>
      <c r="P1552" s="69"/>
    </row>
    <row r="1553" ht="39.95" hidden="1" customHeight="1" spans="1:16">
      <c r="A1553" s="63"/>
      <c r="B1553" s="64"/>
      <c r="C1553" s="59" t="s">
        <v>286</v>
      </c>
      <c r="D1553" s="59" t="s">
        <v>3547</v>
      </c>
      <c r="E1553" s="65">
        <v>1005</v>
      </c>
      <c r="F1553" s="74" t="s">
        <v>2275</v>
      </c>
      <c r="G1553" s="81">
        <v>100518</v>
      </c>
      <c r="H1553" s="75" t="s">
        <v>2276</v>
      </c>
      <c r="I1553" s="67" t="s">
        <v>345</v>
      </c>
      <c r="J1553" s="67" t="str">
        <f>INDEX(数据元说明!A:F,MATCH(I1553,数据元说明!C:C,0),2)</f>
        <v>001005</v>
      </c>
      <c r="K1553" s="68" t="str">
        <f>INDEX(数据元说明!A:F,MATCH(I1553,数据元说明!C:C,0),5)</f>
        <v>YYYYMMDD，默认值99991231。</v>
      </c>
      <c r="L1553" s="67" t="str">
        <f>INDEX(数据元说明!A:F,MATCH(I1553,数据元说明!C:C,0),6)</f>
        <v>C8</v>
      </c>
      <c r="M1553" s="73" t="s">
        <v>3569</v>
      </c>
      <c r="N1553" s="68" t="s">
        <v>1601</v>
      </c>
      <c r="O1553" s="67"/>
      <c r="P1553" s="69"/>
    </row>
    <row r="1554" ht="39.95" hidden="1" customHeight="1" spans="1:16">
      <c r="A1554" s="63"/>
      <c r="B1554" s="64"/>
      <c r="C1554" s="59" t="s">
        <v>286</v>
      </c>
      <c r="D1554" s="59" t="s">
        <v>3547</v>
      </c>
      <c r="E1554" s="65">
        <v>1005</v>
      </c>
      <c r="F1554" s="74" t="s">
        <v>3570</v>
      </c>
      <c r="G1554" s="81">
        <v>100519</v>
      </c>
      <c r="H1554" s="75" t="s">
        <v>2251</v>
      </c>
      <c r="I1554" s="67" t="s">
        <v>345</v>
      </c>
      <c r="J1554" s="67" t="str">
        <f>INDEX(数据元说明!A:F,MATCH(I1554,数据元说明!C:C,0),2)</f>
        <v>001005</v>
      </c>
      <c r="K1554" s="68" t="str">
        <f>INDEX(数据元说明!A:F,MATCH(I1554,数据元说明!C:C,0),5)</f>
        <v>YYYYMMDD，默认值99991231。</v>
      </c>
      <c r="L1554" s="67" t="str">
        <f>INDEX(数据元说明!A:F,MATCH(I1554,数据元说明!C:C,0),6)</f>
        <v>C8</v>
      </c>
      <c r="M1554" s="73" t="s">
        <v>3571</v>
      </c>
      <c r="N1554" s="68" t="s">
        <v>1601</v>
      </c>
      <c r="O1554" s="67"/>
      <c r="P1554" s="69"/>
    </row>
    <row r="1555" ht="39.95" hidden="1" customHeight="1" spans="1:16">
      <c r="A1555" s="63"/>
      <c r="B1555" s="64"/>
      <c r="C1555" s="59" t="s">
        <v>286</v>
      </c>
      <c r="D1555" s="59" t="s">
        <v>3547</v>
      </c>
      <c r="E1555" s="65">
        <v>1005</v>
      </c>
      <c r="F1555" s="74" t="s">
        <v>1269</v>
      </c>
      <c r="G1555" s="81">
        <v>100520</v>
      </c>
      <c r="H1555" s="75" t="s">
        <v>3572</v>
      </c>
      <c r="I1555" s="67" t="s">
        <v>1269</v>
      </c>
      <c r="J1555" s="144" t="str">
        <f>INDEX(数据元说明!A:F,MATCH(I1555,数据元说明!C:C,0),2)</f>
        <v>010035</v>
      </c>
      <c r="K1555" s="68" t="str">
        <f>INDEX(数据元说明!A:F,MATCH(I1555,数据元说明!C:C,0),5)</f>
        <v>同一笔交易两次交割之间的时间间隔。格式为“{数字}{单位}”，其中单位为：天-D、周-W、月-M，如：每3个月交割一次，填报“3M”</v>
      </c>
      <c r="L1555" s="67" t="str">
        <f>INDEX(数据元说明!A:F,MATCH(I1555,数据元说明!C:C,0),6)</f>
        <v>C..20</v>
      </c>
      <c r="M1555" s="73" t="s">
        <v>3573</v>
      </c>
      <c r="N1555" s="68" t="s">
        <v>1601</v>
      </c>
      <c r="O1555" s="67"/>
      <c r="P1555" s="69"/>
    </row>
    <row r="1556" ht="39.95" hidden="1" customHeight="1" spans="1:16">
      <c r="A1556" s="63"/>
      <c r="B1556" s="64"/>
      <c r="C1556" s="59" t="s">
        <v>286</v>
      </c>
      <c r="D1556" s="59" t="s">
        <v>3547</v>
      </c>
      <c r="E1556" s="65">
        <v>1005</v>
      </c>
      <c r="F1556" s="74" t="s">
        <v>3574</v>
      </c>
      <c r="G1556" s="81">
        <v>100521</v>
      </c>
      <c r="H1556" s="75" t="s">
        <v>3575</v>
      </c>
      <c r="I1556" s="67" t="s">
        <v>450</v>
      </c>
      <c r="J1556" s="67" t="str">
        <f>INDEX(数据元说明!A:F,MATCH(I1556,数据元说明!C:C,0),2)</f>
        <v>001030</v>
      </c>
      <c r="K1556" s="68" t="str">
        <f>INDEX(数据元说明!A:F,MATCH(I1556,数据元说明!C:C,0),5)</f>
        <v>浮点数。</v>
      </c>
      <c r="L1556" s="67" t="str">
        <f>INDEX(数据元说明!A:F,MATCH(I1556,数据元说明!C:C,0),6)</f>
        <v>D20.4</v>
      </c>
      <c r="M1556" s="73" t="s">
        <v>3576</v>
      </c>
      <c r="N1556" s="68" t="s">
        <v>1601</v>
      </c>
      <c r="O1556" s="67"/>
      <c r="P1556" s="69"/>
    </row>
    <row r="1557" ht="39.95" hidden="1" customHeight="1" spans="1:16">
      <c r="A1557" s="63"/>
      <c r="B1557" s="64"/>
      <c r="C1557" s="59" t="s">
        <v>286</v>
      </c>
      <c r="D1557" s="59" t="s">
        <v>3547</v>
      </c>
      <c r="E1557" s="65">
        <v>1005</v>
      </c>
      <c r="F1557" s="74" t="s">
        <v>3577</v>
      </c>
      <c r="G1557" s="81">
        <v>100522</v>
      </c>
      <c r="H1557" s="75" t="s">
        <v>3578</v>
      </c>
      <c r="I1557" s="67" t="s">
        <v>1273</v>
      </c>
      <c r="J1557" s="144" t="str">
        <f>INDEX(数据元说明!A:F,MATCH(I1557,数据元说明!C:C,0),2)</f>
        <v>010036</v>
      </c>
      <c r="K1557" s="68" t="str">
        <f>INDEX(数据元说明!A:F,MATCH(I1557,数据元说明!C:C,0),5)</f>
        <v>交易通用单位。</v>
      </c>
      <c r="L1557" s="67" t="str">
        <f>INDEX(数据元说明!A:F,MATCH(I1557,数据元说明!C:C,0),6)</f>
        <v>C..20</v>
      </c>
      <c r="M1557" s="73" t="s">
        <v>3579</v>
      </c>
      <c r="N1557" s="68" t="s">
        <v>1601</v>
      </c>
      <c r="O1557" s="67"/>
      <c r="P1557" s="69"/>
    </row>
    <row r="1558" ht="39.95" hidden="1" customHeight="1" spans="1:16">
      <c r="A1558" s="63"/>
      <c r="B1558" s="64"/>
      <c r="C1558" s="59" t="s">
        <v>286</v>
      </c>
      <c r="D1558" s="59" t="s">
        <v>3547</v>
      </c>
      <c r="E1558" s="65">
        <v>1005</v>
      </c>
      <c r="F1558" s="74" t="s">
        <v>3580</v>
      </c>
      <c r="G1558" s="81">
        <v>100523</v>
      </c>
      <c r="H1558" s="75" t="s">
        <v>3581</v>
      </c>
      <c r="I1558" s="67" t="s">
        <v>450</v>
      </c>
      <c r="J1558" s="67" t="str">
        <f>INDEX(数据元说明!A:F,MATCH(I1558,数据元说明!C:C,0),2)</f>
        <v>001030</v>
      </c>
      <c r="K1558" s="68" t="str">
        <f>INDEX(数据元说明!A:F,MATCH(I1558,数据元说明!C:C,0),5)</f>
        <v>浮点数。</v>
      </c>
      <c r="L1558" s="67" t="str">
        <f>INDEX(数据元说明!A:F,MATCH(I1558,数据元说明!C:C,0),6)</f>
        <v>D20.4</v>
      </c>
      <c r="M1558" s="73" t="s">
        <v>3582</v>
      </c>
      <c r="N1558" s="68" t="s">
        <v>1601</v>
      </c>
      <c r="O1558" s="67"/>
      <c r="P1558" s="69"/>
    </row>
    <row r="1559" ht="39.95" hidden="1" customHeight="1" spans="1:16">
      <c r="A1559" s="63"/>
      <c r="B1559" s="64"/>
      <c r="C1559" s="59" t="s">
        <v>286</v>
      </c>
      <c r="D1559" s="59" t="s">
        <v>3547</v>
      </c>
      <c r="E1559" s="65">
        <v>1005</v>
      </c>
      <c r="F1559" s="74" t="s">
        <v>3583</v>
      </c>
      <c r="G1559" s="81">
        <v>100524</v>
      </c>
      <c r="H1559" s="75" t="s">
        <v>3584</v>
      </c>
      <c r="I1559" s="67" t="s">
        <v>1273</v>
      </c>
      <c r="J1559" s="144" t="str">
        <f>INDEX(数据元说明!A:F,MATCH(I1559,数据元说明!C:C,0),2)</f>
        <v>010036</v>
      </c>
      <c r="K1559" s="68" t="str">
        <f>INDEX(数据元说明!A:F,MATCH(I1559,数据元说明!C:C,0),5)</f>
        <v>交易通用单位。</v>
      </c>
      <c r="L1559" s="67" t="str">
        <f>INDEX(数据元说明!A:F,MATCH(I1559,数据元说明!C:C,0),6)</f>
        <v>C..20</v>
      </c>
      <c r="M1559" s="73" t="s">
        <v>3585</v>
      </c>
      <c r="N1559" s="68" t="s">
        <v>1601</v>
      </c>
      <c r="O1559" s="67"/>
      <c r="P1559" s="69"/>
    </row>
    <row r="1560" ht="39.95" hidden="1" customHeight="1" spans="1:16">
      <c r="A1560" s="63"/>
      <c r="B1560" s="64"/>
      <c r="C1560" s="59" t="s">
        <v>286</v>
      </c>
      <c r="D1560" s="59" t="s">
        <v>3547</v>
      </c>
      <c r="E1560" s="65">
        <v>1005</v>
      </c>
      <c r="F1560" s="74" t="s">
        <v>1277</v>
      </c>
      <c r="G1560" s="81">
        <v>100525</v>
      </c>
      <c r="H1560" s="75" t="s">
        <v>3586</v>
      </c>
      <c r="I1560" s="67" t="s">
        <v>1277</v>
      </c>
      <c r="J1560" s="144" t="str">
        <f>INDEX(数据元说明!A:F,MATCH(I1560,数据元说明!C:C,0),2)</f>
        <v>010037</v>
      </c>
      <c r="K1560" s="68" t="str">
        <f>INDEX(数据元说明!A:F,MATCH(I1560,数据元说明!C:C,0),5)</f>
        <v>场内交易填报具体交易所名称全称，场外交易填报为“场外”。</v>
      </c>
      <c r="L1560" s="67" t="str">
        <f>INDEX(数据元说明!A:F,MATCH(I1560,数据元说明!C:C,0),6)</f>
        <v>C..60</v>
      </c>
      <c r="M1560" s="73"/>
      <c r="N1560" s="68" t="s">
        <v>1601</v>
      </c>
      <c r="O1560" s="67"/>
      <c r="P1560" s="69"/>
    </row>
    <row r="1561" ht="39.95" hidden="1" customHeight="1" spans="1:16">
      <c r="A1561" s="63"/>
      <c r="B1561" s="64"/>
      <c r="C1561" s="59" t="s">
        <v>286</v>
      </c>
      <c r="D1561" s="59" t="s">
        <v>3547</v>
      </c>
      <c r="E1561" s="65">
        <v>1005</v>
      </c>
      <c r="F1561" s="74" t="s">
        <v>1281</v>
      </c>
      <c r="G1561" s="81">
        <v>100526</v>
      </c>
      <c r="H1561" s="75" t="s">
        <v>3587</v>
      </c>
      <c r="I1561" s="67" t="s">
        <v>1281</v>
      </c>
      <c r="J1561" s="144" t="str">
        <f>INDEX(数据元说明!A:F,MATCH(I1561,数据元说明!C:C,0),2)</f>
        <v>010038</v>
      </c>
      <c r="K1561" s="68" t="str">
        <f>INDEX(数据元说明!A:F,MATCH(I1561,数据元说明!C:C,0),5)</f>
        <v>全额，差额，净额，其他-银行自定义。无法以枚举类型填报的，以“其它-XX”填报，其中“XX”为银行自定义交割方式。</v>
      </c>
      <c r="L1561" s="67" t="str">
        <f>INDEX(数据元说明!A:F,MATCH(I1561,数据元说明!C:C,0),6)</f>
        <v>C..60</v>
      </c>
      <c r="M1561" s="73" t="s">
        <v>3588</v>
      </c>
      <c r="N1561" s="68" t="s">
        <v>1601</v>
      </c>
      <c r="O1561" s="67"/>
      <c r="P1561" s="69"/>
    </row>
    <row r="1562" ht="39.95" hidden="1" customHeight="1" spans="1:16">
      <c r="A1562" s="63"/>
      <c r="B1562" s="64"/>
      <c r="C1562" s="59" t="s">
        <v>286</v>
      </c>
      <c r="D1562" s="59" t="s">
        <v>3547</v>
      </c>
      <c r="E1562" s="65">
        <v>1005</v>
      </c>
      <c r="F1562" s="74" t="s">
        <v>1285</v>
      </c>
      <c r="G1562" s="81">
        <v>100527</v>
      </c>
      <c r="H1562" s="75" t="s">
        <v>3589</v>
      </c>
      <c r="I1562" s="67" t="s">
        <v>1285</v>
      </c>
      <c r="J1562" s="144" t="str">
        <f>INDEX(数据元说明!A:F,MATCH(I1562,数据元说明!C:C,0),2)</f>
        <v>010039</v>
      </c>
      <c r="K1562" s="68" t="str">
        <f>INDEX(数据元说明!A:F,MATCH(I1562,数据元说明!C:C,0),5)</f>
        <v>看涨，看跌，上限，下限，其他-银行自定义。无法以枚举类型填报的，以“其它-XX”填报，其中“XX”为银行自定义期权类型。</v>
      </c>
      <c r="L1562" s="67" t="str">
        <f>INDEX(数据元说明!A:F,MATCH(I1562,数据元说明!C:C,0),6)</f>
        <v>C..30</v>
      </c>
      <c r="M1562" s="73" t="s">
        <v>3590</v>
      </c>
      <c r="N1562" s="68" t="s">
        <v>1601</v>
      </c>
      <c r="O1562" s="67"/>
      <c r="P1562" s="69"/>
    </row>
    <row r="1563" ht="39.95" hidden="1" customHeight="1" spans="1:16">
      <c r="A1563" s="63"/>
      <c r="B1563" s="64"/>
      <c r="C1563" s="59" t="s">
        <v>286</v>
      </c>
      <c r="D1563" s="59" t="s">
        <v>3547</v>
      </c>
      <c r="E1563" s="65">
        <v>1005</v>
      </c>
      <c r="F1563" s="74" t="s">
        <v>1501</v>
      </c>
      <c r="G1563" s="81">
        <v>100528</v>
      </c>
      <c r="H1563" s="75" t="s">
        <v>3591</v>
      </c>
      <c r="I1563" s="67" t="s">
        <v>1501</v>
      </c>
      <c r="J1563" s="144" t="str">
        <f>INDEX(数据元说明!A:F,MATCH(I1563,数据元说明!C:C,0),2)</f>
        <v>010093</v>
      </c>
      <c r="K1563" s="68" t="str">
        <f>INDEX(数据元说明!A:F,MATCH(I1563,数据元说明!C:C,0),5)</f>
        <v>美式，欧式，百慕大，其他-银行自定义。无法以枚举类型填报的，以“其他-XX”填报，其中“XX”为银行自定义行权方式。</v>
      </c>
      <c r="L1563" s="67" t="str">
        <f>INDEX(数据元说明!A:F,MATCH(I1563,数据元说明!C:C,0),6)</f>
        <v>C..30</v>
      </c>
      <c r="M1563" s="73" t="s">
        <v>3592</v>
      </c>
      <c r="N1563" s="68" t="s">
        <v>1601</v>
      </c>
      <c r="O1563" s="67"/>
      <c r="P1563" s="69"/>
    </row>
    <row r="1564" ht="39.95" hidden="1" customHeight="1" spans="1:16">
      <c r="A1564" s="63"/>
      <c r="B1564" s="64"/>
      <c r="C1564" s="59" t="s">
        <v>286</v>
      </c>
      <c r="D1564" s="59" t="s">
        <v>3547</v>
      </c>
      <c r="E1564" s="65">
        <v>1005</v>
      </c>
      <c r="F1564" s="74" t="s">
        <v>3593</v>
      </c>
      <c r="G1564" s="81">
        <v>100529</v>
      </c>
      <c r="H1564" s="75" t="s">
        <v>3594</v>
      </c>
      <c r="I1564" s="67" t="s">
        <v>450</v>
      </c>
      <c r="J1564" s="67" t="str">
        <f>INDEX(数据元说明!A:F,MATCH(I1564,数据元说明!C:C,0),2)</f>
        <v>001030</v>
      </c>
      <c r="K1564" s="68" t="str">
        <f>INDEX(数据元说明!A:F,MATCH(I1564,数据元说明!C:C,0),5)</f>
        <v>浮点数。</v>
      </c>
      <c r="L1564" s="67" t="str">
        <f>INDEX(数据元说明!A:F,MATCH(I1564,数据元说明!C:C,0),6)</f>
        <v>D20.4</v>
      </c>
      <c r="M1564" s="73" t="s">
        <v>3595</v>
      </c>
      <c r="N1564" s="68" t="s">
        <v>1601</v>
      </c>
      <c r="O1564" s="67"/>
      <c r="P1564" s="69"/>
    </row>
    <row r="1565" ht="39.95" hidden="1" customHeight="1" spans="1:16">
      <c r="A1565" s="63"/>
      <c r="B1565" s="64"/>
      <c r="C1565" s="59" t="s">
        <v>286</v>
      </c>
      <c r="D1565" s="59" t="s">
        <v>3547</v>
      </c>
      <c r="E1565" s="65">
        <v>1005</v>
      </c>
      <c r="F1565" s="74" t="s">
        <v>3596</v>
      </c>
      <c r="G1565" s="81">
        <v>100530</v>
      </c>
      <c r="H1565" s="75" t="s">
        <v>3597</v>
      </c>
      <c r="I1565" s="67" t="s">
        <v>1273</v>
      </c>
      <c r="J1565" s="144" t="str">
        <f>INDEX(数据元说明!A:F,MATCH(I1565,数据元说明!C:C,0),2)</f>
        <v>010036</v>
      </c>
      <c r="K1565" s="68" t="str">
        <f>INDEX(数据元说明!A:F,MATCH(I1565,数据元说明!C:C,0),5)</f>
        <v>交易通用单位。</v>
      </c>
      <c r="L1565" s="67" t="str">
        <f>INDEX(数据元说明!A:F,MATCH(I1565,数据元说明!C:C,0),6)</f>
        <v>C..20</v>
      </c>
      <c r="M1565" s="68" t="s">
        <v>3598</v>
      </c>
      <c r="N1565" s="68" t="s">
        <v>1601</v>
      </c>
      <c r="O1565" s="67"/>
      <c r="P1565" s="69"/>
    </row>
    <row r="1566" ht="39.95" hidden="1" customHeight="1" spans="1:16">
      <c r="A1566" s="63"/>
      <c r="B1566" s="64"/>
      <c r="C1566" s="59" t="s">
        <v>286</v>
      </c>
      <c r="D1566" s="59" t="s">
        <v>3547</v>
      </c>
      <c r="E1566" s="65">
        <v>1005</v>
      </c>
      <c r="F1566" s="74" t="s">
        <v>3599</v>
      </c>
      <c r="G1566" s="81">
        <v>100531</v>
      </c>
      <c r="H1566" s="75" t="s">
        <v>2699</v>
      </c>
      <c r="I1566" s="67" t="s">
        <v>330</v>
      </c>
      <c r="J1566" s="67" t="str">
        <f>INDEX(数据元说明!A:F,MATCH(I1566,数据元说明!C:C,0),2)</f>
        <v>001002</v>
      </c>
      <c r="K1566" s="68" t="str">
        <f>INDEX(数据元说明!A:F,MATCH(I1566,数据元说明!C:C,0),5)</f>
        <v>是，否。</v>
      </c>
      <c r="L1566" s="67" t="str">
        <f>INDEX(数据元说明!A:F,MATCH(I1566,数据元说明!C:C,0),6)</f>
        <v>C3</v>
      </c>
      <c r="M1566" s="68" t="s">
        <v>3600</v>
      </c>
      <c r="N1566" s="68" t="s">
        <v>1601</v>
      </c>
      <c r="O1566" s="67"/>
      <c r="P1566" s="69"/>
    </row>
    <row r="1567" ht="39.95" hidden="1" customHeight="1" spans="1:16">
      <c r="A1567" s="63"/>
      <c r="B1567" s="64"/>
      <c r="C1567" s="59" t="s">
        <v>286</v>
      </c>
      <c r="D1567" s="59" t="s">
        <v>3547</v>
      </c>
      <c r="E1567" s="65">
        <v>1005</v>
      </c>
      <c r="F1567" s="74" t="s">
        <v>3601</v>
      </c>
      <c r="G1567" s="81">
        <v>100532</v>
      </c>
      <c r="H1567" s="75" t="s">
        <v>3602</v>
      </c>
      <c r="I1567" s="67" t="s">
        <v>484</v>
      </c>
      <c r="J1567" s="67" t="str">
        <f>INDEX(数据元说明!A:F,MATCH(I1567,数据元说明!C:C,0),2)</f>
        <v>001038</v>
      </c>
      <c r="K1567" s="68" t="str">
        <f>INDEX(数据元说明!A:F,MATCH(I1567,数据元说明!C:C,0),5)</f>
        <v>银行自定义。</v>
      </c>
      <c r="L1567" s="67" t="str">
        <f>INDEX(数据元说明!A:F,MATCH(I1567,数据元说明!C:C,0),6)</f>
        <v>C..600</v>
      </c>
      <c r="M1567" s="68" t="s">
        <v>3603</v>
      </c>
      <c r="N1567" s="68" t="s">
        <v>1601</v>
      </c>
      <c r="O1567" s="67"/>
      <c r="P1567" s="69"/>
    </row>
    <row r="1568" ht="39.95" hidden="1" customHeight="1" spans="1:16">
      <c r="A1568" s="63"/>
      <c r="B1568" s="64"/>
      <c r="C1568" s="59" t="s">
        <v>286</v>
      </c>
      <c r="D1568" s="59" t="s">
        <v>3547</v>
      </c>
      <c r="E1568" s="65">
        <v>1005</v>
      </c>
      <c r="F1568" s="74" t="s">
        <v>3604</v>
      </c>
      <c r="G1568" s="81">
        <v>100533</v>
      </c>
      <c r="H1568" s="75" t="s">
        <v>3605</v>
      </c>
      <c r="I1568" s="67" t="s">
        <v>325</v>
      </c>
      <c r="J1568" s="67" t="str">
        <f>INDEX(数据元说明!A:F,MATCH(I1568,数据元说明!C:C,0),2)</f>
        <v>001001</v>
      </c>
      <c r="K1568" s="68" t="str">
        <f>INDEX(数据元说明!A:F,MATCH(I1568,数据元说明!C:C,0),5)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68" s="67" t="str">
        <f>INDEX(数据元说明!A:F,MATCH(I1568,数据元说明!C:C,0),6)</f>
        <v>C..450</v>
      </c>
      <c r="M1568" s="68"/>
      <c r="N1568" s="68" t="s">
        <v>1601</v>
      </c>
      <c r="O1568" s="67"/>
      <c r="P1568" s="69"/>
    </row>
    <row r="1569" ht="39.95" hidden="1" customHeight="1" spans="1:16">
      <c r="A1569" s="63"/>
      <c r="B1569" s="64"/>
      <c r="C1569" s="59" t="s">
        <v>286</v>
      </c>
      <c r="D1569" s="59" t="s">
        <v>3547</v>
      </c>
      <c r="E1569" s="65">
        <v>1005</v>
      </c>
      <c r="F1569" s="74" t="s">
        <v>3606</v>
      </c>
      <c r="G1569" s="81">
        <v>100534</v>
      </c>
      <c r="H1569" s="75" t="s">
        <v>3607</v>
      </c>
      <c r="I1569" s="67" t="s">
        <v>450</v>
      </c>
      <c r="J1569" s="67" t="str">
        <f>INDEX(数据元说明!A:F,MATCH(I1569,数据元说明!C:C,0),2)</f>
        <v>001030</v>
      </c>
      <c r="K1569" s="68" t="str">
        <f>INDEX(数据元说明!A:F,MATCH(I1569,数据元说明!C:C,0),5)</f>
        <v>浮点数。</v>
      </c>
      <c r="L1569" s="67" t="str">
        <f>INDEX(数据元说明!A:F,MATCH(I1569,数据元说明!C:C,0),6)</f>
        <v>D20.4</v>
      </c>
      <c r="M1569" s="68"/>
      <c r="N1569" s="68" t="s">
        <v>1601</v>
      </c>
      <c r="O1569" s="67"/>
      <c r="P1569" s="69"/>
    </row>
    <row r="1570" ht="39.95" hidden="1" customHeight="1" spans="1:16">
      <c r="A1570" s="63"/>
      <c r="B1570" s="64"/>
      <c r="C1570" s="59" t="s">
        <v>286</v>
      </c>
      <c r="D1570" s="59" t="s">
        <v>3547</v>
      </c>
      <c r="E1570" s="65">
        <v>1005</v>
      </c>
      <c r="F1570" s="74" t="s">
        <v>3608</v>
      </c>
      <c r="G1570" s="81">
        <v>100535</v>
      </c>
      <c r="H1570" s="75" t="s">
        <v>3609</v>
      </c>
      <c r="I1570" s="67" t="s">
        <v>642</v>
      </c>
      <c r="J1570" s="67" t="str">
        <f>INDEX(数据元说明!A:F,MATCH(I1570,数据元说明!C:C,0),2)</f>
        <v>003010</v>
      </c>
      <c r="K1570" s="68" t="str">
        <f>INDEX(数据元说明!A:F,MATCH(I1570,数据元说明!C:C,0),5)</f>
        <v>遵循《GB/T 12406 表示货币和资金的代码》的字母代码，如CNY。上述文件所列币种无法涵盖的，允许银行自定义填报。多个币种合计折算为人民币（本外币合计）的，填报为BWB。</v>
      </c>
      <c r="L1570" s="67" t="str">
        <f>INDEX(数据元说明!A:F,MATCH(I1570,数据元说明!C:C,0),6)</f>
        <v>C3</v>
      </c>
      <c r="M1570" s="68"/>
      <c r="N1570" s="68" t="s">
        <v>1601</v>
      </c>
      <c r="O1570" s="67"/>
      <c r="P1570" s="69"/>
    </row>
    <row r="1571" ht="39.95" hidden="1" customHeight="1" spans="1:16">
      <c r="A1571" s="63"/>
      <c r="B1571" s="64"/>
      <c r="C1571" s="59" t="s">
        <v>286</v>
      </c>
      <c r="D1571" s="59" t="s">
        <v>3547</v>
      </c>
      <c r="E1571" s="65">
        <v>1005</v>
      </c>
      <c r="F1571" s="74" t="s">
        <v>3610</v>
      </c>
      <c r="G1571" s="81">
        <v>100536</v>
      </c>
      <c r="H1571" s="75" t="s">
        <v>3611</v>
      </c>
      <c r="I1571" s="67" t="s">
        <v>345</v>
      </c>
      <c r="J1571" s="67" t="str">
        <f>INDEX(数据元说明!A:F,MATCH(I1571,数据元说明!C:C,0),2)</f>
        <v>001005</v>
      </c>
      <c r="K1571" s="68" t="str">
        <f>INDEX(数据元说明!A:F,MATCH(I1571,数据元说明!C:C,0),5)</f>
        <v>YYYYMMDD，默认值99991231。</v>
      </c>
      <c r="L1571" s="67" t="str">
        <f>INDEX(数据元说明!A:F,MATCH(I1571,数据元说明!C:C,0),6)</f>
        <v>C8</v>
      </c>
      <c r="M1571" s="68"/>
      <c r="N1571" s="68" t="s">
        <v>1601</v>
      </c>
      <c r="O1571" s="67"/>
      <c r="P1571" s="69"/>
    </row>
    <row r="1572" ht="39.95" hidden="1" customHeight="1" spans="1:16">
      <c r="A1572" s="63"/>
      <c r="B1572" s="64"/>
      <c r="C1572" s="59" t="s">
        <v>286</v>
      </c>
      <c r="D1572" s="59" t="s">
        <v>3547</v>
      </c>
      <c r="E1572" s="65">
        <v>1005</v>
      </c>
      <c r="F1572" s="74" t="s">
        <v>3612</v>
      </c>
      <c r="G1572" s="81">
        <v>100537</v>
      </c>
      <c r="H1572" s="75" t="s">
        <v>3409</v>
      </c>
      <c r="I1572" s="67" t="s">
        <v>389</v>
      </c>
      <c r="J1572" s="67" t="str">
        <f>INDEX(数据元说明!A:F,MATCH(I1572,数据元说明!C:C,0),2)</f>
        <v>001015</v>
      </c>
      <c r="K1572" s="68" t="str">
        <f>INDEX(数据元说明!A:F,MATCH(I1572,数据元说明!C:C,0),5)</f>
        <v>工号，银行自定义。</v>
      </c>
      <c r="L1572" s="67" t="str">
        <f>INDEX(数据元说明!A:F,MATCH(I1572,数据元说明!C:C,0),6)</f>
        <v>C..30</v>
      </c>
      <c r="M1572" s="68"/>
      <c r="N1572" s="68" t="s">
        <v>1601</v>
      </c>
      <c r="O1572" s="67"/>
      <c r="P1572" s="69"/>
    </row>
    <row r="1573" ht="39.95" hidden="1" customHeight="1" spans="1:16">
      <c r="A1573" s="63"/>
      <c r="B1573" s="64"/>
      <c r="C1573" s="59" t="s">
        <v>286</v>
      </c>
      <c r="D1573" s="59" t="s">
        <v>3547</v>
      </c>
      <c r="E1573" s="65">
        <v>1005</v>
      </c>
      <c r="F1573" s="74" t="s">
        <v>2897</v>
      </c>
      <c r="G1573" s="81">
        <v>100538</v>
      </c>
      <c r="H1573" s="75" t="s">
        <v>2898</v>
      </c>
      <c r="I1573" s="67" t="s">
        <v>389</v>
      </c>
      <c r="J1573" s="67" t="str">
        <f>INDEX(数据元说明!A:F,MATCH(I1573,数据元说明!C:C,0),2)</f>
        <v>001015</v>
      </c>
      <c r="K1573" s="68" t="str">
        <f>INDEX(数据元说明!A:F,MATCH(I1573,数据元说明!C:C,0),5)</f>
        <v>工号，银行自定义。</v>
      </c>
      <c r="L1573" s="67" t="str">
        <f>INDEX(数据元说明!A:F,MATCH(I1573,数据元说明!C:C,0),6)</f>
        <v>C..30</v>
      </c>
      <c r="M1573" s="68"/>
      <c r="N1573" s="68" t="s">
        <v>1601</v>
      </c>
      <c r="O1573" s="67"/>
      <c r="P1573" s="69"/>
    </row>
    <row r="1574" ht="39.95" hidden="1" customHeight="1" outlineLevel="1" spans="1:16">
      <c r="A1574" s="63"/>
      <c r="B1574" s="64"/>
      <c r="C1574" s="59" t="s">
        <v>286</v>
      </c>
      <c r="D1574" s="59" t="s">
        <v>3547</v>
      </c>
      <c r="E1574" s="65">
        <v>1005</v>
      </c>
      <c r="F1574" s="67" t="s">
        <v>484</v>
      </c>
      <c r="G1574" s="81">
        <v>100539</v>
      </c>
      <c r="H1574" s="67" t="s">
        <v>1623</v>
      </c>
      <c r="I1574" s="67" t="s">
        <v>484</v>
      </c>
      <c r="J1574" s="67" t="str">
        <f>INDEX(数据元说明!A:F,MATCH(I1574,数据元说明!C:C,0),2)</f>
        <v>001038</v>
      </c>
      <c r="K1574" s="68" t="str">
        <f>INDEX(数据元说明!A:F,MATCH(I1574,数据元说明!C:C,0),5)</f>
        <v>银行自定义。</v>
      </c>
      <c r="L1574" s="67" t="str">
        <f>INDEX(数据元说明!A:F,MATCH(I1574,数据元说明!C:C,0),6)</f>
        <v>C..600</v>
      </c>
      <c r="M1574" s="68" t="s">
        <v>1624</v>
      </c>
      <c r="N1574" s="68" t="s">
        <v>1601</v>
      </c>
      <c r="O1574" s="68"/>
      <c r="P1574" s="68"/>
    </row>
    <row r="1575" ht="39.95" hidden="1" customHeight="1" collapsed="1" spans="1:16">
      <c r="A1575" s="63"/>
      <c r="B1575" s="64"/>
      <c r="C1575" s="59" t="s">
        <v>286</v>
      </c>
      <c r="D1575" s="59" t="s">
        <v>3547</v>
      </c>
      <c r="E1575" s="65">
        <v>1005</v>
      </c>
      <c r="F1575" s="74" t="s">
        <v>1625</v>
      </c>
      <c r="G1575" s="81">
        <v>100540</v>
      </c>
      <c r="H1575" s="75" t="s">
        <v>1626</v>
      </c>
      <c r="I1575" s="67" t="s">
        <v>345</v>
      </c>
      <c r="J1575" s="67" t="str">
        <f>INDEX(数据元说明!A:F,MATCH(I1575,数据元说明!C:C,0),2)</f>
        <v>001005</v>
      </c>
      <c r="K1575" s="68" t="str">
        <f>INDEX(数据元说明!A:F,MATCH(I1575,数据元说明!C:C,0),5)</f>
        <v>YYYYMMDD，默认值99991231。</v>
      </c>
      <c r="L1575" s="67" t="str">
        <f>INDEX(数据元说明!A:F,MATCH(I1575,数据元说明!C:C,0),6)</f>
        <v>C8</v>
      </c>
      <c r="M1575" s="68"/>
      <c r="N1575" s="68" t="s">
        <v>1601</v>
      </c>
      <c r="O1575" s="67"/>
      <c r="P1575" s="69"/>
    </row>
    <row r="1576" ht="39.95" hidden="1" customHeight="1" spans="1:16">
      <c r="A1576" s="63" t="s">
        <v>3613</v>
      </c>
      <c r="B1576" s="64" t="s">
        <v>291</v>
      </c>
      <c r="C1576" s="59"/>
      <c r="D1576" s="59"/>
      <c r="E1576" s="67"/>
      <c r="F1576" s="67"/>
      <c r="G1576" s="65"/>
      <c r="H1576" s="67"/>
      <c r="I1576" s="67"/>
      <c r="J1576" s="67"/>
      <c r="K1576" s="67"/>
      <c r="L1576" s="67"/>
      <c r="M1576" s="68"/>
      <c r="N1576" s="67"/>
      <c r="O1576" s="67"/>
      <c r="P1576" s="67"/>
    </row>
    <row r="1577" ht="39.95" hidden="1" customHeight="1" spans="1:16">
      <c r="A1577" s="63"/>
      <c r="B1577" s="59"/>
      <c r="C1577" s="59" t="s">
        <v>292</v>
      </c>
      <c r="D1577" s="59" t="s">
        <v>3614</v>
      </c>
      <c r="E1577" s="67">
        <v>1101</v>
      </c>
      <c r="F1577" s="67"/>
      <c r="G1577" s="65"/>
      <c r="H1577" s="67" t="s">
        <v>3615</v>
      </c>
      <c r="I1577" s="67"/>
      <c r="J1577" s="67"/>
      <c r="K1577" s="67"/>
      <c r="L1577" s="67"/>
      <c r="M1577" s="68" t="s">
        <v>3616</v>
      </c>
      <c r="N1577" s="68"/>
      <c r="O1577" s="68"/>
      <c r="P1577" s="69" t="s">
        <v>3617</v>
      </c>
    </row>
    <row r="1578" ht="39.95" hidden="1" customHeight="1" spans="1:16">
      <c r="A1578" s="89"/>
      <c r="B1578" s="73"/>
      <c r="C1578" s="73" t="s">
        <v>292</v>
      </c>
      <c r="D1578" s="73" t="s">
        <v>3614</v>
      </c>
      <c r="E1578" s="90">
        <v>1101</v>
      </c>
      <c r="F1578" s="69" t="s">
        <v>1176</v>
      </c>
      <c r="G1578" s="90">
        <v>110101</v>
      </c>
      <c r="H1578" s="69" t="s">
        <v>3618</v>
      </c>
      <c r="I1578" s="69" t="s">
        <v>1176</v>
      </c>
      <c r="J1578" s="144" t="str">
        <f>INDEX(数据元说明!A:F,MATCH(I1578,数据元说明!C:C,0),2)</f>
        <v>010012</v>
      </c>
      <c r="K1578" s="68" t="str">
        <f>INDEX(数据元说明!A:F,MATCH(I1578,数据元说明!C:C,0),5)</f>
        <v>登记机构赋予理财产品的标识码，该码具有唯一性。</v>
      </c>
      <c r="L1578" s="67" t="str">
        <f>INDEX(数据元说明!A:F,MATCH(I1578,数据元说明!C:C,0),6)</f>
        <v>C..30</v>
      </c>
      <c r="M1578" s="69" t="s">
        <v>3619</v>
      </c>
      <c r="N1578" s="68"/>
      <c r="O1578" s="68"/>
      <c r="P1578" s="69"/>
    </row>
    <row r="1579" ht="39.95" hidden="1" customHeight="1" spans="1:16">
      <c r="A1579" s="89"/>
      <c r="B1579" s="73"/>
      <c r="C1579" s="73" t="s">
        <v>292</v>
      </c>
      <c r="D1579" s="73" t="s">
        <v>3614</v>
      </c>
      <c r="E1579" s="90">
        <v>1101</v>
      </c>
      <c r="F1579" s="69" t="s">
        <v>3620</v>
      </c>
      <c r="G1579" s="90">
        <v>110102</v>
      </c>
      <c r="H1579" s="69" t="s">
        <v>3621</v>
      </c>
      <c r="I1579" s="69" t="s">
        <v>1160</v>
      </c>
      <c r="J1579" s="144" t="str">
        <f>INDEX(数据元说明!A:F,MATCH(I1579,数据元说明!C:C,0),2)</f>
        <v>010008</v>
      </c>
      <c r="K1579" s="68" t="str">
        <f>INDEX(数据元说明!A:F,MATCH(I1579,数据元说明!C:C,0),5)</f>
        <v>发行机构在发行登记时赋予理财产品的代码，该代码在发行机构内部具有唯一性。</v>
      </c>
      <c r="L1579" s="67" t="str">
        <f>INDEX(数据元说明!A:F,MATCH(I1579,数据元说明!C:C,0),6)</f>
        <v>C..200</v>
      </c>
      <c r="M1579" s="69"/>
      <c r="N1579" s="68" t="s">
        <v>1583</v>
      </c>
      <c r="O1579" s="68" t="s">
        <v>322</v>
      </c>
      <c r="P1579" s="69"/>
    </row>
    <row r="1580" ht="39.95" hidden="1" customHeight="1" spans="1:16">
      <c r="A1580" s="89"/>
      <c r="B1580" s="73"/>
      <c r="C1580" s="73" t="s">
        <v>292</v>
      </c>
      <c r="D1580" s="73" t="s">
        <v>3614</v>
      </c>
      <c r="E1580" s="90">
        <v>1101</v>
      </c>
      <c r="F1580" s="69" t="s">
        <v>1180</v>
      </c>
      <c r="G1580" s="90">
        <v>110103</v>
      </c>
      <c r="H1580" s="69" t="s">
        <v>3622</v>
      </c>
      <c r="I1580" s="69" t="s">
        <v>1180</v>
      </c>
      <c r="J1580" s="144" t="str">
        <f>INDEX(数据元说明!A:F,MATCH(I1580,数据元说明!C:C,0),2)</f>
        <v>010013</v>
      </c>
      <c r="K1580" s="68" t="str">
        <f>INDEX(数据元说明!A:F,MATCH(I1580,数据元说明!C:C,0),5)</f>
        <v>发行机构在申报登记时赋予理财产品的代码，该代码在发行机构内部具有唯一性。</v>
      </c>
      <c r="L1580" s="67" t="str">
        <f>INDEX(数据元说明!A:F,MATCH(I1580,数据元说明!C:C,0),6)</f>
        <v>C..100</v>
      </c>
      <c r="M1580" s="69"/>
      <c r="N1580" s="68" t="s">
        <v>1583</v>
      </c>
      <c r="O1580" s="68" t="s">
        <v>322</v>
      </c>
      <c r="P1580" s="69"/>
    </row>
    <row r="1581" ht="39.95" hidden="1" customHeight="1" spans="1:16">
      <c r="A1581" s="89"/>
      <c r="B1581" s="73"/>
      <c r="C1581" s="73" t="s">
        <v>292</v>
      </c>
      <c r="D1581" s="73" t="s">
        <v>3614</v>
      </c>
      <c r="E1581" s="90">
        <v>1101</v>
      </c>
      <c r="F1581" s="69" t="s">
        <v>746</v>
      </c>
      <c r="G1581" s="90">
        <v>110104</v>
      </c>
      <c r="H1581" s="69" t="s">
        <v>3489</v>
      </c>
      <c r="I1581" s="69" t="s">
        <v>1136</v>
      </c>
      <c r="J1581" s="144" t="str">
        <f>INDEX(数据元说明!A:F,MATCH(I1581,数据元说明!C:C,0),2)</f>
        <v>010002</v>
      </c>
      <c r="K1581" s="68" t="str">
        <f>INDEX(数据元说明!A:F,MATCH(I1581,数据元说明!C:C,0),5)</f>
        <v>金融产品名称，包括但不限于标准化或非标准化金融产品。如果不是标准产品，则由银行自定义。</v>
      </c>
      <c r="L1581" s="67" t="str">
        <f>INDEX(数据元说明!A:F,MATCH(I1581,数据元说明!C:C,0),6)</f>
        <v>C..450</v>
      </c>
      <c r="M1581" s="69" t="s">
        <v>3623</v>
      </c>
      <c r="N1581" s="68" t="s">
        <v>1583</v>
      </c>
      <c r="O1581" s="68" t="s">
        <v>322</v>
      </c>
      <c r="P1581" s="69"/>
    </row>
    <row r="1582" ht="39.95" hidden="1" customHeight="1" spans="1:16">
      <c r="A1582" s="89"/>
      <c r="B1582" s="73"/>
      <c r="C1582" s="73" t="s">
        <v>292</v>
      </c>
      <c r="D1582" s="73" t="s">
        <v>3614</v>
      </c>
      <c r="E1582" s="90">
        <v>1101</v>
      </c>
      <c r="F1582" s="69" t="s">
        <v>1458</v>
      </c>
      <c r="G1582" s="90">
        <v>110105</v>
      </c>
      <c r="H1582" s="69" t="s">
        <v>3437</v>
      </c>
      <c r="I1582" s="69" t="s">
        <v>1458</v>
      </c>
      <c r="J1582" s="144" t="str">
        <f>INDEX(数据元说明!A:F,MATCH(I1582,数据元说明!C:C,0),2)</f>
        <v>010082</v>
      </c>
      <c r="K1582" s="68" t="str">
        <f>INDEX(数据元说明!A:F,MATCH(I1582,数据元说明!C:C,0),5)</f>
        <v>采用《金融机构编码规范》编发的法人机构代码(即金融机构代码）前6位。</v>
      </c>
      <c r="L1582" s="67" t="str">
        <f>INDEX(数据元说明!A:F,MATCH(I1582,数据元说明!C:C,0),6)</f>
        <v>C..30</v>
      </c>
      <c r="M1582" s="69"/>
      <c r="N1582" s="68"/>
      <c r="O1582" s="68"/>
      <c r="P1582" s="69"/>
    </row>
    <row r="1583" ht="39.95" hidden="1" customHeight="1" outlineLevel="1" spans="1:16">
      <c r="A1583" s="63"/>
      <c r="B1583" s="64"/>
      <c r="C1583" s="73" t="s">
        <v>292</v>
      </c>
      <c r="D1583" s="73" t="s">
        <v>3614</v>
      </c>
      <c r="E1583" s="90">
        <v>1101</v>
      </c>
      <c r="F1583" s="67" t="s">
        <v>373</v>
      </c>
      <c r="G1583" s="90">
        <v>110106</v>
      </c>
      <c r="H1583" s="67" t="s">
        <v>1588</v>
      </c>
      <c r="I1583" s="67" t="s">
        <v>373</v>
      </c>
      <c r="J1583" s="67" t="str">
        <f>INDEX(数据元说明!A:F,MATCH(I1583,数据元说明!C:C,0),2)</f>
        <v>001011</v>
      </c>
      <c r="K1583" s="68" t="str">
        <f>INDEX(数据元说明!A:F,MATCH(I1583,数据元说明!C:C,0),5)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83" s="67" t="str">
        <f>INDEX(数据元说明!A:F,MATCH(I1583,数据元说明!C:C,0),6)</f>
        <v>C..30</v>
      </c>
      <c r="M1583" s="68" t="s">
        <v>3624</v>
      </c>
      <c r="N1583" s="68" t="s">
        <v>1601</v>
      </c>
      <c r="O1583" s="68"/>
      <c r="P1583" s="68"/>
    </row>
    <row r="1584" ht="39.95" hidden="1" customHeight="1" collapsed="1" spans="1:16">
      <c r="A1584" s="89"/>
      <c r="B1584" s="73"/>
      <c r="C1584" s="73" t="s">
        <v>292</v>
      </c>
      <c r="D1584" s="73" t="s">
        <v>3614</v>
      </c>
      <c r="E1584" s="90">
        <v>1101</v>
      </c>
      <c r="F1584" s="69" t="s">
        <v>3388</v>
      </c>
      <c r="G1584" s="90">
        <v>110107</v>
      </c>
      <c r="H1584" s="69" t="s">
        <v>3389</v>
      </c>
      <c r="I1584" s="69" t="s">
        <v>325</v>
      </c>
      <c r="J1584" s="67" t="str">
        <f>INDEX(数据元说明!A:F,MATCH(I1584,数据元说明!C:C,0),2)</f>
        <v>001001</v>
      </c>
      <c r="K1584" s="68" t="str">
        <f>INDEX(数据元说明!A:F,MATCH(I1584,数据元说明!C:C,0),5)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84" s="69" t="str">
        <f>INDEX(数据元说明!A:F,MATCH(I1584,数据元说明!C:C,0),6)</f>
        <v>C..450</v>
      </c>
      <c r="M1584" s="69" t="s">
        <v>3625</v>
      </c>
      <c r="N1584" s="68" t="s">
        <v>1583</v>
      </c>
      <c r="O1584" s="68" t="s">
        <v>322</v>
      </c>
      <c r="P1584" s="69"/>
    </row>
    <row r="1585" ht="39.95" hidden="1" customHeight="1" spans="1:16">
      <c r="A1585" s="89"/>
      <c r="B1585" s="73"/>
      <c r="C1585" s="73" t="s">
        <v>292</v>
      </c>
      <c r="D1585" s="73" t="s">
        <v>3614</v>
      </c>
      <c r="E1585" s="90">
        <v>1101</v>
      </c>
      <c r="F1585" s="69" t="s">
        <v>3626</v>
      </c>
      <c r="G1585" s="90">
        <v>110108</v>
      </c>
      <c r="H1585" s="69" t="s">
        <v>3627</v>
      </c>
      <c r="I1585" s="69" t="s">
        <v>1422</v>
      </c>
      <c r="J1585" s="144" t="str">
        <f>INDEX(数据元说明!A:F,MATCH(I1585,数据元说明!C:C,0),2)</f>
        <v>010073</v>
      </c>
      <c r="K1585" s="68" t="str">
        <f>INDEX(数据元说明!A:F,MATCH(I1585,数据元说明!C:C,0),5)</f>
        <v>国有银行，股份制银行，城商行，外资银行，农村合作金融机构，政策性银行，国家开发银行，理财公司，其他。</v>
      </c>
      <c r="L1585" s="69" t="str">
        <f>INDEX(数据元说明!A:F,MATCH(I1585,数据元说明!C:C,0),6)</f>
        <v>C..30</v>
      </c>
      <c r="M1585" s="69" t="s">
        <v>3628</v>
      </c>
      <c r="N1585" s="68"/>
      <c r="O1585" s="68"/>
      <c r="P1585" s="69"/>
    </row>
    <row r="1586" ht="39.95" hidden="1" customHeight="1" spans="1:16">
      <c r="A1586" s="89"/>
      <c r="B1586" s="73"/>
      <c r="C1586" s="73" t="s">
        <v>292</v>
      </c>
      <c r="D1586" s="73" t="s">
        <v>3614</v>
      </c>
      <c r="E1586" s="90">
        <v>1101</v>
      </c>
      <c r="F1586" s="69" t="s">
        <v>1426</v>
      </c>
      <c r="G1586" s="90">
        <v>110109</v>
      </c>
      <c r="H1586" s="69" t="s">
        <v>3629</v>
      </c>
      <c r="I1586" s="69" t="s">
        <v>1426</v>
      </c>
      <c r="J1586" s="144" t="str">
        <f>INDEX(数据元说明!A:F,MATCH(I1586,数据元说明!C:C,0),2)</f>
        <v>010074</v>
      </c>
      <c r="K1586" s="68" t="str">
        <f>INDEX(数据元说明!A:F,MATCH(I1586,数据元说明!C:C,0),5)</f>
        <v>数字。</v>
      </c>
      <c r="L1586" s="69" t="str">
        <f>INDEX(数据元说明!A:F,MATCH(I1586,数据元说明!C:C,0),6)</f>
        <v>I</v>
      </c>
      <c r="M1586" s="69" t="s">
        <v>3630</v>
      </c>
      <c r="N1586" s="68" t="s">
        <v>1583</v>
      </c>
      <c r="O1586" s="68" t="s">
        <v>322</v>
      </c>
      <c r="P1586" s="69"/>
    </row>
    <row r="1587" ht="39.95" hidden="1" customHeight="1" spans="1:16">
      <c r="A1587" s="89"/>
      <c r="B1587" s="73"/>
      <c r="C1587" s="73" t="s">
        <v>292</v>
      </c>
      <c r="D1587" s="73" t="s">
        <v>3614</v>
      </c>
      <c r="E1587" s="90">
        <v>1101</v>
      </c>
      <c r="F1587" s="69" t="s">
        <v>3631</v>
      </c>
      <c r="G1587" s="90">
        <v>110110</v>
      </c>
      <c r="H1587" s="69" t="s">
        <v>3632</v>
      </c>
      <c r="I1587" s="69" t="s">
        <v>1172</v>
      </c>
      <c r="J1587" s="144" t="str">
        <f>INDEX(数据元说明!A:F,MATCH(I1587,数据元说明!C:C,0),2)</f>
        <v>010011</v>
      </c>
      <c r="K1587" s="68" t="str">
        <f>INDEX(数据元说明!A:F,MATCH(I1587,数据元说明!C:C,0),5)</f>
        <v>约定的期限，适用于债券等业务。</v>
      </c>
      <c r="L1587" s="69" t="str">
        <f>INDEX(数据元说明!A:F,MATCH(I1587,数据元说明!C:C,0),6)</f>
        <v>C..30</v>
      </c>
      <c r="M1587" s="69" t="s">
        <v>3633</v>
      </c>
      <c r="N1587" s="68"/>
      <c r="O1587" s="68"/>
      <c r="P1587" s="69"/>
    </row>
    <row r="1588" ht="39.95" hidden="1" customHeight="1" spans="1:16">
      <c r="A1588" s="89"/>
      <c r="B1588" s="73"/>
      <c r="C1588" s="73" t="s">
        <v>292</v>
      </c>
      <c r="D1588" s="73" t="s">
        <v>3614</v>
      </c>
      <c r="E1588" s="90">
        <v>1101</v>
      </c>
      <c r="F1588" s="69" t="s">
        <v>3634</v>
      </c>
      <c r="G1588" s="90">
        <v>110111</v>
      </c>
      <c r="H1588" s="69" t="s">
        <v>3635</v>
      </c>
      <c r="I1588" s="69" t="s">
        <v>1193</v>
      </c>
      <c r="J1588" s="144" t="str">
        <f>INDEX(数据元说明!A:F,MATCH(I1588,数据元说明!C:C,0),2)</f>
        <v>010016</v>
      </c>
      <c r="K1588" s="68" t="str">
        <f>INDEX(数据元说明!A:F,MATCH(I1588,数据元说明!C:C,0),5)</f>
        <v>一级，二级，三级，四级，五级。</v>
      </c>
      <c r="L1588" s="69" t="str">
        <f>INDEX(数据元说明!A:F,MATCH(I1588,数据元说明!C:C,0),6)</f>
        <v>C..30</v>
      </c>
      <c r="M1588" s="69"/>
      <c r="N1588" s="68"/>
      <c r="O1588" s="68"/>
      <c r="P1588" s="69"/>
    </row>
    <row r="1589" ht="39.95" hidden="1" customHeight="1" spans="1:16">
      <c r="A1589" s="89"/>
      <c r="B1589" s="73"/>
      <c r="C1589" s="73" t="s">
        <v>292</v>
      </c>
      <c r="D1589" s="73" t="s">
        <v>3614</v>
      </c>
      <c r="E1589" s="90">
        <v>1101</v>
      </c>
      <c r="F1589" s="69" t="s">
        <v>3636</v>
      </c>
      <c r="G1589" s="90">
        <v>110112</v>
      </c>
      <c r="H1589" s="69" t="s">
        <v>3637</v>
      </c>
      <c r="I1589" s="69" t="s">
        <v>1189</v>
      </c>
      <c r="J1589" s="144" t="str">
        <f>INDEX(数据元说明!A:F,MATCH(I1589,数据元说明!C:C,0),2)</f>
        <v>010015</v>
      </c>
      <c r="K1589" s="68" t="str">
        <f>INDEX(数据元说明!A:F,MATCH(I1589,数据元说明!C:C,0),5)</f>
        <v>一般个人客户、高资产净值客户、私人银行客户、机构客户、金融同业客户。</v>
      </c>
      <c r="L1589" s="69" t="str">
        <f>INDEX(数据元说明!A:F,MATCH(I1589,数据元说明!C:C,0),6)</f>
        <v>C..30</v>
      </c>
      <c r="M1589" s="69"/>
      <c r="N1589" s="68"/>
      <c r="O1589" s="68"/>
      <c r="P1589" s="69"/>
    </row>
    <row r="1590" ht="39.95" hidden="1" customHeight="1" spans="1:16">
      <c r="A1590" s="89"/>
      <c r="B1590" s="73"/>
      <c r="C1590" s="73" t="s">
        <v>292</v>
      </c>
      <c r="D1590" s="73" t="s">
        <v>3614</v>
      </c>
      <c r="E1590" s="90">
        <v>1101</v>
      </c>
      <c r="F1590" s="69" t="s">
        <v>1184</v>
      </c>
      <c r="G1590" s="90">
        <v>110113</v>
      </c>
      <c r="H1590" s="69" t="s">
        <v>3638</v>
      </c>
      <c r="I1590" s="69" t="s">
        <v>1184</v>
      </c>
      <c r="J1590" s="144" t="str">
        <f>INDEX(数据元说明!A:F,MATCH(I1590,数据元说明!C:C,0),2)</f>
        <v>010014</v>
      </c>
      <c r="K1590" s="68" t="str">
        <f>INDEX(数据元说明!A:F,MATCH(I1590,数据元说明!C:C,0),5)</f>
        <v>境内，境外，境内和境外。</v>
      </c>
      <c r="L1590" s="69" t="str">
        <f>INDEX(数据元说明!A:F,MATCH(I1590,数据元说明!C:C,0),6)</f>
        <v>C..15</v>
      </c>
      <c r="M1590" s="69" t="s">
        <v>3639</v>
      </c>
      <c r="N1590" s="68"/>
      <c r="O1590" s="68"/>
      <c r="P1590" s="69"/>
    </row>
    <row r="1591" ht="39.95" hidden="1" customHeight="1" spans="1:16">
      <c r="A1591" s="89"/>
      <c r="B1591" s="73"/>
      <c r="C1591" s="73" t="s">
        <v>292</v>
      </c>
      <c r="D1591" s="73" t="s">
        <v>3614</v>
      </c>
      <c r="E1591" s="90">
        <v>1101</v>
      </c>
      <c r="F1591" s="69" t="s">
        <v>1197</v>
      </c>
      <c r="G1591" s="90">
        <v>110114</v>
      </c>
      <c r="H1591" s="69" t="s">
        <v>3640</v>
      </c>
      <c r="I1591" s="69" t="s">
        <v>1197</v>
      </c>
      <c r="J1591" s="144" t="str">
        <f>INDEX(数据元说明!A:F,MATCH(I1591,数据元说明!C:C,0),2)</f>
        <v>010017</v>
      </c>
      <c r="K1591" s="68" t="str">
        <f>INDEX(数据元说明!A:F,MATCH(I1591,数据元说明!C:C,0),5)</f>
        <v>封闭式净值型，封闭式非净值型，开放式净值型，开放式非净值型。</v>
      </c>
      <c r="L1591" s="69" t="str">
        <f>INDEX(数据元说明!A:F,MATCH(I1591,数据元说明!C:C,0),6)</f>
        <v>C..30</v>
      </c>
      <c r="M1591" s="69"/>
      <c r="N1591" s="68"/>
      <c r="O1591" s="68"/>
      <c r="P1591" s="69"/>
    </row>
    <row r="1592" ht="39.95" hidden="1" customHeight="1" spans="1:16">
      <c r="A1592" s="89"/>
      <c r="B1592" s="73"/>
      <c r="C1592" s="73" t="s">
        <v>292</v>
      </c>
      <c r="D1592" s="73" t="s">
        <v>3614</v>
      </c>
      <c r="E1592" s="90">
        <v>1101</v>
      </c>
      <c r="F1592" s="69" t="s">
        <v>1201</v>
      </c>
      <c r="G1592" s="90">
        <v>110115</v>
      </c>
      <c r="H1592" s="69" t="s">
        <v>3641</v>
      </c>
      <c r="I1592" s="69" t="s">
        <v>1201</v>
      </c>
      <c r="J1592" s="144" t="str">
        <f>INDEX(数据元说明!A:F,MATCH(I1592,数据元说明!C:C,0),2)</f>
        <v>010018</v>
      </c>
      <c r="K1592" s="68" t="str">
        <f>INDEX(数据元说明!A:F,MATCH(I1592,数据元说明!C:C,0),5)</f>
        <v>单一资产配置（一对一），资产组合配置（一对多），其他配置（多对多）。</v>
      </c>
      <c r="L1592" s="69" t="str">
        <f>INDEX(数据元说明!A:F,MATCH(I1592,数据元说明!C:C,0),6)</f>
        <v>C..60</v>
      </c>
      <c r="M1592" s="69"/>
      <c r="N1592" s="68"/>
      <c r="O1592" s="68"/>
      <c r="P1592" s="69"/>
    </row>
    <row r="1593" ht="39.95" hidden="1" customHeight="1" spans="1:16">
      <c r="A1593" s="89"/>
      <c r="B1593" s="73"/>
      <c r="C1593" s="73" t="s">
        <v>292</v>
      </c>
      <c r="D1593" s="73" t="s">
        <v>3614</v>
      </c>
      <c r="E1593" s="90">
        <v>1101</v>
      </c>
      <c r="F1593" s="69" t="s">
        <v>1205</v>
      </c>
      <c r="G1593" s="90">
        <v>110116</v>
      </c>
      <c r="H1593" s="69" t="s">
        <v>3642</v>
      </c>
      <c r="I1593" s="69" t="s">
        <v>1205</v>
      </c>
      <c r="J1593" s="144" t="str">
        <f>INDEX(数据元说明!A:F,MATCH(I1593,数据元说明!C:C,0),2)</f>
        <v>010019</v>
      </c>
      <c r="K1593" s="68" t="str">
        <f>INDEX(数据元说明!A:F,MATCH(I1593,数据元说明!C:C,0),5)</f>
        <v>本机构为实际管理人，其他机构为实际管理人，资产管理公司，特殊目的载体（SPV）。</v>
      </c>
      <c r="L1593" s="69" t="str">
        <f>INDEX(数据元说明!A:F,MATCH(I1593,数据元说明!C:C,0),6)</f>
        <v>C..60</v>
      </c>
      <c r="M1593" s="69"/>
      <c r="N1593" s="68" t="s">
        <v>1583</v>
      </c>
      <c r="O1593" s="68" t="s">
        <v>321</v>
      </c>
      <c r="P1593" s="69" t="s">
        <v>3643</v>
      </c>
    </row>
    <row r="1594" ht="39.95" hidden="1" customHeight="1" spans="1:16">
      <c r="A1594" s="89"/>
      <c r="B1594" s="73"/>
      <c r="C1594" s="73" t="s">
        <v>292</v>
      </c>
      <c r="D1594" s="73" t="s">
        <v>3614</v>
      </c>
      <c r="E1594" s="90">
        <v>1101</v>
      </c>
      <c r="F1594" s="69" t="s">
        <v>3644</v>
      </c>
      <c r="G1594" s="90">
        <v>110117</v>
      </c>
      <c r="H1594" s="69" t="s">
        <v>3645</v>
      </c>
      <c r="I1594" s="69" t="s">
        <v>325</v>
      </c>
      <c r="J1594" s="67" t="str">
        <f>INDEX(数据元说明!A:F,MATCH(I1594,数据元说明!C:C,0),2)</f>
        <v>001001</v>
      </c>
      <c r="K1594" s="68" t="str">
        <f>INDEX(数据元说明!A:F,MATCH(I1594,数据元说明!C:C,0),5)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594" s="69" t="str">
        <f>INDEX(数据元说明!A:F,MATCH(I1594,数据元说明!C:C,0),6)</f>
        <v>C..450</v>
      </c>
      <c r="M1594" s="69" t="s">
        <v>3646</v>
      </c>
      <c r="N1594" s="68" t="s">
        <v>1583</v>
      </c>
      <c r="O1594" s="68" t="s">
        <v>322</v>
      </c>
      <c r="P1594" s="69"/>
    </row>
    <row r="1595" ht="39.95" hidden="1" customHeight="1" spans="1:16">
      <c r="A1595" s="89"/>
      <c r="B1595" s="73"/>
      <c r="C1595" s="73" t="s">
        <v>292</v>
      </c>
      <c r="D1595" s="73" t="s">
        <v>3614</v>
      </c>
      <c r="E1595" s="90">
        <v>1101</v>
      </c>
      <c r="F1595" s="69" t="s">
        <v>1466</v>
      </c>
      <c r="G1595" s="90">
        <v>110118</v>
      </c>
      <c r="H1595" s="69" t="s">
        <v>3647</v>
      </c>
      <c r="I1595" s="69" t="s">
        <v>1466</v>
      </c>
      <c r="J1595" s="144" t="str">
        <f>INDEX(数据元说明!A:F,MATCH(I1595,数据元说明!C:C,0),2)</f>
        <v>010084</v>
      </c>
      <c r="K1595" s="68" t="str">
        <f>INDEX(数据元说明!A:F,MATCH(I1595,数据元说明!C:C,0),5)</f>
        <v>集合管理，单独管理</v>
      </c>
      <c r="L1595" s="69" t="str">
        <f>INDEX(数据元说明!A:F,MATCH(I1595,数据元说明!C:C,0),6)</f>
        <v>C..30 </v>
      </c>
      <c r="M1595" s="69" t="s">
        <v>3648</v>
      </c>
      <c r="N1595" s="68" t="s">
        <v>1583</v>
      </c>
      <c r="O1595" s="68" t="s">
        <v>484</v>
      </c>
      <c r="P1595" s="69" t="s">
        <v>3649</v>
      </c>
    </row>
    <row r="1596" ht="39.95" hidden="1" customHeight="1" spans="1:16">
      <c r="A1596" s="89"/>
      <c r="B1596" s="73"/>
      <c r="C1596" s="73" t="s">
        <v>292</v>
      </c>
      <c r="D1596" s="73" t="s">
        <v>3614</v>
      </c>
      <c r="E1596" s="90">
        <v>1101</v>
      </c>
      <c r="F1596" s="69" t="s">
        <v>3650</v>
      </c>
      <c r="G1596" s="90">
        <v>110119</v>
      </c>
      <c r="H1596" s="69" t="s">
        <v>3651</v>
      </c>
      <c r="I1596" s="69" t="s">
        <v>393</v>
      </c>
      <c r="J1596" s="67" t="str">
        <f>INDEX(数据元说明!A:F,MATCH(I1596,数据元说明!C:C,0),2)</f>
        <v>001016</v>
      </c>
      <c r="K1596" s="68" t="str">
        <f>INDEX(数据元说明!A:F,MATCH(I1596,数据元说明!C:C,0),5)</f>
        <v>姓名。</v>
      </c>
      <c r="L1596" s="69" t="str">
        <f>INDEX(数据元说明!A:F,MATCH(I1596,数据元说明!C:C,0),6)</f>
        <v>C..150</v>
      </c>
      <c r="M1596" s="69" t="s">
        <v>3652</v>
      </c>
      <c r="N1596" s="68" t="s">
        <v>1583</v>
      </c>
      <c r="O1596" s="68" t="s">
        <v>322</v>
      </c>
      <c r="P1596" s="69"/>
    </row>
    <row r="1597" ht="39.95" hidden="1" customHeight="1" spans="1:16">
      <c r="A1597" s="89"/>
      <c r="B1597" s="73"/>
      <c r="C1597" s="73" t="s">
        <v>292</v>
      </c>
      <c r="D1597" s="73" t="s">
        <v>3614</v>
      </c>
      <c r="E1597" s="90">
        <v>1101</v>
      </c>
      <c r="F1597" s="69" t="s">
        <v>3653</v>
      </c>
      <c r="G1597" s="90">
        <v>110120</v>
      </c>
      <c r="H1597" s="69" t="s">
        <v>3654</v>
      </c>
      <c r="I1597" s="69" t="s">
        <v>496</v>
      </c>
      <c r="J1597" s="67" t="str">
        <f>INDEX(数据元说明!A:F,MATCH(I1597,数据元说明!C:C,0),2)</f>
        <v>002003</v>
      </c>
      <c r="K1597" s="68" t="str">
        <f>INDEX(数据元说明!A:F,MATCH(I1597,数据元说明!C:C,0),5)</f>
        <v>与证件类别对应的证件号码。涉及个人身份证件时需按照本规范给定规则进行脱敏处理。</v>
      </c>
      <c r="L1597" s="69" t="str">
        <f>INDEX(数据元说明!A:F,MATCH(I1597,数据元说明!C:C,0),6)</f>
        <v>C..70</v>
      </c>
      <c r="M1597" s="69" t="s">
        <v>3655</v>
      </c>
      <c r="N1597" s="68" t="s">
        <v>1583</v>
      </c>
      <c r="O1597" s="68" t="s">
        <v>322</v>
      </c>
      <c r="P1597" s="69"/>
    </row>
    <row r="1598" ht="39.95" hidden="1" customHeight="1" spans="1:16">
      <c r="A1598" s="89"/>
      <c r="B1598" s="73"/>
      <c r="C1598" s="73" t="s">
        <v>292</v>
      </c>
      <c r="D1598" s="73" t="s">
        <v>3614</v>
      </c>
      <c r="E1598" s="90">
        <v>1101</v>
      </c>
      <c r="F1598" s="69" t="s">
        <v>3656</v>
      </c>
      <c r="G1598" s="90">
        <v>110121</v>
      </c>
      <c r="H1598" s="69" t="s">
        <v>3657</v>
      </c>
      <c r="I1598" s="69" t="s">
        <v>393</v>
      </c>
      <c r="J1598" s="67" t="str">
        <f>INDEX(数据元说明!A:F,MATCH(I1598,数据元说明!C:C,0),2)</f>
        <v>001016</v>
      </c>
      <c r="K1598" s="68" t="str">
        <f>INDEX(数据元说明!A:F,MATCH(I1598,数据元说明!C:C,0),5)</f>
        <v>姓名。</v>
      </c>
      <c r="L1598" s="69" t="str">
        <f>INDEX(数据元说明!A:F,MATCH(I1598,数据元说明!C:C,0),6)</f>
        <v>C..150</v>
      </c>
      <c r="M1598" s="69" t="s">
        <v>3658</v>
      </c>
      <c r="N1598" s="68" t="s">
        <v>1583</v>
      </c>
      <c r="O1598" s="68" t="s">
        <v>1695</v>
      </c>
      <c r="P1598" s="69"/>
    </row>
    <row r="1599" ht="39.95" hidden="1" customHeight="1" spans="1:16">
      <c r="A1599" s="89"/>
      <c r="B1599" s="73"/>
      <c r="C1599" s="73" t="s">
        <v>292</v>
      </c>
      <c r="D1599" s="73" t="s">
        <v>3614</v>
      </c>
      <c r="E1599" s="90">
        <v>1101</v>
      </c>
      <c r="F1599" s="69" t="s">
        <v>3659</v>
      </c>
      <c r="G1599" s="90">
        <v>110122</v>
      </c>
      <c r="H1599" s="69" t="s">
        <v>3660</v>
      </c>
      <c r="I1599" s="69" t="s">
        <v>496</v>
      </c>
      <c r="J1599" s="67" t="str">
        <f>INDEX(数据元说明!A:F,MATCH(I1599,数据元说明!C:C,0),2)</f>
        <v>002003</v>
      </c>
      <c r="K1599" s="68" t="str">
        <f>INDEX(数据元说明!A:F,MATCH(I1599,数据元说明!C:C,0),5)</f>
        <v>与证件类别对应的证件号码。涉及个人身份证件时需按照本规范给定规则进行脱敏处理。</v>
      </c>
      <c r="L1599" s="69" t="str">
        <f>INDEX(数据元说明!A:F,MATCH(I1599,数据元说明!C:C,0),6)</f>
        <v>C..70</v>
      </c>
      <c r="M1599" s="69" t="s">
        <v>3661</v>
      </c>
      <c r="N1599" s="68" t="s">
        <v>1583</v>
      </c>
      <c r="O1599" s="68" t="s">
        <v>1695</v>
      </c>
      <c r="P1599" s="69"/>
    </row>
    <row r="1600" ht="39.95" hidden="1" customHeight="1" spans="1:16">
      <c r="A1600" s="89"/>
      <c r="B1600" s="73"/>
      <c r="C1600" s="73" t="s">
        <v>292</v>
      </c>
      <c r="D1600" s="73" t="s">
        <v>3614</v>
      </c>
      <c r="E1600" s="90">
        <v>1101</v>
      </c>
      <c r="F1600" s="69" t="s">
        <v>1209</v>
      </c>
      <c r="G1600" s="90">
        <v>110123</v>
      </c>
      <c r="H1600" s="69" t="s">
        <v>3662</v>
      </c>
      <c r="I1600" s="69" t="s">
        <v>1209</v>
      </c>
      <c r="J1600" s="144" t="str">
        <f>INDEX(数据元说明!A:F,MATCH(I1600,数据元说明!C:C,0),2)</f>
        <v>010020</v>
      </c>
      <c r="K1600" s="68" t="str">
        <f>INDEX(数据元说明!A:F,MATCH(I1600,数据元说明!C:C,0),5)</f>
        <v>公允价值定价，成本法定价，综合定价。</v>
      </c>
      <c r="L1600" s="69" t="str">
        <f>INDEX(数据元说明!A:F,MATCH(I1600,数据元说明!C:C,0),6)</f>
        <v>C..30</v>
      </c>
      <c r="M1600" s="69" t="s">
        <v>3663</v>
      </c>
      <c r="N1600" s="68"/>
      <c r="O1600" s="68"/>
      <c r="P1600" s="69"/>
    </row>
    <row r="1601" ht="39.95" hidden="1" customHeight="1" spans="1:16">
      <c r="A1601" s="89"/>
      <c r="B1601" s="73"/>
      <c r="C1601" s="73" t="s">
        <v>292</v>
      </c>
      <c r="D1601" s="73" t="s">
        <v>3614</v>
      </c>
      <c r="E1601" s="90">
        <v>1101</v>
      </c>
      <c r="F1601" s="69" t="s">
        <v>3664</v>
      </c>
      <c r="G1601" s="90">
        <v>110124</v>
      </c>
      <c r="H1601" s="69" t="s">
        <v>3665</v>
      </c>
      <c r="I1601" s="69" t="s">
        <v>1333</v>
      </c>
      <c r="J1601" s="144" t="str">
        <f>INDEX(数据元说明!A:F,MATCH(I1601,数据元说明!C:C,0),2)</f>
        <v>010051</v>
      </c>
      <c r="K1601" s="68" t="str">
        <f>INDEX(数据元说明!A:F,MATCH(I1601,数据元说明!C:C,0),5)</f>
        <v>利率，汇率，股票，农产品，大宗商品，贵金属，债券，指数，基金，另类资产，期货，期权，远期，互换，复合金融衍生品，其他。</v>
      </c>
      <c r="L1601" s="69" t="str">
        <f>INDEX(数据元说明!A:F,MATCH(I1601,数据元说明!C:C,0),6)</f>
        <v>C..300</v>
      </c>
      <c r="M1601" s="69"/>
      <c r="N1601" s="68"/>
      <c r="O1601" s="68"/>
      <c r="P1601" s="69"/>
    </row>
    <row r="1602" ht="39.95" hidden="1" customHeight="1" spans="1:16">
      <c r="A1602" s="89"/>
      <c r="B1602" s="73"/>
      <c r="C1602" s="73" t="s">
        <v>292</v>
      </c>
      <c r="D1602" s="73" t="s">
        <v>3614</v>
      </c>
      <c r="E1602" s="90">
        <v>1101</v>
      </c>
      <c r="F1602" s="69" t="s">
        <v>1213</v>
      </c>
      <c r="G1602" s="90">
        <v>110125</v>
      </c>
      <c r="H1602" s="69" t="s">
        <v>3666</v>
      </c>
      <c r="I1602" s="69" t="s">
        <v>1213</v>
      </c>
      <c r="J1602" s="144" t="str">
        <f>INDEX(数据元说明!A:F,MATCH(I1602,数据元说明!C:C,0),2)</f>
        <v>010021</v>
      </c>
      <c r="K1602" s="68" t="str">
        <f>INDEX(数据元说明!A:F,MATCH(I1602,数据元说明!C:C,0),5)</f>
        <v>独立运作，银信，银保，银基，银证，混合类，其他。</v>
      </c>
      <c r="L1602" s="69" t="str">
        <f>INDEX(数据元说明!A:F,MATCH(I1602,数据元说明!C:C,0),6)</f>
        <v>C..30</v>
      </c>
      <c r="M1602" s="69" t="s">
        <v>3667</v>
      </c>
      <c r="N1602" s="68" t="s">
        <v>1583</v>
      </c>
      <c r="O1602" s="68" t="s">
        <v>484</v>
      </c>
      <c r="P1602" s="69" t="s">
        <v>3668</v>
      </c>
    </row>
    <row r="1603" ht="39.95" hidden="1" customHeight="1" spans="1:16">
      <c r="A1603" s="89"/>
      <c r="B1603" s="73"/>
      <c r="C1603" s="73" t="s">
        <v>292</v>
      </c>
      <c r="D1603" s="73" t="s">
        <v>3614</v>
      </c>
      <c r="E1603" s="90">
        <v>1101</v>
      </c>
      <c r="F1603" s="69" t="s">
        <v>3669</v>
      </c>
      <c r="G1603" s="90">
        <v>110126</v>
      </c>
      <c r="H1603" s="69" t="s">
        <v>3670</v>
      </c>
      <c r="I1603" s="69" t="s">
        <v>454</v>
      </c>
      <c r="J1603" s="67" t="str">
        <f>INDEX(数据元说明!A:F,MATCH(I1603,数据元说明!C:C,0),2)</f>
        <v>001031</v>
      </c>
      <c r="K1603" s="68" t="str">
        <f>INDEX(数据元说明!A:F,MATCH(I1603,数据元说明!C:C,0),5)</f>
        <v>多个名称</v>
      </c>
      <c r="L1603" s="69" t="str">
        <f>INDEX(数据元说明!A:F,MATCH(I1603,数据元说明!C:C,0),6)</f>
        <v>C..3000</v>
      </c>
      <c r="M1603" s="69" t="s">
        <v>3671</v>
      </c>
      <c r="N1603" s="68" t="s">
        <v>1583</v>
      </c>
      <c r="O1603" s="68" t="s">
        <v>322</v>
      </c>
      <c r="P1603" s="69"/>
    </row>
    <row r="1604" ht="39.95" hidden="1" customHeight="1" spans="1:16">
      <c r="A1604" s="89"/>
      <c r="B1604" s="73"/>
      <c r="C1604" s="73" t="s">
        <v>292</v>
      </c>
      <c r="D1604" s="73" t="s">
        <v>3614</v>
      </c>
      <c r="E1604" s="90">
        <v>1101</v>
      </c>
      <c r="F1604" s="69" t="s">
        <v>1217</v>
      </c>
      <c r="G1604" s="90">
        <v>110127</v>
      </c>
      <c r="H1604" s="69" t="s">
        <v>3672</v>
      </c>
      <c r="I1604" s="69" t="s">
        <v>1217</v>
      </c>
      <c r="J1604" s="144" t="str">
        <f>INDEX(数据元说明!A:F,MATCH(I1604,数据元说明!C:C,0),2)</f>
        <v>010022</v>
      </c>
      <c r="K1604" s="68" t="str">
        <f>INDEX(数据元说明!A:F,MATCH(I1604,数据元说明!C:C,0),5)</f>
        <v>需按照以下格式填写，例如“10%：股票（二级市场）；10%-20%：公司债券；70%-80%：信贷资产”(百分号、冒号、分号、连字号均为英文半角标点)；百分号前的数字应在[0,100]区间内。</v>
      </c>
      <c r="L1604" s="69" t="str">
        <f>INDEX(数据元说明!A:F,MATCH(I1604,数据元说明!C:C,0),6)</f>
        <v>C..2000</v>
      </c>
      <c r="M1604" s="69"/>
      <c r="N1604" s="68"/>
      <c r="O1604" s="68"/>
      <c r="P1604" s="69"/>
    </row>
    <row r="1605" ht="39.95" hidden="1" customHeight="1" spans="1:16">
      <c r="A1605" s="89"/>
      <c r="B1605" s="73"/>
      <c r="C1605" s="73" t="s">
        <v>292</v>
      </c>
      <c r="D1605" s="73" t="s">
        <v>3614</v>
      </c>
      <c r="E1605" s="90">
        <v>1101</v>
      </c>
      <c r="F1605" s="69" t="s">
        <v>3673</v>
      </c>
      <c r="G1605" s="90">
        <v>110128</v>
      </c>
      <c r="H1605" s="69" t="s">
        <v>3674</v>
      </c>
      <c r="I1605" s="69" t="s">
        <v>459</v>
      </c>
      <c r="J1605" s="67" t="str">
        <f>INDEX(数据元说明!A:F,MATCH(I1605,数据元说明!C:C,0),2)</f>
        <v>001032</v>
      </c>
      <c r="K1605" s="68" t="str">
        <f>INDEX(数据元说明!A:F,MATCH(I1605,数据元说明!C:C,0),5)</f>
        <v>多个代码</v>
      </c>
      <c r="L1605" s="69" t="str">
        <f>INDEX(数据元说明!A:F,MATCH(I1605,数据元说明!C:C,0),6)</f>
        <v>C..600</v>
      </c>
      <c r="M1605" s="69" t="s">
        <v>3675</v>
      </c>
      <c r="N1605" s="68" t="s">
        <v>1583</v>
      </c>
      <c r="O1605" s="68" t="s">
        <v>322</v>
      </c>
      <c r="P1605" s="69"/>
    </row>
    <row r="1606" ht="39.95" hidden="1" customHeight="1" spans="1:16">
      <c r="A1606" s="89"/>
      <c r="B1606" s="73"/>
      <c r="C1606" s="73" t="s">
        <v>292</v>
      </c>
      <c r="D1606" s="73" t="s">
        <v>3614</v>
      </c>
      <c r="E1606" s="90">
        <v>1101</v>
      </c>
      <c r="F1606" s="69" t="s">
        <v>3676</v>
      </c>
      <c r="G1606" s="90">
        <v>110129</v>
      </c>
      <c r="H1606" s="69" t="s">
        <v>3677</v>
      </c>
      <c r="I1606" s="69" t="s">
        <v>459</v>
      </c>
      <c r="J1606" s="67" t="str">
        <f>INDEX(数据元说明!A:F,MATCH(I1606,数据元说明!C:C,0),2)</f>
        <v>001032</v>
      </c>
      <c r="K1606" s="68" t="str">
        <f>INDEX(数据元说明!A:F,MATCH(I1606,数据元说明!C:C,0),5)</f>
        <v>多个代码</v>
      </c>
      <c r="L1606" s="69" t="str">
        <f>INDEX(数据元说明!A:F,MATCH(I1606,数据元说明!C:C,0),6)</f>
        <v>C..600</v>
      </c>
      <c r="M1606" s="69" t="s">
        <v>3678</v>
      </c>
      <c r="N1606" s="68" t="s">
        <v>1583</v>
      </c>
      <c r="O1606" s="68" t="s">
        <v>322</v>
      </c>
      <c r="P1606" s="69"/>
    </row>
    <row r="1607" ht="39.95" hidden="1" customHeight="1" spans="1:16">
      <c r="A1607" s="89"/>
      <c r="B1607" s="73"/>
      <c r="C1607" s="73" t="s">
        <v>292</v>
      </c>
      <c r="D1607" s="73" t="s">
        <v>3614</v>
      </c>
      <c r="E1607" s="90">
        <v>1101</v>
      </c>
      <c r="F1607" s="69" t="s">
        <v>3679</v>
      </c>
      <c r="G1607" s="90">
        <v>110130</v>
      </c>
      <c r="H1607" s="69" t="s">
        <v>3680</v>
      </c>
      <c r="I1607" s="69" t="s">
        <v>459</v>
      </c>
      <c r="J1607" s="67" t="str">
        <f>INDEX(数据元说明!A:F,MATCH(I1607,数据元说明!C:C,0),2)</f>
        <v>001032</v>
      </c>
      <c r="K1607" s="68" t="str">
        <f>INDEX(数据元说明!A:F,MATCH(I1607,数据元说明!C:C,0),5)</f>
        <v>多个代码</v>
      </c>
      <c r="L1607" s="69" t="str">
        <f>INDEX(数据元说明!A:F,MATCH(I1607,数据元说明!C:C,0),6)</f>
        <v>C..600</v>
      </c>
      <c r="M1607" s="69" t="s">
        <v>3678</v>
      </c>
      <c r="N1607" s="68" t="s">
        <v>1583</v>
      </c>
      <c r="O1607" s="68" t="s">
        <v>322</v>
      </c>
      <c r="P1607" s="69"/>
    </row>
    <row r="1608" ht="39.95" hidden="1" customHeight="1" spans="1:16">
      <c r="A1608" s="89"/>
      <c r="B1608" s="73"/>
      <c r="C1608" s="73" t="s">
        <v>292</v>
      </c>
      <c r="D1608" s="73" t="s">
        <v>3614</v>
      </c>
      <c r="E1608" s="90">
        <v>1101</v>
      </c>
      <c r="F1608" s="69" t="s">
        <v>3681</v>
      </c>
      <c r="G1608" s="90">
        <v>110131</v>
      </c>
      <c r="H1608" s="69" t="s">
        <v>3682</v>
      </c>
      <c r="I1608" s="69" t="s">
        <v>1230</v>
      </c>
      <c r="J1608" s="144" t="str">
        <f>INDEX(数据元说明!A:F,MATCH(I1608,数据元说明!C:C,0),2)</f>
        <v>010025</v>
      </c>
      <c r="K1608" s="68" t="str">
        <f>INDEX(数据元说明!A:F,MATCH(I1608,数据元说明!C:C,0),5)</f>
        <v>T+N（N为数字）</v>
      </c>
      <c r="L1608" s="69" t="str">
        <f>INDEX(数据元说明!A:F,MATCH(I1608,数据元说明!C:C,0),6)</f>
        <v>C..20</v>
      </c>
      <c r="M1608" s="69" t="s">
        <v>3683</v>
      </c>
      <c r="N1608" s="68" t="s">
        <v>1583</v>
      </c>
      <c r="O1608" s="68" t="s">
        <v>322</v>
      </c>
      <c r="P1608" s="69"/>
    </row>
    <row r="1609" ht="39.95" hidden="1" customHeight="1" spans="1:16">
      <c r="A1609" s="89"/>
      <c r="B1609" s="73"/>
      <c r="C1609" s="73" t="s">
        <v>292</v>
      </c>
      <c r="D1609" s="73" t="s">
        <v>3614</v>
      </c>
      <c r="E1609" s="90">
        <v>1101</v>
      </c>
      <c r="F1609" s="69" t="s">
        <v>3684</v>
      </c>
      <c r="G1609" s="90">
        <v>110132</v>
      </c>
      <c r="H1609" s="69" t="s">
        <v>3685</v>
      </c>
      <c r="I1609" s="69" t="s">
        <v>1230</v>
      </c>
      <c r="J1609" s="144" t="str">
        <f>INDEX(数据元说明!A:F,MATCH(I1609,数据元说明!C:C,0),2)</f>
        <v>010025</v>
      </c>
      <c r="K1609" s="68" t="str">
        <f>INDEX(数据元说明!A:F,MATCH(I1609,数据元说明!C:C,0),5)</f>
        <v>T+N（N为数字）</v>
      </c>
      <c r="L1609" s="69" t="str">
        <f>INDEX(数据元说明!A:F,MATCH(I1609,数据元说明!C:C,0),6)</f>
        <v>C..20</v>
      </c>
      <c r="M1609" s="69" t="s">
        <v>3686</v>
      </c>
      <c r="N1609" s="68" t="s">
        <v>1583</v>
      </c>
      <c r="O1609" s="68" t="s">
        <v>322</v>
      </c>
      <c r="P1609" s="69"/>
    </row>
    <row r="1610" ht="39.95" hidden="1" customHeight="1" spans="1:16">
      <c r="A1610" s="89"/>
      <c r="B1610" s="73"/>
      <c r="C1610" s="73" t="s">
        <v>292</v>
      </c>
      <c r="D1610" s="73" t="s">
        <v>3614</v>
      </c>
      <c r="E1610" s="90">
        <v>1101</v>
      </c>
      <c r="F1610" s="69" t="s">
        <v>3687</v>
      </c>
      <c r="G1610" s="90">
        <v>110133</v>
      </c>
      <c r="H1610" s="69" t="s">
        <v>3688</v>
      </c>
      <c r="I1610" s="69" t="s">
        <v>330</v>
      </c>
      <c r="J1610" s="67" t="str">
        <f>INDEX(数据元说明!A:F,MATCH(I1610,数据元说明!C:C,0),2)</f>
        <v>001002</v>
      </c>
      <c r="K1610" s="68" t="str">
        <f>INDEX(数据元说明!A:F,MATCH(I1610,数据元说明!C:C,0),5)</f>
        <v>是，否。</v>
      </c>
      <c r="L1610" s="69" t="str">
        <f>INDEX(数据元说明!A:F,MATCH(I1610,数据元说明!C:C,0),6)</f>
        <v>C3</v>
      </c>
      <c r="M1610" s="69" t="s">
        <v>3689</v>
      </c>
      <c r="N1610" s="68"/>
      <c r="O1610" s="68"/>
      <c r="P1610" s="69"/>
    </row>
    <row r="1611" ht="39.95" hidden="1" customHeight="1" spans="1:16">
      <c r="A1611" s="89"/>
      <c r="B1611" s="73"/>
      <c r="C1611" s="73" t="s">
        <v>292</v>
      </c>
      <c r="D1611" s="73" t="s">
        <v>3614</v>
      </c>
      <c r="E1611" s="90">
        <v>1101</v>
      </c>
      <c r="F1611" s="69" t="s">
        <v>3690</v>
      </c>
      <c r="G1611" s="90">
        <v>110134</v>
      </c>
      <c r="H1611" s="69" t="s">
        <v>3691</v>
      </c>
      <c r="I1611" s="69" t="s">
        <v>330</v>
      </c>
      <c r="J1611" s="67" t="str">
        <f>INDEX(数据元说明!A:F,MATCH(I1611,数据元说明!C:C,0),2)</f>
        <v>001002</v>
      </c>
      <c r="K1611" s="68" t="str">
        <f>INDEX(数据元说明!A:F,MATCH(I1611,数据元说明!C:C,0),5)</f>
        <v>是，否。</v>
      </c>
      <c r="L1611" s="69" t="str">
        <f>INDEX(数据元说明!A:F,MATCH(I1611,数据元说明!C:C,0),6)</f>
        <v>C3</v>
      </c>
      <c r="M1611" s="69" t="s">
        <v>3692</v>
      </c>
      <c r="N1611" s="68"/>
      <c r="O1611" s="68"/>
      <c r="P1611" s="69"/>
    </row>
    <row r="1612" ht="39.95" hidden="1" customHeight="1" spans="1:16">
      <c r="A1612" s="89"/>
      <c r="B1612" s="73"/>
      <c r="C1612" s="73" t="s">
        <v>292</v>
      </c>
      <c r="D1612" s="73" t="s">
        <v>3614</v>
      </c>
      <c r="E1612" s="90">
        <v>1101</v>
      </c>
      <c r="F1612" s="69" t="s">
        <v>3693</v>
      </c>
      <c r="G1612" s="90">
        <v>110135</v>
      </c>
      <c r="H1612" s="69" t="s">
        <v>3694</v>
      </c>
      <c r="I1612" s="69" t="s">
        <v>330</v>
      </c>
      <c r="J1612" s="67" t="str">
        <f>INDEX(数据元说明!A:F,MATCH(I1612,数据元说明!C:C,0),2)</f>
        <v>001002</v>
      </c>
      <c r="K1612" s="68" t="str">
        <f>INDEX(数据元说明!A:F,MATCH(I1612,数据元说明!C:C,0),5)</f>
        <v>是，否。</v>
      </c>
      <c r="L1612" s="69" t="str">
        <f>INDEX(数据元说明!A:F,MATCH(I1612,数据元说明!C:C,0),6)</f>
        <v>C3</v>
      </c>
      <c r="M1612" s="69" t="s">
        <v>3689</v>
      </c>
      <c r="N1612" s="68"/>
      <c r="O1612" s="68"/>
      <c r="P1612" s="69"/>
    </row>
    <row r="1613" ht="39.95" hidden="1" customHeight="1" spans="1:16">
      <c r="A1613" s="89"/>
      <c r="B1613" s="73"/>
      <c r="C1613" s="73" t="s">
        <v>292</v>
      </c>
      <c r="D1613" s="73" t="s">
        <v>3614</v>
      </c>
      <c r="E1613" s="90">
        <v>1101</v>
      </c>
      <c r="F1613" s="69" t="s">
        <v>1226</v>
      </c>
      <c r="G1613" s="90">
        <v>110136</v>
      </c>
      <c r="H1613" s="69" t="s">
        <v>3695</v>
      </c>
      <c r="I1613" s="69" t="s">
        <v>1226</v>
      </c>
      <c r="J1613" s="144" t="str">
        <f>INDEX(数据元说明!A:F,MATCH(I1613,数据元说明!C:C,0),2)</f>
        <v>010024</v>
      </c>
      <c r="K1613" s="68" t="str">
        <f>INDEX(数据元说明!A:F,MATCH(I1613,数据元说明!C:C,0),5)</f>
        <v>内部增级，外部增级，内外增级。</v>
      </c>
      <c r="L1613" s="69" t="str">
        <f>INDEX(数据元说明!A:F,MATCH(I1613,数据元说明!C:C,0),6)</f>
        <v>C12</v>
      </c>
      <c r="M1613" s="69" t="s">
        <v>3696</v>
      </c>
      <c r="N1613" s="68"/>
      <c r="O1613" s="68"/>
      <c r="P1613" s="69"/>
    </row>
    <row r="1614" ht="39.95" hidden="1" customHeight="1" spans="1:16">
      <c r="A1614" s="89"/>
      <c r="B1614" s="73"/>
      <c r="C1614" s="73" t="s">
        <v>292</v>
      </c>
      <c r="D1614" s="73" t="s">
        <v>3614</v>
      </c>
      <c r="E1614" s="90">
        <v>1101</v>
      </c>
      <c r="F1614" s="69" t="s">
        <v>3697</v>
      </c>
      <c r="G1614" s="90">
        <v>110137</v>
      </c>
      <c r="H1614" s="69" t="s">
        <v>3698</v>
      </c>
      <c r="I1614" s="69" t="s">
        <v>330</v>
      </c>
      <c r="J1614" s="67" t="str">
        <f>INDEX(数据元说明!A:F,MATCH(I1614,数据元说明!C:C,0),2)</f>
        <v>001002</v>
      </c>
      <c r="K1614" s="68" t="str">
        <f>INDEX(数据元说明!A:F,MATCH(I1614,数据元说明!C:C,0),5)</f>
        <v>是，否。</v>
      </c>
      <c r="L1614" s="69" t="str">
        <f>INDEX(数据元说明!A:F,MATCH(I1614,数据元说明!C:C,0),6)</f>
        <v>C3</v>
      </c>
      <c r="M1614" s="69"/>
      <c r="N1614" s="68"/>
      <c r="O1614" s="68"/>
      <c r="P1614" s="69"/>
    </row>
    <row r="1615" ht="39.95" hidden="1" customHeight="1" spans="1:16">
      <c r="A1615" s="89"/>
      <c r="B1615" s="73"/>
      <c r="C1615" s="73" t="s">
        <v>292</v>
      </c>
      <c r="D1615" s="73" t="s">
        <v>3614</v>
      </c>
      <c r="E1615" s="90">
        <v>1101</v>
      </c>
      <c r="F1615" s="69" t="s">
        <v>1398</v>
      </c>
      <c r="G1615" s="90">
        <v>110138</v>
      </c>
      <c r="H1615" s="69" t="s">
        <v>3699</v>
      </c>
      <c r="I1615" s="69" t="s">
        <v>1398</v>
      </c>
      <c r="J1615" s="144" t="str">
        <f>INDEX(数据元说明!A:F,MATCH(I1615,数据元说明!C:C,0),2)</f>
        <v>010067</v>
      </c>
      <c r="K1615" s="68" t="str">
        <f>INDEX(数据元说明!A:F,MATCH(I1615,数据元说明!C:C,0),5)</f>
        <v>优先层级一，优先层级二，优先层级三，优先层级四，优先层级五，进取层级一，进取层级二，进取层级三，进取层级四，进取层级五。</v>
      </c>
      <c r="L1615" s="69" t="str">
        <f>INDEX(数据元说明!A:F,MATCH(I1615,数据元说明!C:C,0),6)</f>
        <v>C..30</v>
      </c>
      <c r="M1615" s="69"/>
      <c r="N1615" s="68"/>
      <c r="O1615" s="68"/>
      <c r="P1615" s="69"/>
    </row>
    <row r="1616" ht="39.95" hidden="1" customHeight="1" spans="1:16">
      <c r="A1616" s="89"/>
      <c r="B1616" s="73"/>
      <c r="C1616" s="73" t="s">
        <v>292</v>
      </c>
      <c r="D1616" s="73" t="s">
        <v>3614</v>
      </c>
      <c r="E1616" s="90">
        <v>1101</v>
      </c>
      <c r="F1616" s="69" t="s">
        <v>3700</v>
      </c>
      <c r="G1616" s="90">
        <v>110139</v>
      </c>
      <c r="H1616" s="69" t="s">
        <v>3701</v>
      </c>
      <c r="I1616" s="69" t="s">
        <v>1430</v>
      </c>
      <c r="J1616" s="144" t="str">
        <f>INDEX(数据元说明!A:F,MATCH(I1616,数据元说明!C:C,0),2)</f>
        <v>010075</v>
      </c>
      <c r="K1616" s="68" t="str">
        <f>INDEX(数据元说明!A:F,MATCH(I1616,数据元说明!C:C,0),5)</f>
        <v>发行机构自定义。</v>
      </c>
      <c r="L1616" s="69" t="str">
        <f>INDEX(数据元说明!A:F,MATCH(I1616,数据元说明!C:C,0),6)</f>
        <v>C..600</v>
      </c>
      <c r="M1616" s="69"/>
      <c r="N1616" s="68" t="s">
        <v>1583</v>
      </c>
      <c r="O1616" s="68" t="s">
        <v>322</v>
      </c>
      <c r="P1616" s="69"/>
    </row>
    <row r="1617" ht="39.95" hidden="1" customHeight="1" spans="1:16">
      <c r="A1617" s="89"/>
      <c r="B1617" s="73"/>
      <c r="C1617" s="73" t="s">
        <v>292</v>
      </c>
      <c r="D1617" s="73" t="s">
        <v>3614</v>
      </c>
      <c r="E1617" s="90">
        <v>1101</v>
      </c>
      <c r="F1617" s="69" t="s">
        <v>1305</v>
      </c>
      <c r="G1617" s="90">
        <v>110140</v>
      </c>
      <c r="H1617" s="69" t="s">
        <v>3702</v>
      </c>
      <c r="I1617" s="69" t="s">
        <v>1305</v>
      </c>
      <c r="J1617" s="144" t="str">
        <f>INDEX(数据元说明!A:F,MATCH(I1617,数据元说明!C:C,0),2)</f>
        <v>010044</v>
      </c>
      <c r="K1617" s="68" t="str">
        <f>INDEX(数据元说明!A:F,MATCH(I1617,数据元说明!C:C,0),5)</f>
        <v>有规律开放，无规律开放。</v>
      </c>
      <c r="L1617" s="69" t="str">
        <f>INDEX(数据元说明!A:F,MATCH(I1617,数据元说明!C:C,0),6)</f>
        <v>C..30</v>
      </c>
      <c r="M1617" s="69" t="s">
        <v>3703</v>
      </c>
      <c r="N1617" s="68"/>
      <c r="O1617" s="68"/>
      <c r="P1617" s="69"/>
    </row>
    <row r="1618" ht="39.95" hidden="1" customHeight="1" spans="1:16">
      <c r="A1618" s="89"/>
      <c r="B1618" s="73"/>
      <c r="C1618" s="73" t="s">
        <v>292</v>
      </c>
      <c r="D1618" s="73" t="s">
        <v>3614</v>
      </c>
      <c r="E1618" s="90">
        <v>1101</v>
      </c>
      <c r="F1618" s="69" t="s">
        <v>1309</v>
      </c>
      <c r="G1618" s="90">
        <v>110141</v>
      </c>
      <c r="H1618" s="69" t="s">
        <v>3704</v>
      </c>
      <c r="I1618" s="69" t="s">
        <v>1309</v>
      </c>
      <c r="J1618" s="144" t="str">
        <f>INDEX(数据元说明!A:F,MATCH(I1618,数据元说明!C:C,0),2)</f>
        <v>010045</v>
      </c>
      <c r="K1618" s="68" t="str">
        <f>INDEX(数据元说明!A:F,MATCH(I1618,数据元说明!C:C,0),5)</f>
        <v>每天开放，每周开放一次，每两周开放一次，每月开放一次，每季度开放一次，每半年开放一次，每年开放一次，其他规律开放周期。</v>
      </c>
      <c r="L1618" s="69" t="str">
        <f>INDEX(数据元说明!A:F,MATCH(I1618,数据元说明!C:C,0),6)</f>
        <v>C..30</v>
      </c>
      <c r="M1618" s="69" t="s">
        <v>3705</v>
      </c>
      <c r="N1618" s="68"/>
      <c r="O1618" s="68"/>
      <c r="P1618" s="69"/>
    </row>
    <row r="1619" ht="39.95" hidden="1" customHeight="1" spans="1:16">
      <c r="A1619" s="89"/>
      <c r="B1619" s="73"/>
      <c r="C1619" s="73" t="s">
        <v>292</v>
      </c>
      <c r="D1619" s="73" t="s">
        <v>3614</v>
      </c>
      <c r="E1619" s="90">
        <v>1101</v>
      </c>
      <c r="F1619" s="69" t="s">
        <v>3706</v>
      </c>
      <c r="G1619" s="90">
        <v>110142</v>
      </c>
      <c r="H1619" s="69" t="s">
        <v>3707</v>
      </c>
      <c r="I1619" s="69" t="s">
        <v>1313</v>
      </c>
      <c r="J1619" s="144" t="str">
        <f>INDEX(数据元说明!A:F,MATCH(I1619,数据元说明!C:C,0),2)</f>
        <v>010046</v>
      </c>
      <c r="K1619" s="68" t="str">
        <f>INDEX(数据元说明!A:F,MATCH(I1619,数据元说明!C:C,0),5)</f>
        <v>以天为单位计的时间长度。</v>
      </c>
      <c r="L1619" s="69" t="str">
        <f>INDEX(数据元说明!A:F,MATCH(I1619,数据元说明!C:C,0),6)</f>
        <v>I</v>
      </c>
      <c r="M1619" s="69" t="s">
        <v>3708</v>
      </c>
      <c r="N1619" s="68" t="s">
        <v>1583</v>
      </c>
      <c r="O1619" s="68" t="s">
        <v>322</v>
      </c>
      <c r="P1619" s="69"/>
    </row>
    <row r="1620" ht="39.95" hidden="1" customHeight="1" spans="1:16">
      <c r="A1620" s="89"/>
      <c r="B1620" s="73"/>
      <c r="C1620" s="73" t="s">
        <v>292</v>
      </c>
      <c r="D1620" s="73" t="s">
        <v>3614</v>
      </c>
      <c r="E1620" s="90">
        <v>1101</v>
      </c>
      <c r="F1620" s="69" t="s">
        <v>3709</v>
      </c>
      <c r="G1620" s="90">
        <v>110143</v>
      </c>
      <c r="H1620" s="69" t="s">
        <v>3710</v>
      </c>
      <c r="I1620" s="69" t="s">
        <v>330</v>
      </c>
      <c r="J1620" s="67" t="str">
        <f>INDEX(数据元说明!A:F,MATCH(I1620,数据元说明!C:C,0),2)</f>
        <v>001002</v>
      </c>
      <c r="K1620" s="68" t="str">
        <f>INDEX(数据元说明!A:F,MATCH(I1620,数据元说明!C:C,0),5)</f>
        <v>是，否。</v>
      </c>
      <c r="L1620" s="69" t="str">
        <f>INDEX(数据元说明!A:F,MATCH(I1620,数据元说明!C:C,0),6)</f>
        <v>C3</v>
      </c>
      <c r="M1620" s="69" t="s">
        <v>3711</v>
      </c>
      <c r="N1620" s="68"/>
      <c r="O1620" s="68"/>
      <c r="P1620" s="69"/>
    </row>
    <row r="1621" ht="39.95" hidden="1" customHeight="1" spans="1:16">
      <c r="A1621" s="89"/>
      <c r="B1621" s="73"/>
      <c r="C1621" s="73" t="s">
        <v>292</v>
      </c>
      <c r="D1621" s="73" t="s">
        <v>3614</v>
      </c>
      <c r="E1621" s="90">
        <v>1101</v>
      </c>
      <c r="F1621" s="69" t="s">
        <v>1317</v>
      </c>
      <c r="G1621" s="90">
        <v>110144</v>
      </c>
      <c r="H1621" s="69" t="s">
        <v>3712</v>
      </c>
      <c r="I1621" s="69" t="s">
        <v>1317</v>
      </c>
      <c r="J1621" s="144" t="str">
        <f>INDEX(数据元说明!A:F,MATCH(I1621,数据元说明!C:C,0),2)</f>
        <v>010047</v>
      </c>
      <c r="K1621" s="68" t="str">
        <f>INDEX(数据元说明!A:F,MATCH(I1621,数据元说明!C:C,0),5)</f>
        <v>在一个年度内开放的次数。</v>
      </c>
      <c r="L1621" s="69" t="str">
        <f>INDEX(数据元说明!A:F,MATCH(I1621,数据元说明!C:C,0),6)</f>
        <v>D20.2</v>
      </c>
      <c r="M1621" s="69" t="s">
        <v>3713</v>
      </c>
      <c r="N1621" s="68"/>
      <c r="O1621" s="68"/>
      <c r="P1621" s="69"/>
    </row>
    <row r="1622" ht="39.95" hidden="1" customHeight="1" spans="1:16">
      <c r="A1622" s="89"/>
      <c r="B1622" s="73"/>
      <c r="C1622" s="73" t="s">
        <v>292</v>
      </c>
      <c r="D1622" s="73" t="s">
        <v>3614</v>
      </c>
      <c r="E1622" s="90">
        <v>1101</v>
      </c>
      <c r="F1622" s="69" t="s">
        <v>1321</v>
      </c>
      <c r="G1622" s="90">
        <v>110145</v>
      </c>
      <c r="H1622" s="69" t="s">
        <v>3714</v>
      </c>
      <c r="I1622" s="69" t="s">
        <v>1321</v>
      </c>
      <c r="J1622" s="144" t="str">
        <f>INDEX(数据元说明!A:F,MATCH(I1622,数据元说明!C:C,0),2)</f>
        <v>010048</v>
      </c>
      <c r="K1622" s="68" t="str">
        <f>INDEX(数据元说明!A:F,MATCH(I1622,数据元说明!C:C,0),5)</f>
        <v>申赎皆可，仅可申购无限制，仅可赎回无限制，仅可申购有限制，仅可赎回有限制，其他。</v>
      </c>
      <c r="L1622" s="69" t="str">
        <f>INDEX(数据元说明!A:F,MATCH(I1622,数据元说明!C:C,0),6)</f>
        <v>C..30</v>
      </c>
      <c r="M1622" s="69" t="s">
        <v>3715</v>
      </c>
      <c r="N1622" s="68" t="s">
        <v>1583</v>
      </c>
      <c r="O1622" s="68" t="s">
        <v>2888</v>
      </c>
      <c r="P1622" s="69"/>
    </row>
    <row r="1623" ht="39.95" hidden="1" customHeight="1" spans="1:16">
      <c r="A1623" s="89"/>
      <c r="B1623" s="73"/>
      <c r="C1623" s="73" t="s">
        <v>292</v>
      </c>
      <c r="D1623" s="73" t="s">
        <v>3614</v>
      </c>
      <c r="E1623" s="90">
        <v>1101</v>
      </c>
      <c r="F1623" s="69" t="s">
        <v>3716</v>
      </c>
      <c r="G1623" s="90">
        <v>110146</v>
      </c>
      <c r="H1623" s="69" t="s">
        <v>3717</v>
      </c>
      <c r="I1623" s="69" t="s">
        <v>345</v>
      </c>
      <c r="J1623" s="67" t="str">
        <f>INDEX(数据元说明!A:F,MATCH(I1623,数据元说明!C:C,0),2)</f>
        <v>001005</v>
      </c>
      <c r="K1623" s="68" t="str">
        <f>INDEX(数据元说明!A:F,MATCH(I1623,数据元说明!C:C,0),5)</f>
        <v>YYYYMMDD，默认值99991231。</v>
      </c>
      <c r="L1623" s="69" t="str">
        <f>INDEX(数据元说明!A:F,MATCH(I1623,数据元说明!C:C,0),6)</f>
        <v>C8</v>
      </c>
      <c r="M1623" s="69" t="s">
        <v>3718</v>
      </c>
      <c r="N1623" s="68" t="s">
        <v>1583</v>
      </c>
      <c r="O1623" s="68" t="s">
        <v>484</v>
      </c>
      <c r="P1623" s="69"/>
    </row>
    <row r="1624" ht="39.95" hidden="1" customHeight="1" spans="1:16">
      <c r="A1624" s="89"/>
      <c r="B1624" s="73"/>
      <c r="C1624" s="73" t="s">
        <v>292</v>
      </c>
      <c r="D1624" s="73" t="s">
        <v>3614</v>
      </c>
      <c r="E1624" s="90">
        <v>1101</v>
      </c>
      <c r="F1624" s="69" t="s">
        <v>3719</v>
      </c>
      <c r="G1624" s="90">
        <v>110147</v>
      </c>
      <c r="H1624" s="69" t="s">
        <v>3720</v>
      </c>
      <c r="I1624" s="69" t="s">
        <v>345</v>
      </c>
      <c r="J1624" s="67" t="str">
        <f>INDEX(数据元说明!A:F,MATCH(I1624,数据元说明!C:C,0),2)</f>
        <v>001005</v>
      </c>
      <c r="K1624" s="68" t="str">
        <f>INDEX(数据元说明!A:F,MATCH(I1624,数据元说明!C:C,0),5)</f>
        <v>YYYYMMDD，默认值99991231。</v>
      </c>
      <c r="L1624" s="69" t="str">
        <f>INDEX(数据元说明!A:F,MATCH(I1624,数据元说明!C:C,0),6)</f>
        <v>C8</v>
      </c>
      <c r="M1624" s="69" t="s">
        <v>3721</v>
      </c>
      <c r="N1624" s="68" t="s">
        <v>1583</v>
      </c>
      <c r="O1624" s="68" t="s">
        <v>484</v>
      </c>
      <c r="P1624" s="69"/>
    </row>
    <row r="1625" ht="39.95" hidden="1" customHeight="1" spans="1:16">
      <c r="A1625" s="89"/>
      <c r="B1625" s="73"/>
      <c r="C1625" s="73" t="s">
        <v>292</v>
      </c>
      <c r="D1625" s="73" t="s">
        <v>3614</v>
      </c>
      <c r="E1625" s="90">
        <v>1101</v>
      </c>
      <c r="F1625" s="69" t="s">
        <v>3722</v>
      </c>
      <c r="G1625" s="90">
        <v>110148</v>
      </c>
      <c r="H1625" s="69" t="s">
        <v>3723</v>
      </c>
      <c r="I1625" s="69" t="s">
        <v>345</v>
      </c>
      <c r="J1625" s="67" t="str">
        <f>INDEX(数据元说明!A:F,MATCH(I1625,数据元说明!C:C,0),2)</f>
        <v>001005</v>
      </c>
      <c r="K1625" s="68" t="str">
        <f>INDEX(数据元说明!A:F,MATCH(I1625,数据元说明!C:C,0),5)</f>
        <v>YYYYMMDD，默认值99991231。</v>
      </c>
      <c r="L1625" s="69" t="str">
        <f>INDEX(数据元说明!A:F,MATCH(I1625,数据元说明!C:C,0),6)</f>
        <v>C8</v>
      </c>
      <c r="M1625" s="69" t="s">
        <v>3724</v>
      </c>
      <c r="N1625" s="68"/>
      <c r="O1625" s="68"/>
      <c r="P1625" s="69"/>
    </row>
    <row r="1626" ht="39.95" hidden="1" customHeight="1" spans="1:16">
      <c r="A1626" s="89"/>
      <c r="B1626" s="73"/>
      <c r="C1626" s="73" t="s">
        <v>292</v>
      </c>
      <c r="D1626" s="73" t="s">
        <v>3614</v>
      </c>
      <c r="E1626" s="90">
        <v>1101</v>
      </c>
      <c r="F1626" s="69" t="s">
        <v>3725</v>
      </c>
      <c r="G1626" s="90">
        <v>110149</v>
      </c>
      <c r="H1626" s="69" t="s">
        <v>3726</v>
      </c>
      <c r="I1626" s="69" t="s">
        <v>345</v>
      </c>
      <c r="J1626" s="67" t="str">
        <f>INDEX(数据元说明!A:F,MATCH(I1626,数据元说明!C:C,0),2)</f>
        <v>001005</v>
      </c>
      <c r="K1626" s="68" t="str">
        <f>INDEX(数据元说明!A:F,MATCH(I1626,数据元说明!C:C,0),5)</f>
        <v>YYYYMMDD，默认值99991231。</v>
      </c>
      <c r="L1626" s="69" t="str">
        <f>INDEX(数据元说明!A:F,MATCH(I1626,数据元说明!C:C,0),6)</f>
        <v>C8</v>
      </c>
      <c r="M1626" s="69" t="s">
        <v>3727</v>
      </c>
      <c r="N1626" s="68"/>
      <c r="O1626" s="68"/>
      <c r="P1626" s="69"/>
    </row>
    <row r="1627" ht="39.95" hidden="1" customHeight="1" spans="1:16">
      <c r="A1627" s="89"/>
      <c r="B1627" s="73"/>
      <c r="C1627" s="73" t="s">
        <v>292</v>
      </c>
      <c r="D1627" s="73" t="s">
        <v>3614</v>
      </c>
      <c r="E1627" s="90">
        <v>1101</v>
      </c>
      <c r="F1627" s="69" t="s">
        <v>3728</v>
      </c>
      <c r="G1627" s="90">
        <v>110150</v>
      </c>
      <c r="H1627" s="69" t="s">
        <v>3729</v>
      </c>
      <c r="I1627" s="69" t="s">
        <v>345</v>
      </c>
      <c r="J1627" s="67" t="str">
        <f>INDEX(数据元说明!A:F,MATCH(I1627,数据元说明!C:C,0),2)</f>
        <v>001005</v>
      </c>
      <c r="K1627" s="68" t="str">
        <f>INDEX(数据元说明!A:F,MATCH(I1627,数据元说明!C:C,0),5)</f>
        <v>YYYYMMDD，默认值99991231。</v>
      </c>
      <c r="L1627" s="69" t="str">
        <f>INDEX(数据元说明!A:F,MATCH(I1627,数据元说明!C:C,0),6)</f>
        <v>C8</v>
      </c>
      <c r="M1627" s="69" t="s">
        <v>3730</v>
      </c>
      <c r="N1627" s="68"/>
      <c r="O1627" s="68"/>
      <c r="P1627" s="69"/>
    </row>
    <row r="1628" ht="39.95" hidden="1" customHeight="1" spans="1:16">
      <c r="A1628" s="89"/>
      <c r="B1628" s="73"/>
      <c r="C1628" s="73" t="s">
        <v>292</v>
      </c>
      <c r="D1628" s="73" t="s">
        <v>3614</v>
      </c>
      <c r="E1628" s="90">
        <v>1101</v>
      </c>
      <c r="F1628" s="69" t="s">
        <v>3731</v>
      </c>
      <c r="G1628" s="90">
        <v>110151</v>
      </c>
      <c r="H1628" s="69" t="s">
        <v>3732</v>
      </c>
      <c r="I1628" s="69" t="s">
        <v>345</v>
      </c>
      <c r="J1628" s="67" t="str">
        <f>INDEX(数据元说明!A:F,MATCH(I1628,数据元说明!C:C,0),2)</f>
        <v>001005</v>
      </c>
      <c r="K1628" s="68" t="str">
        <f>INDEX(数据元说明!A:F,MATCH(I1628,数据元说明!C:C,0),5)</f>
        <v>YYYYMMDD，默认值99991231。</v>
      </c>
      <c r="L1628" s="69" t="str">
        <f>INDEX(数据元说明!A:F,MATCH(I1628,数据元说明!C:C,0),6)</f>
        <v>C8</v>
      </c>
      <c r="M1628" s="69" t="s">
        <v>3733</v>
      </c>
      <c r="N1628" s="68" t="s">
        <v>1583</v>
      </c>
      <c r="O1628" s="68" t="s">
        <v>1745</v>
      </c>
      <c r="P1628" s="69"/>
    </row>
    <row r="1629" ht="39.95" hidden="1" customHeight="1" spans="1:16">
      <c r="A1629" s="89"/>
      <c r="B1629" s="73"/>
      <c r="C1629" s="73" t="s">
        <v>292</v>
      </c>
      <c r="D1629" s="73" t="s">
        <v>3614</v>
      </c>
      <c r="E1629" s="90">
        <v>1101</v>
      </c>
      <c r="F1629" s="69" t="s">
        <v>3734</v>
      </c>
      <c r="G1629" s="90">
        <v>110152</v>
      </c>
      <c r="H1629" s="69" t="s">
        <v>3735</v>
      </c>
      <c r="I1629" s="69" t="s">
        <v>345</v>
      </c>
      <c r="J1629" s="67" t="str">
        <f>INDEX(数据元说明!A:F,MATCH(I1629,数据元说明!C:C,0),2)</f>
        <v>001005</v>
      </c>
      <c r="K1629" s="68" t="str">
        <f>INDEX(数据元说明!A:F,MATCH(I1629,数据元说明!C:C,0),5)</f>
        <v>YYYYMMDD，默认值99991231。</v>
      </c>
      <c r="L1629" s="69" t="str">
        <f>INDEX(数据元说明!A:F,MATCH(I1629,数据元说明!C:C,0),6)</f>
        <v>C8</v>
      </c>
      <c r="M1629" s="69" t="s">
        <v>3736</v>
      </c>
      <c r="N1629" s="68" t="s">
        <v>1601</v>
      </c>
      <c r="O1629" s="68"/>
      <c r="P1629" s="69"/>
    </row>
    <row r="1630" ht="39.95" hidden="1" customHeight="1" spans="1:16">
      <c r="A1630" s="89"/>
      <c r="B1630" s="73"/>
      <c r="C1630" s="73" t="s">
        <v>292</v>
      </c>
      <c r="D1630" s="73" t="s">
        <v>3614</v>
      </c>
      <c r="E1630" s="90">
        <v>1101</v>
      </c>
      <c r="F1630" s="69" t="s">
        <v>3737</v>
      </c>
      <c r="G1630" s="90">
        <v>110153</v>
      </c>
      <c r="H1630" s="69" t="s">
        <v>3738</v>
      </c>
      <c r="I1630" s="69" t="s">
        <v>345</v>
      </c>
      <c r="J1630" s="67" t="str">
        <f>INDEX(数据元说明!A:F,MATCH(I1630,数据元说明!C:C,0),2)</f>
        <v>001005</v>
      </c>
      <c r="K1630" s="68" t="str">
        <f>INDEX(数据元说明!A:F,MATCH(I1630,数据元说明!C:C,0),5)</f>
        <v>YYYYMMDD，默认值99991231。</v>
      </c>
      <c r="L1630" s="69" t="str">
        <f>INDEX(数据元说明!A:F,MATCH(I1630,数据元说明!C:C,0),6)</f>
        <v>C8</v>
      </c>
      <c r="M1630" s="69" t="s">
        <v>3739</v>
      </c>
      <c r="N1630" s="68" t="s">
        <v>1583</v>
      </c>
      <c r="O1630" s="68" t="s">
        <v>1745</v>
      </c>
      <c r="P1630" s="69"/>
    </row>
    <row r="1631" ht="39.95" hidden="1" customHeight="1" spans="1:16">
      <c r="A1631" s="89"/>
      <c r="B1631" s="73"/>
      <c r="C1631" s="73" t="s">
        <v>292</v>
      </c>
      <c r="D1631" s="73" t="s">
        <v>3614</v>
      </c>
      <c r="E1631" s="90">
        <v>1101</v>
      </c>
      <c r="F1631" s="69" t="s">
        <v>3740</v>
      </c>
      <c r="G1631" s="90">
        <v>110154</v>
      </c>
      <c r="H1631" s="69" t="s">
        <v>3741</v>
      </c>
      <c r="I1631" s="69" t="s">
        <v>345</v>
      </c>
      <c r="J1631" s="67" t="str">
        <f>INDEX(数据元说明!A:F,MATCH(I1631,数据元说明!C:C,0),2)</f>
        <v>001005</v>
      </c>
      <c r="K1631" s="68" t="str">
        <f>INDEX(数据元说明!A:F,MATCH(I1631,数据元说明!C:C,0),5)</f>
        <v>YYYYMMDD，默认值99991231。</v>
      </c>
      <c r="L1631" s="69" t="str">
        <f>INDEX(数据元说明!A:F,MATCH(I1631,数据元说明!C:C,0),6)</f>
        <v>C8</v>
      </c>
      <c r="M1631" s="69" t="s">
        <v>3742</v>
      </c>
      <c r="N1631" s="68" t="s">
        <v>1583</v>
      </c>
      <c r="O1631" s="68" t="s">
        <v>1745</v>
      </c>
      <c r="P1631" s="69"/>
    </row>
    <row r="1632" ht="39.95" hidden="1" customHeight="1" spans="1:16">
      <c r="A1632" s="89"/>
      <c r="B1632" s="73"/>
      <c r="C1632" s="73" t="s">
        <v>292</v>
      </c>
      <c r="D1632" s="73" t="s">
        <v>3614</v>
      </c>
      <c r="E1632" s="90">
        <v>1101</v>
      </c>
      <c r="F1632" s="69" t="s">
        <v>1297</v>
      </c>
      <c r="G1632" s="90">
        <v>110155</v>
      </c>
      <c r="H1632" s="69" t="s">
        <v>3743</v>
      </c>
      <c r="I1632" s="69" t="s">
        <v>1297</v>
      </c>
      <c r="J1632" s="144" t="str">
        <f>INDEX(数据元说明!A:F,MATCH(I1632,数据元说明!C:C,0),2)</f>
        <v>010042</v>
      </c>
      <c r="K1632" s="68" t="str">
        <f>INDEX(数据元说明!A:F,MATCH(I1632,数据元说明!C:C,0),5)</f>
        <v>已发行登记，已募集登记，已终止登记。</v>
      </c>
      <c r="L1632" s="69" t="str">
        <f>INDEX(数据元说明!A:F,MATCH(I1632,数据元说明!C:C,0),6)</f>
        <v>C..30</v>
      </c>
      <c r="M1632" s="69" t="s">
        <v>3744</v>
      </c>
      <c r="N1632" s="68" t="s">
        <v>1583</v>
      </c>
      <c r="O1632" s="68" t="s">
        <v>321</v>
      </c>
      <c r="P1632" s="69"/>
    </row>
    <row r="1633" ht="39.95" hidden="1" customHeight="1" spans="1:16">
      <c r="A1633" s="89"/>
      <c r="B1633" s="73"/>
      <c r="C1633" s="73" t="s">
        <v>292</v>
      </c>
      <c r="D1633" s="73" t="s">
        <v>3614</v>
      </c>
      <c r="E1633" s="90">
        <v>1101</v>
      </c>
      <c r="F1633" s="69" t="s">
        <v>1222</v>
      </c>
      <c r="G1633" s="90">
        <v>110156</v>
      </c>
      <c r="H1633" s="69" t="s">
        <v>3745</v>
      </c>
      <c r="I1633" s="69" t="s">
        <v>1222</v>
      </c>
      <c r="J1633" s="144" t="str">
        <f>INDEX(数据元说明!A:F,MATCH(I1633,数据元说明!C:C,0),2)</f>
        <v>010023</v>
      </c>
      <c r="K1633" s="68" t="str">
        <f>INDEX(数据元说明!A:F,MATCH(I1633,数据元说明!C:C,0),5)</f>
        <v>全国，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
      <c r="L1633" s="69" t="str">
        <f>INDEX(数据元说明!A:F,MATCH(I1633,数据元说明!C:C,0),6)</f>
        <v>C..2000</v>
      </c>
      <c r="M1633" s="69" t="s">
        <v>3746</v>
      </c>
      <c r="N1633" s="68" t="s">
        <v>1583</v>
      </c>
      <c r="O1633" s="68" t="s">
        <v>321</v>
      </c>
      <c r="P1633" s="69"/>
    </row>
    <row r="1634" ht="39.95" hidden="1" customHeight="1" spans="1:16">
      <c r="A1634" s="89"/>
      <c r="B1634" s="73"/>
      <c r="C1634" s="73" t="s">
        <v>292</v>
      </c>
      <c r="D1634" s="73" t="s">
        <v>3614</v>
      </c>
      <c r="E1634" s="90">
        <v>1101</v>
      </c>
      <c r="F1634" s="69" t="s">
        <v>3747</v>
      </c>
      <c r="G1634" s="90">
        <v>110157</v>
      </c>
      <c r="H1634" s="69" t="s">
        <v>3748</v>
      </c>
      <c r="I1634" s="69" t="s">
        <v>330</v>
      </c>
      <c r="J1634" s="67" t="str">
        <f>INDEX(数据元说明!A:F,MATCH(I1634,数据元说明!C:C,0),2)</f>
        <v>001002</v>
      </c>
      <c r="K1634" s="68" t="str">
        <f>INDEX(数据元说明!A:F,MATCH(I1634,数据元说明!C:C,0),5)</f>
        <v>是，否。</v>
      </c>
      <c r="L1634" s="69" t="str">
        <f>INDEX(数据元说明!A:F,MATCH(I1634,数据元说明!C:C,0),6)</f>
        <v>C3</v>
      </c>
      <c r="M1634" s="69" t="s">
        <v>3749</v>
      </c>
      <c r="N1634" s="68"/>
      <c r="O1634" s="68"/>
      <c r="P1634" s="69"/>
    </row>
    <row r="1635" ht="39.95" hidden="1" customHeight="1" spans="1:16">
      <c r="A1635" s="89"/>
      <c r="B1635" s="73"/>
      <c r="C1635" s="73" t="s">
        <v>292</v>
      </c>
      <c r="D1635" s="73" t="s">
        <v>3614</v>
      </c>
      <c r="E1635" s="90">
        <v>1101</v>
      </c>
      <c r="F1635" s="69" t="s">
        <v>3750</v>
      </c>
      <c r="G1635" s="90">
        <v>110158</v>
      </c>
      <c r="H1635" s="69" t="s">
        <v>3751</v>
      </c>
      <c r="I1635" s="69" t="s">
        <v>1458</v>
      </c>
      <c r="J1635" s="144" t="str">
        <f>INDEX(数据元说明!A:F,MATCH(I1635,数据元说明!C:C,0),2)</f>
        <v>010082</v>
      </c>
      <c r="K1635" s="68" t="str">
        <f>INDEX(数据元说明!A:F,MATCH(I1635,数据元说明!C:C,0),5)</f>
        <v>采用《金融机构编码规范》编发的法人机构代码(即金融机构代码）前6位。</v>
      </c>
      <c r="L1635" s="69" t="str">
        <f>INDEX(数据元说明!A:F,MATCH(I1635,数据元说明!C:C,0),6)</f>
        <v>C..30</v>
      </c>
      <c r="M1635" s="69" t="s">
        <v>3752</v>
      </c>
      <c r="N1635" s="68" t="s">
        <v>1583</v>
      </c>
      <c r="O1635" s="68" t="s">
        <v>321</v>
      </c>
      <c r="P1635" s="69"/>
    </row>
    <row r="1636" ht="39.95" hidden="1" customHeight="1" spans="1:16">
      <c r="A1636" s="89"/>
      <c r="B1636" s="73"/>
      <c r="C1636" s="73" t="s">
        <v>292</v>
      </c>
      <c r="D1636" s="73" t="s">
        <v>3614</v>
      </c>
      <c r="E1636" s="90">
        <v>1101</v>
      </c>
      <c r="F1636" s="69" t="s">
        <v>3753</v>
      </c>
      <c r="G1636" s="90">
        <v>110159</v>
      </c>
      <c r="H1636" s="69" t="s">
        <v>3754</v>
      </c>
      <c r="I1636" s="69" t="s">
        <v>1450</v>
      </c>
      <c r="J1636" s="144" t="str">
        <f>INDEX(数据元说明!A:F,MATCH(I1636,数据元说明!C:C,0),2)</f>
        <v>010080</v>
      </c>
      <c r="K1636" s="68" t="str">
        <f>INDEX(数据元说明!A:F,MATCH(I1636,数据元说明!C:C,0),5)</f>
        <v>实际的托管机构名称。</v>
      </c>
      <c r="L1636" s="69" t="str">
        <f>INDEX(数据元说明!A:F,MATCH(I1636,数据元说明!C:C,0),6)</f>
        <v>C..450</v>
      </c>
      <c r="M1636" s="69" t="s">
        <v>3755</v>
      </c>
      <c r="N1636" s="68" t="s">
        <v>1583</v>
      </c>
      <c r="O1636" s="68" t="s">
        <v>321</v>
      </c>
      <c r="P1636" s="69"/>
    </row>
    <row r="1637" ht="39.95" hidden="1" customHeight="1" spans="1:16">
      <c r="A1637" s="89"/>
      <c r="B1637" s="73"/>
      <c r="C1637" s="73" t="s">
        <v>292</v>
      </c>
      <c r="D1637" s="73" t="s">
        <v>3614</v>
      </c>
      <c r="E1637" s="90">
        <v>1101</v>
      </c>
      <c r="F1637" s="69" t="s">
        <v>3756</v>
      </c>
      <c r="G1637" s="90">
        <v>110160</v>
      </c>
      <c r="H1637" s="69" t="s">
        <v>3757</v>
      </c>
      <c r="I1637" s="69" t="s">
        <v>1148</v>
      </c>
      <c r="J1637" s="144" t="str">
        <f>INDEX(数据元说明!A:F,MATCH(I1637,数据元说明!C:C,0),2)</f>
        <v>010005</v>
      </c>
      <c r="K1637" s="68" t="str">
        <f>INDEX(数据元说明!A:F,MATCH(I1637,数据元说明!C:C,0),5)</f>
        <v>《GB/T 2659 世界各国和地区名称代码》定义的三字符代码，如CHN。</v>
      </c>
      <c r="L1637" s="69" t="str">
        <f>INDEX(数据元说明!A:F,MATCH(I1637,数据元说明!C:C,0),6)</f>
        <v>C3</v>
      </c>
      <c r="M1637" s="69" t="s">
        <v>3758</v>
      </c>
      <c r="N1637" s="68" t="s">
        <v>322</v>
      </c>
      <c r="O1637" s="68" t="s">
        <v>322</v>
      </c>
      <c r="P1637" s="69"/>
    </row>
    <row r="1638" ht="39.95" hidden="1" customHeight="1" spans="1:16">
      <c r="A1638" s="89"/>
      <c r="B1638" s="73"/>
      <c r="C1638" s="73" t="s">
        <v>292</v>
      </c>
      <c r="D1638" s="73" t="s">
        <v>3614</v>
      </c>
      <c r="E1638" s="90">
        <v>1101</v>
      </c>
      <c r="F1638" s="69" t="s">
        <v>3759</v>
      </c>
      <c r="G1638" s="90">
        <v>110161</v>
      </c>
      <c r="H1638" s="69" t="s">
        <v>3760</v>
      </c>
      <c r="I1638" s="69" t="s">
        <v>1450</v>
      </c>
      <c r="J1638" s="144" t="str">
        <f>INDEX(数据元说明!A:F,MATCH(I1638,数据元说明!C:C,0),2)</f>
        <v>010080</v>
      </c>
      <c r="K1638" s="68" t="str">
        <f>INDEX(数据元说明!A:F,MATCH(I1638,数据元说明!C:C,0),5)</f>
        <v>实际的托管机构名称。</v>
      </c>
      <c r="L1638" s="69" t="str">
        <f>INDEX(数据元说明!A:F,MATCH(I1638,数据元说明!C:C,0),6)</f>
        <v>C..450</v>
      </c>
      <c r="M1638" s="69" t="s">
        <v>3761</v>
      </c>
      <c r="N1638" s="68" t="s">
        <v>1583</v>
      </c>
      <c r="O1638" s="68" t="s">
        <v>3762</v>
      </c>
      <c r="P1638" s="69"/>
    </row>
    <row r="1639" ht="39.95" hidden="1" customHeight="1" spans="1:16">
      <c r="A1639" s="89"/>
      <c r="B1639" s="73"/>
      <c r="C1639" s="73" t="s">
        <v>292</v>
      </c>
      <c r="D1639" s="73" t="s">
        <v>3614</v>
      </c>
      <c r="E1639" s="90">
        <v>1101</v>
      </c>
      <c r="F1639" s="69" t="s">
        <v>3763</v>
      </c>
      <c r="G1639" s="90">
        <v>110162</v>
      </c>
      <c r="H1639" s="69" t="s">
        <v>3764</v>
      </c>
      <c r="I1639" s="69" t="s">
        <v>605</v>
      </c>
      <c r="J1639" s="67" t="str">
        <f>INDEX(数据元说明!A:F,MATCH(I1639,数据元说明!C:C,0),2)</f>
        <v>003001</v>
      </c>
      <c r="K1639" s="68" t="str">
        <f>INDEX(数据元说明!A:F,MATCH(I1639,数据元说明!C:C,0),5)</f>
        <v>系统内最细一级的账号，无唯一性约束，不需要和序号、子序号等做拼接。</v>
      </c>
      <c r="L1639" s="69" t="str">
        <f>INDEX(数据元说明!A:F,MATCH(I1639,数据元说明!C:C,0),6)</f>
        <v>C..60</v>
      </c>
      <c r="M1639" s="69"/>
      <c r="N1639" s="68"/>
      <c r="O1639" s="68"/>
      <c r="P1639" s="69"/>
    </row>
    <row r="1640" ht="39.95" hidden="1" customHeight="1" spans="1:16">
      <c r="A1640" s="89"/>
      <c r="B1640" s="73"/>
      <c r="C1640" s="73" t="s">
        <v>292</v>
      </c>
      <c r="D1640" s="73" t="s">
        <v>3614</v>
      </c>
      <c r="E1640" s="90">
        <v>1101</v>
      </c>
      <c r="F1640" s="69" t="s">
        <v>3765</v>
      </c>
      <c r="G1640" s="90">
        <v>110163</v>
      </c>
      <c r="H1640" s="69" t="s">
        <v>3766</v>
      </c>
      <c r="I1640" s="69" t="s">
        <v>646</v>
      </c>
      <c r="J1640" s="67" t="str">
        <f>INDEX(数据元说明!A:F,MATCH(I1640,数据元说明!C:C,0),2)</f>
        <v>003011</v>
      </c>
      <c r="K1640" s="68" t="str">
        <f>INDEX(数据元说明!A:F,MATCH(I1640,数据元说明!C:C,0),5)</f>
        <v>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v>
      </c>
      <c r="L1640" s="69" t="str">
        <f>INDEX(数据元说明!A:F,MATCH(I1640,数据元说明!C:C,0),6)</f>
        <v>C..450</v>
      </c>
      <c r="M1640" s="69" t="s">
        <v>3767</v>
      </c>
      <c r="N1640" s="68" t="s">
        <v>1583</v>
      </c>
      <c r="O1640" s="68" t="s">
        <v>484</v>
      </c>
      <c r="P1640" s="69"/>
    </row>
    <row r="1641" ht="39.95" hidden="1" customHeight="1" spans="1:16">
      <c r="A1641" s="89"/>
      <c r="B1641" s="73"/>
      <c r="C1641" s="73" t="s">
        <v>292</v>
      </c>
      <c r="D1641" s="73" t="s">
        <v>3614</v>
      </c>
      <c r="E1641" s="90">
        <v>1101</v>
      </c>
      <c r="F1641" s="69" t="s">
        <v>1566</v>
      </c>
      <c r="G1641" s="90">
        <v>110164</v>
      </c>
      <c r="H1641" s="69" t="s">
        <v>3768</v>
      </c>
      <c r="I1641" s="69" t="s">
        <v>1566</v>
      </c>
      <c r="J1641" s="144" t="str">
        <f>INDEX(数据元说明!A:F,MATCH(I1641,数据元说明!C:C,0),2)</f>
        <v>010110</v>
      </c>
      <c r="K1641" s="68" t="str">
        <f>INDEX(数据元说明!A:F,MATCH(I1641,数据元说明!C:C,0),5)</f>
        <v>新产品，老产品。</v>
      </c>
      <c r="L1641" s="69" t="str">
        <f>INDEX(数据元说明!A:F,MATCH(I1641,数据元说明!C:C,0),6)</f>
        <v>C..30</v>
      </c>
      <c r="M1641" s="69" t="s">
        <v>3769</v>
      </c>
      <c r="N1641" s="68" t="s">
        <v>1601</v>
      </c>
      <c r="O1641" s="68"/>
      <c r="P1641" s="69"/>
    </row>
    <row r="1642" ht="39.95" hidden="1" customHeight="1" spans="1:16">
      <c r="A1642" s="89"/>
      <c r="B1642" s="73"/>
      <c r="C1642" s="73" t="s">
        <v>292</v>
      </c>
      <c r="D1642" s="73" t="s">
        <v>3614</v>
      </c>
      <c r="E1642" s="90">
        <v>1101</v>
      </c>
      <c r="F1642" s="69" t="s">
        <v>1325</v>
      </c>
      <c r="G1642" s="90">
        <v>110165</v>
      </c>
      <c r="H1642" s="69" t="s">
        <v>3770</v>
      </c>
      <c r="I1642" s="69" t="s">
        <v>1325</v>
      </c>
      <c r="J1642" s="144" t="str">
        <f>INDEX(数据元说明!A:F,MATCH(I1642,数据元说明!C:C,0),2)</f>
        <v>010049</v>
      </c>
      <c r="K1642" s="68" t="str">
        <f>INDEX(数据元说明!A:F,MATCH(I1642,数据元说明!C:C,0),5)</f>
        <v>公募，私募。</v>
      </c>
      <c r="L1642" s="69" t="str">
        <f>INDEX(数据元说明!A:F,MATCH(I1642,数据元说明!C:C,0),6)</f>
        <v>C..30</v>
      </c>
      <c r="M1642" s="69" t="s">
        <v>3771</v>
      </c>
      <c r="N1642" s="68"/>
      <c r="O1642" s="68"/>
      <c r="P1642" s="69"/>
    </row>
    <row r="1643" ht="39.95" hidden="1" customHeight="1" spans="1:16">
      <c r="A1643" s="89"/>
      <c r="B1643" s="73"/>
      <c r="C1643" s="73" t="s">
        <v>292</v>
      </c>
      <c r="D1643" s="73" t="s">
        <v>3614</v>
      </c>
      <c r="E1643" s="90">
        <v>1101</v>
      </c>
      <c r="F1643" s="69" t="s">
        <v>1329</v>
      </c>
      <c r="G1643" s="90">
        <v>110166</v>
      </c>
      <c r="H1643" s="69" t="s">
        <v>3772</v>
      </c>
      <c r="I1643" s="69" t="s">
        <v>1329</v>
      </c>
      <c r="J1643" s="144" t="str">
        <f>INDEX(数据元说明!A:F,MATCH(I1643,数据元说明!C:C,0),2)</f>
        <v>010050</v>
      </c>
      <c r="K1643" s="68" t="str">
        <f>INDEX(数据元说明!A:F,MATCH(I1643,数据元说明!C:C,0),5)</f>
        <v>固收类，权益类，商品及衍生品类，混合类。</v>
      </c>
      <c r="L1643" s="69" t="str">
        <f>INDEX(数据元说明!A:F,MATCH(I1643,数据元说明!C:C,0),6)</f>
        <v>C..30</v>
      </c>
      <c r="M1643" s="69" t="s">
        <v>3773</v>
      </c>
      <c r="N1643" s="68"/>
      <c r="O1643" s="68"/>
      <c r="P1643" s="69"/>
    </row>
    <row r="1644" ht="39.95" hidden="1" customHeight="1" spans="1:16">
      <c r="A1644" s="89"/>
      <c r="B1644" s="73"/>
      <c r="C1644" s="73" t="s">
        <v>292</v>
      </c>
      <c r="D1644" s="73" t="s">
        <v>3614</v>
      </c>
      <c r="E1644" s="90">
        <v>1101</v>
      </c>
      <c r="F1644" s="69" t="s">
        <v>3774</v>
      </c>
      <c r="G1644" s="90">
        <v>110167</v>
      </c>
      <c r="H1644" s="69" t="s">
        <v>3775</v>
      </c>
      <c r="I1644" s="69" t="s">
        <v>330</v>
      </c>
      <c r="J1644" s="67" t="str">
        <f>INDEX(数据元说明!A:F,MATCH(I1644,数据元说明!C:C,0),2)</f>
        <v>001002</v>
      </c>
      <c r="K1644" s="68" t="str">
        <f>INDEX(数据元说明!A:F,MATCH(I1644,数据元说明!C:C,0),5)</f>
        <v>是，否。</v>
      </c>
      <c r="L1644" s="69" t="str">
        <f>INDEX(数据元说明!A:F,MATCH(I1644,数据元说明!C:C,0),6)</f>
        <v>C3</v>
      </c>
      <c r="M1644" s="69" t="s">
        <v>3776</v>
      </c>
      <c r="N1644" s="68"/>
      <c r="O1644" s="68"/>
      <c r="P1644" s="69"/>
    </row>
    <row r="1645" ht="39.95" hidden="1" customHeight="1" spans="1:16">
      <c r="A1645" s="89"/>
      <c r="B1645" s="73"/>
      <c r="C1645" s="73" t="s">
        <v>292</v>
      </c>
      <c r="D1645" s="73" t="s">
        <v>3614</v>
      </c>
      <c r="E1645" s="90">
        <v>1101</v>
      </c>
      <c r="F1645" s="69" t="s">
        <v>3777</v>
      </c>
      <c r="G1645" s="90">
        <v>110168</v>
      </c>
      <c r="H1645" s="69" t="s">
        <v>3778</v>
      </c>
      <c r="I1645" s="69" t="s">
        <v>1313</v>
      </c>
      <c r="J1645" s="144" t="str">
        <f>INDEX(数据元说明!A:F,MATCH(I1645,数据元说明!C:C,0),2)</f>
        <v>010046</v>
      </c>
      <c r="K1645" s="68" t="str">
        <f>INDEX(数据元说明!A:F,MATCH(I1645,数据元说明!C:C,0),5)</f>
        <v>以天为单位计的时间长度。</v>
      </c>
      <c r="L1645" s="69" t="str">
        <f>INDEX(数据元说明!A:F,MATCH(I1645,数据元说明!C:C,0),6)</f>
        <v>I</v>
      </c>
      <c r="M1645" s="69" t="s">
        <v>3779</v>
      </c>
      <c r="N1645" s="68" t="s">
        <v>1583</v>
      </c>
      <c r="O1645" s="68" t="s">
        <v>322</v>
      </c>
      <c r="P1645" s="69"/>
    </row>
    <row r="1646" ht="39.95" hidden="1" customHeight="1" spans="1:16">
      <c r="A1646" s="89"/>
      <c r="B1646" s="73"/>
      <c r="C1646" s="73" t="s">
        <v>292</v>
      </c>
      <c r="D1646" s="73" t="s">
        <v>3614</v>
      </c>
      <c r="E1646" s="90">
        <v>1101</v>
      </c>
      <c r="F1646" s="69" t="s">
        <v>3780</v>
      </c>
      <c r="G1646" s="90">
        <v>110169</v>
      </c>
      <c r="H1646" s="69" t="s">
        <v>3781</v>
      </c>
      <c r="I1646" s="69" t="s">
        <v>330</v>
      </c>
      <c r="J1646" s="67" t="str">
        <f>INDEX(数据元说明!A:F,MATCH(I1646,数据元说明!C:C,0),2)</f>
        <v>001002</v>
      </c>
      <c r="K1646" s="68" t="str">
        <f>INDEX(数据元说明!A:F,MATCH(I1646,数据元说明!C:C,0),5)</f>
        <v>是，否。</v>
      </c>
      <c r="L1646" s="69" t="str">
        <f>INDEX(数据元说明!A:F,MATCH(I1646,数据元说明!C:C,0),6)</f>
        <v>C3</v>
      </c>
      <c r="M1646" s="69" t="s">
        <v>3782</v>
      </c>
      <c r="N1646" s="68"/>
      <c r="O1646" s="68"/>
      <c r="P1646" s="69"/>
    </row>
    <row r="1647" ht="39.95" hidden="1" customHeight="1" spans="1:16">
      <c r="A1647" s="89"/>
      <c r="B1647" s="73"/>
      <c r="C1647" s="73" t="s">
        <v>292</v>
      </c>
      <c r="D1647" s="73" t="s">
        <v>3614</v>
      </c>
      <c r="E1647" s="90">
        <v>1101</v>
      </c>
      <c r="F1647" s="69" t="s">
        <v>3783</v>
      </c>
      <c r="G1647" s="90">
        <v>110170</v>
      </c>
      <c r="H1647" s="69" t="s">
        <v>3784</v>
      </c>
      <c r="I1647" s="69" t="s">
        <v>330</v>
      </c>
      <c r="J1647" s="67" t="str">
        <f>INDEX(数据元说明!A:F,MATCH(I1647,数据元说明!C:C,0),2)</f>
        <v>001002</v>
      </c>
      <c r="K1647" s="68" t="str">
        <f>INDEX(数据元说明!A:F,MATCH(I1647,数据元说明!C:C,0),5)</f>
        <v>是，否。</v>
      </c>
      <c r="L1647" s="69" t="str">
        <f>INDEX(数据元说明!A:F,MATCH(I1647,数据元说明!C:C,0),6)</f>
        <v>C3</v>
      </c>
      <c r="M1647" s="69"/>
      <c r="N1647" s="68"/>
      <c r="O1647" s="68"/>
      <c r="P1647" s="69"/>
    </row>
    <row r="1648" ht="39.95" hidden="1" customHeight="1" spans="1:16">
      <c r="A1648" s="89"/>
      <c r="B1648" s="73"/>
      <c r="C1648" s="73" t="s">
        <v>292</v>
      </c>
      <c r="D1648" s="73" t="s">
        <v>3614</v>
      </c>
      <c r="E1648" s="90">
        <v>1101</v>
      </c>
      <c r="F1648" s="69" t="s">
        <v>3785</v>
      </c>
      <c r="G1648" s="90">
        <v>110171</v>
      </c>
      <c r="H1648" s="69" t="s">
        <v>3786</v>
      </c>
      <c r="I1648" s="69" t="s">
        <v>335</v>
      </c>
      <c r="J1648" s="67" t="str">
        <f>INDEX(数据元说明!A:F,MATCH(I1648,数据元说明!C:C,0),2)</f>
        <v>001003</v>
      </c>
      <c r="K1648" s="68" t="str">
        <f>INDEX(数据元说明!A:F,MATCH(I1648,数据元说明!C:C,0),5)</f>
        <v>百分比为单位，即1/100，保留两位小数。如4.5%则填报为4.50。</v>
      </c>
      <c r="L1648" s="69" t="str">
        <f>INDEX(数据元说明!A:F,MATCH(I1648,数据元说明!C:C,0),6)</f>
        <v>D20.2</v>
      </c>
      <c r="M1648" s="69" t="s">
        <v>3787</v>
      </c>
      <c r="N1648" s="68" t="s">
        <v>1583</v>
      </c>
      <c r="O1648" s="68" t="s">
        <v>3788</v>
      </c>
      <c r="P1648" s="69" t="s">
        <v>3789</v>
      </c>
    </row>
    <row r="1649" ht="39.95" hidden="1" customHeight="1" spans="1:16">
      <c r="A1649" s="89"/>
      <c r="B1649" s="73"/>
      <c r="C1649" s="73" t="s">
        <v>292</v>
      </c>
      <c r="D1649" s="73" t="s">
        <v>3614</v>
      </c>
      <c r="E1649" s="90">
        <v>1101</v>
      </c>
      <c r="F1649" s="69" t="s">
        <v>3790</v>
      </c>
      <c r="G1649" s="90">
        <v>110172</v>
      </c>
      <c r="H1649" s="69" t="s">
        <v>3791</v>
      </c>
      <c r="I1649" s="69" t="s">
        <v>335</v>
      </c>
      <c r="J1649" s="67" t="str">
        <f>INDEX(数据元说明!A:F,MATCH(I1649,数据元说明!C:C,0),2)</f>
        <v>001003</v>
      </c>
      <c r="K1649" s="68" t="str">
        <f>INDEX(数据元说明!A:F,MATCH(I1649,数据元说明!C:C,0),5)</f>
        <v>百分比为单位，即1/100，保留两位小数。如4.5%则填报为4.50。</v>
      </c>
      <c r="L1649" s="69" t="str">
        <f>INDEX(数据元说明!A:F,MATCH(I1649,数据元说明!C:C,0),6)</f>
        <v>D20.2</v>
      </c>
      <c r="M1649" s="69" t="s">
        <v>3792</v>
      </c>
      <c r="N1649" s="68" t="s">
        <v>1583</v>
      </c>
      <c r="O1649" s="68" t="s">
        <v>3788</v>
      </c>
      <c r="P1649" s="69" t="s">
        <v>3789</v>
      </c>
    </row>
    <row r="1650" ht="39.95" hidden="1" customHeight="1" spans="1:16">
      <c r="A1650" s="89"/>
      <c r="B1650" s="73"/>
      <c r="C1650" s="73" t="s">
        <v>292</v>
      </c>
      <c r="D1650" s="73" t="s">
        <v>3614</v>
      </c>
      <c r="E1650" s="90">
        <v>1101</v>
      </c>
      <c r="F1650" s="69" t="s">
        <v>3793</v>
      </c>
      <c r="G1650" s="90">
        <v>110173</v>
      </c>
      <c r="H1650" s="69" t="s">
        <v>3794</v>
      </c>
      <c r="I1650" s="69" t="s">
        <v>1430</v>
      </c>
      <c r="J1650" s="144" t="str">
        <f>INDEX(数据元说明!A:F,MATCH(I1650,数据元说明!C:C,0),2)</f>
        <v>010075</v>
      </c>
      <c r="K1650" s="68" t="str">
        <f>INDEX(数据元说明!A:F,MATCH(I1650,数据元说明!C:C,0),5)</f>
        <v>发行机构自定义。</v>
      </c>
      <c r="L1650" s="69" t="str">
        <f>INDEX(数据元说明!A:F,MATCH(I1650,数据元说明!C:C,0),6)</f>
        <v>C..600</v>
      </c>
      <c r="M1650" s="69" t="s">
        <v>3795</v>
      </c>
      <c r="N1650" s="68" t="s">
        <v>1583</v>
      </c>
      <c r="O1650" s="68" t="s">
        <v>1695</v>
      </c>
      <c r="P1650" s="69" t="s">
        <v>3789</v>
      </c>
    </row>
    <row r="1651" ht="39.95" hidden="1" customHeight="1" spans="1:16">
      <c r="A1651" s="89"/>
      <c r="B1651" s="73"/>
      <c r="C1651" s="73" t="s">
        <v>292</v>
      </c>
      <c r="D1651" s="73" t="s">
        <v>3614</v>
      </c>
      <c r="E1651" s="90">
        <v>1101</v>
      </c>
      <c r="F1651" s="69" t="s">
        <v>3796</v>
      </c>
      <c r="G1651" s="90">
        <v>110174</v>
      </c>
      <c r="H1651" s="69" t="s">
        <v>3797</v>
      </c>
      <c r="I1651" s="69" t="s">
        <v>335</v>
      </c>
      <c r="J1651" s="67" t="str">
        <f>INDEX(数据元说明!A:F,MATCH(I1651,数据元说明!C:C,0),2)</f>
        <v>001003</v>
      </c>
      <c r="K1651" s="68" t="str">
        <f>INDEX(数据元说明!A:F,MATCH(I1651,数据元说明!C:C,0),5)</f>
        <v>百分比为单位，即1/100，保留两位小数。如4.5%则填报为4.50。</v>
      </c>
      <c r="L1651" s="69" t="str">
        <f>INDEX(数据元说明!A:F,MATCH(I1651,数据元说明!C:C,0),6)</f>
        <v>D20.2</v>
      </c>
      <c r="M1651" s="69" t="s">
        <v>3798</v>
      </c>
      <c r="N1651" s="68" t="s">
        <v>1583</v>
      </c>
      <c r="O1651" s="68" t="s">
        <v>3799</v>
      </c>
      <c r="P1651" s="69"/>
    </row>
    <row r="1652" ht="39.95" hidden="1" customHeight="1" spans="1:16">
      <c r="A1652" s="89"/>
      <c r="B1652" s="73"/>
      <c r="C1652" s="73" t="s">
        <v>292</v>
      </c>
      <c r="D1652" s="73" t="s">
        <v>3614</v>
      </c>
      <c r="E1652" s="90">
        <v>1101</v>
      </c>
      <c r="F1652" s="69" t="s">
        <v>3800</v>
      </c>
      <c r="G1652" s="90">
        <v>110175</v>
      </c>
      <c r="H1652" s="69" t="s">
        <v>3801</v>
      </c>
      <c r="I1652" s="69" t="s">
        <v>330</v>
      </c>
      <c r="J1652" s="67" t="str">
        <f>INDEX(数据元说明!A:F,MATCH(I1652,数据元说明!C:C,0),2)</f>
        <v>001002</v>
      </c>
      <c r="K1652" s="68" t="str">
        <f>INDEX(数据元说明!A:F,MATCH(I1652,数据元说明!C:C,0),5)</f>
        <v>是，否。</v>
      </c>
      <c r="L1652" s="69" t="str">
        <f>INDEX(数据元说明!A:F,MATCH(I1652,数据元说明!C:C,0),6)</f>
        <v>C3</v>
      </c>
      <c r="M1652" s="69" t="s">
        <v>3802</v>
      </c>
      <c r="N1652" s="68"/>
      <c r="O1652" s="68"/>
      <c r="P1652" s="69"/>
    </row>
    <row r="1653" ht="39.95" hidden="1" customHeight="1" spans="1:16">
      <c r="A1653" s="89"/>
      <c r="B1653" s="73"/>
      <c r="C1653" s="73" t="s">
        <v>292</v>
      </c>
      <c r="D1653" s="73" t="s">
        <v>3614</v>
      </c>
      <c r="E1653" s="90">
        <v>1101</v>
      </c>
      <c r="F1653" s="69" t="s">
        <v>3803</v>
      </c>
      <c r="G1653" s="90">
        <v>110176</v>
      </c>
      <c r="H1653" s="69" t="s">
        <v>3804</v>
      </c>
      <c r="I1653" s="69" t="s">
        <v>335</v>
      </c>
      <c r="J1653" s="67" t="str">
        <f>INDEX(数据元说明!A:F,MATCH(I1653,数据元说明!C:C,0),2)</f>
        <v>001003</v>
      </c>
      <c r="K1653" s="68" t="str">
        <f>INDEX(数据元说明!A:F,MATCH(I1653,数据元说明!C:C,0),5)</f>
        <v>百分比为单位，即1/100，保留两位小数。如4.5%则填报为4.50。</v>
      </c>
      <c r="L1653" s="69" t="str">
        <f>INDEX(数据元说明!A:F,MATCH(I1653,数据元说明!C:C,0),6)</f>
        <v>D20.2</v>
      </c>
      <c r="M1653" s="69" t="s">
        <v>3805</v>
      </c>
      <c r="N1653" s="68" t="s">
        <v>1583</v>
      </c>
      <c r="O1653" s="68" t="s">
        <v>3799</v>
      </c>
      <c r="P1653" s="69"/>
    </row>
    <row r="1654" ht="39.95" hidden="1" customHeight="1" spans="1:16">
      <c r="A1654" s="89"/>
      <c r="B1654" s="73"/>
      <c r="C1654" s="73" t="s">
        <v>292</v>
      </c>
      <c r="D1654" s="73" t="s">
        <v>3614</v>
      </c>
      <c r="E1654" s="90">
        <v>1101</v>
      </c>
      <c r="F1654" s="69" t="s">
        <v>3806</v>
      </c>
      <c r="G1654" s="90">
        <v>110177</v>
      </c>
      <c r="H1654" s="69" t="s">
        <v>3807</v>
      </c>
      <c r="I1654" s="69" t="s">
        <v>1537</v>
      </c>
      <c r="J1654" s="144" t="str">
        <f>INDEX(数据元说明!A:F,MATCH(I1654,数据元说明!C:C,0),2)</f>
        <v>010102</v>
      </c>
      <c r="K1654" s="68" t="str">
        <f>INDEX(数据元说明!A:F,MATCH(I1654,数据元说明!C:C,0),5)</f>
        <v>折算人民币的金额</v>
      </c>
      <c r="L1654" s="69" t="str">
        <f>INDEX(数据元说明!A:F,MATCH(I1654,数据元说明!C:C,0),6)</f>
        <v>D20.2</v>
      </c>
      <c r="M1654" s="69" t="s">
        <v>3808</v>
      </c>
      <c r="N1654" s="68" t="s">
        <v>1583</v>
      </c>
      <c r="O1654" s="68" t="s">
        <v>3809</v>
      </c>
      <c r="P1654" s="69"/>
    </row>
    <row r="1655" ht="39.95" hidden="1" customHeight="1" spans="1:16">
      <c r="A1655" s="89"/>
      <c r="B1655" s="73"/>
      <c r="C1655" s="73" t="s">
        <v>292</v>
      </c>
      <c r="D1655" s="73" t="s">
        <v>3614</v>
      </c>
      <c r="E1655" s="90">
        <v>1101</v>
      </c>
      <c r="F1655" s="69" t="s">
        <v>3810</v>
      </c>
      <c r="G1655" s="90">
        <v>110178</v>
      </c>
      <c r="H1655" s="69" t="s">
        <v>3811</v>
      </c>
      <c r="I1655" s="69" t="s">
        <v>1537</v>
      </c>
      <c r="J1655" s="144" t="str">
        <f>INDEX(数据元说明!A:F,MATCH(I1655,数据元说明!C:C,0),2)</f>
        <v>010102</v>
      </c>
      <c r="K1655" s="68" t="str">
        <f>INDEX(数据元说明!A:F,MATCH(I1655,数据元说明!C:C,0),5)</f>
        <v>折算人民币的金额</v>
      </c>
      <c r="L1655" s="69" t="str">
        <f>INDEX(数据元说明!A:F,MATCH(I1655,数据元说明!C:C,0),6)</f>
        <v>D20.2</v>
      </c>
      <c r="M1655" s="69" t="s">
        <v>3812</v>
      </c>
      <c r="N1655" s="68" t="s">
        <v>1583</v>
      </c>
      <c r="O1655" s="68" t="s">
        <v>1577</v>
      </c>
      <c r="P1655" s="69"/>
    </row>
    <row r="1656" ht="39.95" hidden="1" customHeight="1" spans="1:16">
      <c r="A1656" s="89"/>
      <c r="B1656" s="73"/>
      <c r="C1656" s="73" t="s">
        <v>292</v>
      </c>
      <c r="D1656" s="73" t="s">
        <v>3614</v>
      </c>
      <c r="E1656" s="90">
        <v>1101</v>
      </c>
      <c r="F1656" s="69" t="s">
        <v>3813</v>
      </c>
      <c r="G1656" s="90">
        <v>110179</v>
      </c>
      <c r="H1656" s="69" t="s">
        <v>3814</v>
      </c>
      <c r="I1656" s="69" t="s">
        <v>1537</v>
      </c>
      <c r="J1656" s="144" t="str">
        <f>INDEX(数据元说明!A:F,MATCH(I1656,数据元说明!C:C,0),2)</f>
        <v>010102</v>
      </c>
      <c r="K1656" s="68" t="str">
        <f>INDEX(数据元说明!A:F,MATCH(I1656,数据元说明!C:C,0),5)</f>
        <v>折算人民币的金额</v>
      </c>
      <c r="L1656" s="69" t="str">
        <f>INDEX(数据元说明!A:F,MATCH(I1656,数据元说明!C:C,0),6)</f>
        <v>D20.2</v>
      </c>
      <c r="M1656" s="69" t="s">
        <v>3815</v>
      </c>
      <c r="N1656" s="68" t="s">
        <v>1583</v>
      </c>
      <c r="O1656" s="68" t="s">
        <v>1577</v>
      </c>
      <c r="P1656" s="69"/>
    </row>
    <row r="1657" ht="39.95" hidden="1" customHeight="1" spans="1:16">
      <c r="A1657" s="89"/>
      <c r="B1657" s="73"/>
      <c r="C1657" s="73" t="s">
        <v>292</v>
      </c>
      <c r="D1657" s="73" t="s">
        <v>3614</v>
      </c>
      <c r="E1657" s="90">
        <v>1101</v>
      </c>
      <c r="F1657" s="69" t="s">
        <v>3816</v>
      </c>
      <c r="G1657" s="90">
        <v>110180</v>
      </c>
      <c r="H1657" s="69" t="s">
        <v>3817</v>
      </c>
      <c r="I1657" s="69" t="s">
        <v>1537</v>
      </c>
      <c r="J1657" s="144" t="str">
        <f>INDEX(数据元说明!A:F,MATCH(I1657,数据元说明!C:C,0),2)</f>
        <v>010102</v>
      </c>
      <c r="K1657" s="68" t="str">
        <f>INDEX(数据元说明!A:F,MATCH(I1657,数据元说明!C:C,0),5)</f>
        <v>折算人民币的金额</v>
      </c>
      <c r="L1657" s="69" t="str">
        <f>INDEX(数据元说明!A:F,MATCH(I1657,数据元说明!C:C,0),6)</f>
        <v>D20.2</v>
      </c>
      <c r="M1657" s="69" t="s">
        <v>3818</v>
      </c>
      <c r="N1657" s="68" t="s">
        <v>1583</v>
      </c>
      <c r="O1657" s="68" t="s">
        <v>1577</v>
      </c>
      <c r="P1657" s="69"/>
    </row>
    <row r="1658" ht="39.95" hidden="1" customHeight="1" spans="1:16">
      <c r="A1658" s="89"/>
      <c r="B1658" s="73"/>
      <c r="C1658" s="73" t="s">
        <v>292</v>
      </c>
      <c r="D1658" s="73" t="s">
        <v>3614</v>
      </c>
      <c r="E1658" s="90">
        <v>1101</v>
      </c>
      <c r="F1658" s="69" t="s">
        <v>3819</v>
      </c>
      <c r="G1658" s="90">
        <v>110181</v>
      </c>
      <c r="H1658" s="69" t="s">
        <v>3820</v>
      </c>
      <c r="I1658" s="69" t="s">
        <v>1537</v>
      </c>
      <c r="J1658" s="144" t="str">
        <f>INDEX(数据元说明!A:F,MATCH(I1658,数据元说明!C:C,0),2)</f>
        <v>010102</v>
      </c>
      <c r="K1658" s="68" t="str">
        <f>INDEX(数据元说明!A:F,MATCH(I1658,数据元说明!C:C,0),5)</f>
        <v>折算人民币的金额</v>
      </c>
      <c r="L1658" s="69" t="str">
        <f>INDEX(数据元说明!A:F,MATCH(I1658,数据元说明!C:C,0),6)</f>
        <v>D20.2</v>
      </c>
      <c r="M1658" s="69" t="s">
        <v>3821</v>
      </c>
      <c r="N1658" s="68" t="s">
        <v>1583</v>
      </c>
      <c r="O1658" s="68" t="s">
        <v>1577</v>
      </c>
      <c r="P1658" s="69"/>
    </row>
    <row r="1659" ht="39.95" hidden="1" customHeight="1" spans="1:16">
      <c r="A1659" s="89"/>
      <c r="B1659" s="73"/>
      <c r="C1659" s="73" t="s">
        <v>292</v>
      </c>
      <c r="D1659" s="73" t="s">
        <v>3614</v>
      </c>
      <c r="E1659" s="90">
        <v>1101</v>
      </c>
      <c r="F1659" s="69" t="s">
        <v>3822</v>
      </c>
      <c r="G1659" s="90">
        <v>110182</v>
      </c>
      <c r="H1659" s="69" t="s">
        <v>3823</v>
      </c>
      <c r="I1659" s="69" t="s">
        <v>335</v>
      </c>
      <c r="J1659" s="67" t="str">
        <f>INDEX(数据元说明!A:F,MATCH(I1659,数据元说明!C:C,0),2)</f>
        <v>001003</v>
      </c>
      <c r="K1659" s="68" t="str">
        <f>INDEX(数据元说明!A:F,MATCH(I1659,数据元说明!C:C,0),5)</f>
        <v>百分比为单位，即1/100，保留两位小数。如4.5%则填报为4.50。</v>
      </c>
      <c r="L1659" s="69" t="str">
        <f>INDEX(数据元说明!A:F,MATCH(I1659,数据元说明!C:C,0),6)</f>
        <v>D20.2</v>
      </c>
      <c r="M1659" s="69" t="s">
        <v>3824</v>
      </c>
      <c r="N1659" s="68" t="s">
        <v>1583</v>
      </c>
      <c r="O1659" s="68" t="s">
        <v>3799</v>
      </c>
      <c r="P1659" s="69"/>
    </row>
    <row r="1660" ht="39.95" hidden="1" customHeight="1" spans="1:16">
      <c r="A1660" s="89"/>
      <c r="B1660" s="73"/>
      <c r="C1660" s="73" t="s">
        <v>292</v>
      </c>
      <c r="D1660" s="73" t="s">
        <v>3614</v>
      </c>
      <c r="E1660" s="90">
        <v>1101</v>
      </c>
      <c r="F1660" s="69" t="s">
        <v>3825</v>
      </c>
      <c r="G1660" s="90">
        <v>110183</v>
      </c>
      <c r="H1660" s="69" t="s">
        <v>3826</v>
      </c>
      <c r="I1660" s="69" t="s">
        <v>335</v>
      </c>
      <c r="J1660" s="67" t="str">
        <f>INDEX(数据元说明!A:F,MATCH(I1660,数据元说明!C:C,0),2)</f>
        <v>001003</v>
      </c>
      <c r="K1660" s="68" t="str">
        <f>INDEX(数据元说明!A:F,MATCH(I1660,数据元说明!C:C,0),5)</f>
        <v>百分比为单位，即1/100，保留两位小数。如4.5%则填报为4.50。</v>
      </c>
      <c r="L1660" s="69" t="str">
        <f>INDEX(数据元说明!A:F,MATCH(I1660,数据元说明!C:C,0),6)</f>
        <v>D20.2</v>
      </c>
      <c r="M1660" s="69" t="s">
        <v>3827</v>
      </c>
      <c r="N1660" s="68" t="s">
        <v>1583</v>
      </c>
      <c r="O1660" s="68" t="s">
        <v>3799</v>
      </c>
      <c r="P1660" s="69"/>
    </row>
    <row r="1661" ht="39.95" hidden="1" customHeight="1" outlineLevel="1" spans="1:16">
      <c r="A1661" s="63"/>
      <c r="B1661" s="64"/>
      <c r="C1661" s="73" t="s">
        <v>292</v>
      </c>
      <c r="D1661" s="73" t="s">
        <v>3614</v>
      </c>
      <c r="E1661" s="90">
        <v>1101</v>
      </c>
      <c r="F1661" s="67" t="s">
        <v>484</v>
      </c>
      <c r="G1661" s="90">
        <v>110184</v>
      </c>
      <c r="H1661" s="67" t="s">
        <v>1623</v>
      </c>
      <c r="I1661" s="67" t="s">
        <v>484</v>
      </c>
      <c r="J1661" s="67" t="str">
        <f>INDEX(数据元说明!A:F,MATCH(I1661,数据元说明!C:C,0),2)</f>
        <v>001038</v>
      </c>
      <c r="K1661" s="68" t="str">
        <f>INDEX(数据元说明!A:F,MATCH(I1661,数据元说明!C:C,0),5)</f>
        <v>银行自定义。</v>
      </c>
      <c r="L1661" s="67" t="str">
        <f>INDEX(数据元说明!A:F,MATCH(I1661,数据元说明!C:C,0),6)</f>
        <v>C..600</v>
      </c>
      <c r="M1661" s="68" t="s">
        <v>1624</v>
      </c>
      <c r="N1661" s="68" t="s">
        <v>1601</v>
      </c>
      <c r="O1661" s="68"/>
      <c r="P1661" s="68"/>
    </row>
    <row r="1662" ht="39.95" hidden="1" customHeight="1" collapsed="1" spans="1:16">
      <c r="A1662" s="63"/>
      <c r="B1662" s="64"/>
      <c r="C1662" s="73" t="s">
        <v>292</v>
      </c>
      <c r="D1662" s="73" t="s">
        <v>3614</v>
      </c>
      <c r="E1662" s="90">
        <v>1101</v>
      </c>
      <c r="F1662" s="67" t="s">
        <v>1625</v>
      </c>
      <c r="G1662" s="90">
        <v>110185</v>
      </c>
      <c r="H1662" s="75" t="s">
        <v>1626</v>
      </c>
      <c r="I1662" s="67" t="s">
        <v>345</v>
      </c>
      <c r="J1662" s="67" t="str">
        <f>INDEX(数据元说明!A:F,MATCH(I1662,数据元说明!C:C,0),2)</f>
        <v>001005</v>
      </c>
      <c r="K1662" s="68" t="str">
        <f>INDEX(数据元说明!A:F,MATCH(I1662,数据元说明!C:C,0),5)</f>
        <v>YYYYMMDD，默认值99991231。</v>
      </c>
      <c r="L1662" s="67" t="str">
        <f>INDEX(数据元说明!A:F,MATCH(I1662,数据元说明!C:C,0),6)</f>
        <v>C8</v>
      </c>
      <c r="M1662" s="68" t="s">
        <v>3828</v>
      </c>
      <c r="N1662" s="68" t="s">
        <v>1601</v>
      </c>
      <c r="O1662" s="68"/>
      <c r="P1662" s="69"/>
    </row>
    <row r="1663" ht="39.95" hidden="1" customHeight="1" spans="1:16">
      <c r="A1663" s="63"/>
      <c r="B1663" s="59"/>
      <c r="C1663" s="59" t="s">
        <v>295</v>
      </c>
      <c r="D1663" s="59" t="s">
        <v>3829</v>
      </c>
      <c r="E1663" s="67">
        <v>1102</v>
      </c>
      <c r="F1663" s="67"/>
      <c r="G1663" s="65"/>
      <c r="H1663" s="67"/>
      <c r="I1663" s="67"/>
      <c r="J1663" s="67"/>
      <c r="K1663" s="67"/>
      <c r="L1663" s="67" t="e">
        <f>INDEX(数据元说明!A:F,MATCH(I1663,数据元说明!C:C,0),6)</f>
        <v>#N/A</v>
      </c>
      <c r="M1663" s="68" t="s">
        <v>3830</v>
      </c>
      <c r="N1663" s="68"/>
      <c r="O1663" s="68"/>
      <c r="P1663" s="69" t="s">
        <v>3831</v>
      </c>
    </row>
    <row r="1664" ht="39.95" hidden="1" customHeight="1" spans="1:16">
      <c r="A1664" s="89"/>
      <c r="B1664" s="73"/>
      <c r="C1664" s="73" t="s">
        <v>295</v>
      </c>
      <c r="D1664" s="73" t="s">
        <v>3829</v>
      </c>
      <c r="E1664" s="90">
        <v>1102</v>
      </c>
      <c r="F1664" s="91" t="s">
        <v>1176</v>
      </c>
      <c r="G1664" s="92">
        <v>110201</v>
      </c>
      <c r="H1664" s="69" t="s">
        <v>3618</v>
      </c>
      <c r="I1664" s="69" t="s">
        <v>1176</v>
      </c>
      <c r="J1664" s="144" t="str">
        <f>INDEX(数据元说明!A:F,MATCH(I1664,数据元说明!C:C,0),2)</f>
        <v>010012</v>
      </c>
      <c r="K1664" s="68" t="str">
        <f>INDEX(数据元说明!A:F,MATCH(I1664,数据元说明!C:C,0),5)</f>
        <v>登记机构赋予理财产品的标识码，该码具有唯一性。</v>
      </c>
      <c r="L1664" s="69" t="str">
        <f>INDEX(数据元说明!A:F,MATCH(I1664,数据元说明!C:C,0),6)</f>
        <v>C..30</v>
      </c>
      <c r="M1664" s="69" t="s">
        <v>3619</v>
      </c>
      <c r="N1664" s="68"/>
      <c r="O1664" s="68"/>
      <c r="P1664" s="69"/>
    </row>
    <row r="1665" ht="39.95" hidden="1" customHeight="1" spans="1:16">
      <c r="A1665" s="89"/>
      <c r="B1665" s="73"/>
      <c r="C1665" s="73" t="s">
        <v>295</v>
      </c>
      <c r="D1665" s="73" t="s">
        <v>3829</v>
      </c>
      <c r="E1665" s="90">
        <v>1102</v>
      </c>
      <c r="F1665" s="91" t="s">
        <v>746</v>
      </c>
      <c r="G1665" s="92">
        <v>110202</v>
      </c>
      <c r="H1665" s="69" t="s">
        <v>3489</v>
      </c>
      <c r="I1665" s="69" t="s">
        <v>1136</v>
      </c>
      <c r="J1665" s="144" t="str">
        <f>INDEX(数据元说明!A:F,MATCH(I1665,数据元说明!C:C,0),2)</f>
        <v>010002</v>
      </c>
      <c r="K1665" s="68" t="str">
        <f>INDEX(数据元说明!A:F,MATCH(I1665,数据元说明!C:C,0),5)</f>
        <v>金融产品名称，包括但不限于标准化或非标准化金融产品。如果不是标准产品，则由银行自定义。</v>
      </c>
      <c r="L1665" s="69" t="str">
        <f>INDEX(数据元说明!A:F,MATCH(I1665,数据元说明!C:C,0),6)</f>
        <v>C..450</v>
      </c>
      <c r="M1665" s="69" t="s">
        <v>3623</v>
      </c>
      <c r="N1665" s="68" t="s">
        <v>1583</v>
      </c>
      <c r="O1665" s="68" t="s">
        <v>322</v>
      </c>
      <c r="P1665" s="69"/>
    </row>
    <row r="1666" ht="39.95" hidden="1" customHeight="1" spans="1:16">
      <c r="A1666" s="89"/>
      <c r="B1666" s="73"/>
      <c r="C1666" s="73" t="s">
        <v>295</v>
      </c>
      <c r="D1666" s="73" t="s">
        <v>3829</v>
      </c>
      <c r="E1666" s="90">
        <v>1102</v>
      </c>
      <c r="F1666" s="69" t="s">
        <v>1458</v>
      </c>
      <c r="G1666" s="92">
        <v>110203</v>
      </c>
      <c r="H1666" s="69" t="s">
        <v>3437</v>
      </c>
      <c r="I1666" s="69" t="s">
        <v>1458</v>
      </c>
      <c r="J1666" s="144" t="str">
        <f>INDEX(数据元说明!A:F,MATCH(I1666,数据元说明!C:C,0),2)</f>
        <v>010082</v>
      </c>
      <c r="K1666" s="68" t="str">
        <f>INDEX(数据元说明!A:F,MATCH(I1666,数据元说明!C:C,0),5)</f>
        <v>采用《金融机构编码规范》编发的法人机构代码(即金融机构代码）前6位。</v>
      </c>
      <c r="L1666" s="69" t="str">
        <f>INDEX(数据元说明!A:F,MATCH(I1666,数据元说明!C:C,0),6)</f>
        <v>C..30</v>
      </c>
      <c r="M1666" s="69"/>
      <c r="N1666" s="68"/>
      <c r="O1666" s="68"/>
      <c r="P1666" s="69"/>
    </row>
    <row r="1667" ht="39.95" hidden="1" customHeight="1" outlineLevel="1" spans="1:16">
      <c r="A1667" s="63"/>
      <c r="B1667" s="64"/>
      <c r="C1667" s="73" t="s">
        <v>295</v>
      </c>
      <c r="D1667" s="73" t="s">
        <v>3829</v>
      </c>
      <c r="E1667" s="90">
        <v>1102</v>
      </c>
      <c r="F1667" s="67" t="s">
        <v>373</v>
      </c>
      <c r="G1667" s="92">
        <v>110204</v>
      </c>
      <c r="H1667" s="67" t="s">
        <v>1588</v>
      </c>
      <c r="I1667" s="67" t="s">
        <v>373</v>
      </c>
      <c r="J1667" s="67" t="str">
        <f>INDEX(数据元说明!A:F,MATCH(I1667,数据元说明!C:C,0),2)</f>
        <v>001011</v>
      </c>
      <c r="K1667" s="68" t="str">
        <f>INDEX(数据元说明!A:F,MATCH(I1667,数据元说明!C:C,0),5)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667" s="67" t="str">
        <f>INDEX(数据元说明!A:F,MATCH(I1667,数据元说明!C:C,0),6)</f>
        <v>C..30</v>
      </c>
      <c r="M1667" s="68" t="s">
        <v>3624</v>
      </c>
      <c r="N1667" s="68" t="s">
        <v>1601</v>
      </c>
      <c r="O1667" s="68"/>
      <c r="P1667" s="68"/>
    </row>
    <row r="1668" ht="39.95" hidden="1" customHeight="1" collapsed="1" spans="1:16">
      <c r="A1668" s="89"/>
      <c r="B1668" s="73"/>
      <c r="C1668" s="73" t="s">
        <v>295</v>
      </c>
      <c r="D1668" s="73" t="s">
        <v>3829</v>
      </c>
      <c r="E1668" s="90">
        <v>1102</v>
      </c>
      <c r="F1668" s="91" t="s">
        <v>3388</v>
      </c>
      <c r="G1668" s="92">
        <v>110205</v>
      </c>
      <c r="H1668" s="69" t="s">
        <v>3389</v>
      </c>
      <c r="I1668" s="69" t="s">
        <v>325</v>
      </c>
      <c r="J1668" s="67" t="str">
        <f>INDEX(数据元说明!A:F,MATCH(I1668,数据元说明!C:C,0),2)</f>
        <v>001001</v>
      </c>
      <c r="K1668" s="68" t="str">
        <f>INDEX(数据元说明!A:F,MATCH(I1668,数据元说明!C:C,0),5)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668" s="69" t="str">
        <f>INDEX(数据元说明!A:F,MATCH(I1668,数据元说明!C:C,0),6)</f>
        <v>C..450</v>
      </c>
      <c r="M1668" s="69" t="s">
        <v>3832</v>
      </c>
      <c r="N1668" s="68" t="s">
        <v>1583</v>
      </c>
      <c r="O1668" s="68" t="s">
        <v>322</v>
      </c>
      <c r="P1668" s="69"/>
    </row>
    <row r="1669" ht="39.95" hidden="1" customHeight="1" spans="1:16">
      <c r="A1669" s="89"/>
      <c r="B1669" s="73"/>
      <c r="C1669" s="73" t="s">
        <v>295</v>
      </c>
      <c r="D1669" s="73" t="s">
        <v>3829</v>
      </c>
      <c r="E1669" s="90">
        <v>1102</v>
      </c>
      <c r="F1669" s="91" t="s">
        <v>3833</v>
      </c>
      <c r="G1669" s="92">
        <v>110206</v>
      </c>
      <c r="H1669" s="69" t="s">
        <v>3834</v>
      </c>
      <c r="I1669" s="69" t="s">
        <v>1537</v>
      </c>
      <c r="J1669" s="144" t="str">
        <f>INDEX(数据元说明!A:F,MATCH(I1669,数据元说明!C:C,0),2)</f>
        <v>010102</v>
      </c>
      <c r="K1669" s="68" t="str">
        <f>INDEX(数据元说明!A:F,MATCH(I1669,数据元说明!C:C,0),5)</f>
        <v>折算人民币的金额</v>
      </c>
      <c r="L1669" s="69" t="str">
        <f>INDEX(数据元说明!A:F,MATCH(I1669,数据元说明!C:C,0),6)</f>
        <v>D20.2</v>
      </c>
      <c r="M1669" s="93" t="s">
        <v>3835</v>
      </c>
      <c r="N1669" s="68" t="s">
        <v>1583</v>
      </c>
      <c r="O1669" s="68" t="s">
        <v>3836</v>
      </c>
      <c r="P1669" s="69"/>
    </row>
    <row r="1670" ht="39.95" hidden="1" customHeight="1" spans="1:16">
      <c r="A1670" s="89"/>
      <c r="B1670" s="73"/>
      <c r="C1670" s="73" t="s">
        <v>295</v>
      </c>
      <c r="D1670" s="73" t="s">
        <v>3829</v>
      </c>
      <c r="E1670" s="90">
        <v>1102</v>
      </c>
      <c r="F1670" s="91" t="s">
        <v>3837</v>
      </c>
      <c r="G1670" s="92">
        <v>110207</v>
      </c>
      <c r="H1670" s="69" t="s">
        <v>3838</v>
      </c>
      <c r="I1670" s="69" t="s">
        <v>1418</v>
      </c>
      <c r="J1670" s="144" t="str">
        <f>INDEX(数据元说明!A:F,MATCH(I1670,数据元说明!C:C,0),2)</f>
        <v>010072</v>
      </c>
      <c r="K1670" s="68" t="str">
        <f>INDEX(数据元说明!A:F,MATCH(I1670,数据元说明!C:C,0),5)</f>
        <v>产品份额或资产的数量。</v>
      </c>
      <c r="L1670" s="69" t="str">
        <f>INDEX(数据元说明!A:F,MATCH(I1670,数据元说明!C:C,0),6)</f>
        <v>D20.6</v>
      </c>
      <c r="M1670" s="93" t="s">
        <v>3839</v>
      </c>
      <c r="N1670" s="68" t="s">
        <v>1583</v>
      </c>
      <c r="O1670" s="68" t="s">
        <v>1695</v>
      </c>
      <c r="P1670" s="69"/>
    </row>
    <row r="1671" ht="39.95" hidden="1" customHeight="1" spans="1:16">
      <c r="A1671" s="89"/>
      <c r="B1671" s="73"/>
      <c r="C1671" s="73" t="s">
        <v>295</v>
      </c>
      <c r="D1671" s="73" t="s">
        <v>3829</v>
      </c>
      <c r="E1671" s="90">
        <v>1102</v>
      </c>
      <c r="F1671" s="91" t="s">
        <v>3840</v>
      </c>
      <c r="G1671" s="92">
        <v>110208</v>
      </c>
      <c r="H1671" s="69" t="s">
        <v>3841</v>
      </c>
      <c r="I1671" s="69" t="s">
        <v>1537</v>
      </c>
      <c r="J1671" s="144" t="str">
        <f>INDEX(数据元说明!A:F,MATCH(I1671,数据元说明!C:C,0),2)</f>
        <v>010102</v>
      </c>
      <c r="K1671" s="68" t="str">
        <f>INDEX(数据元说明!A:F,MATCH(I1671,数据元说明!C:C,0),5)</f>
        <v>折算人民币的金额</v>
      </c>
      <c r="L1671" s="69" t="str">
        <f>INDEX(数据元说明!A:F,MATCH(I1671,数据元说明!C:C,0),6)</f>
        <v>D20.2</v>
      </c>
      <c r="M1671" s="93" t="s">
        <v>3842</v>
      </c>
      <c r="N1671" s="68" t="s">
        <v>1583</v>
      </c>
      <c r="O1671" s="68" t="s">
        <v>3836</v>
      </c>
      <c r="P1671" s="69"/>
    </row>
    <row r="1672" ht="39.95" hidden="1" customHeight="1" spans="1:16">
      <c r="A1672" s="89"/>
      <c r="B1672" s="73"/>
      <c r="C1672" s="73" t="s">
        <v>295</v>
      </c>
      <c r="D1672" s="73" t="s">
        <v>3829</v>
      </c>
      <c r="E1672" s="90">
        <v>1102</v>
      </c>
      <c r="F1672" s="91" t="s">
        <v>3843</v>
      </c>
      <c r="G1672" s="92">
        <v>110209</v>
      </c>
      <c r="H1672" s="69" t="s">
        <v>3844</v>
      </c>
      <c r="I1672" s="69" t="s">
        <v>1537</v>
      </c>
      <c r="J1672" s="144" t="str">
        <f>INDEX(数据元说明!A:F,MATCH(I1672,数据元说明!C:C,0),2)</f>
        <v>010102</v>
      </c>
      <c r="K1672" s="68" t="str">
        <f>INDEX(数据元说明!A:F,MATCH(I1672,数据元说明!C:C,0),5)</f>
        <v>折算人民币的金额</v>
      </c>
      <c r="L1672" s="69" t="str">
        <f>INDEX(数据元说明!A:F,MATCH(I1672,数据元说明!C:C,0),6)</f>
        <v>D20.2</v>
      </c>
      <c r="M1672" s="93" t="s">
        <v>3845</v>
      </c>
      <c r="N1672" s="68" t="s">
        <v>1583</v>
      </c>
      <c r="O1672" s="68" t="s">
        <v>3836</v>
      </c>
      <c r="P1672" s="69"/>
    </row>
    <row r="1673" ht="39.95" hidden="1" customHeight="1" spans="1:16">
      <c r="A1673" s="89"/>
      <c r="B1673" s="73"/>
      <c r="C1673" s="73" t="s">
        <v>295</v>
      </c>
      <c r="D1673" s="73" t="s">
        <v>3829</v>
      </c>
      <c r="E1673" s="90">
        <v>1102</v>
      </c>
      <c r="F1673" s="91" t="s">
        <v>3846</v>
      </c>
      <c r="G1673" s="92">
        <v>110210</v>
      </c>
      <c r="H1673" s="69" t="s">
        <v>3847</v>
      </c>
      <c r="I1673" s="69" t="s">
        <v>1418</v>
      </c>
      <c r="J1673" s="144" t="str">
        <f>INDEX(数据元说明!A:F,MATCH(I1673,数据元说明!C:C,0),2)</f>
        <v>010072</v>
      </c>
      <c r="K1673" s="68" t="str">
        <f>INDEX(数据元说明!A:F,MATCH(I1673,数据元说明!C:C,0),5)</f>
        <v>产品份额或资产的数量。</v>
      </c>
      <c r="L1673" s="69" t="str">
        <f>INDEX(数据元说明!A:F,MATCH(I1673,数据元说明!C:C,0),6)</f>
        <v>D20.6</v>
      </c>
      <c r="M1673" s="93" t="s">
        <v>3848</v>
      </c>
      <c r="N1673" s="68" t="s">
        <v>1583</v>
      </c>
      <c r="O1673" s="68" t="s">
        <v>1695</v>
      </c>
      <c r="P1673" s="69"/>
    </row>
    <row r="1674" ht="39.95" hidden="1" customHeight="1" spans="1:16">
      <c r="A1674" s="89"/>
      <c r="B1674" s="73"/>
      <c r="C1674" s="73" t="s">
        <v>295</v>
      </c>
      <c r="D1674" s="73" t="s">
        <v>3829</v>
      </c>
      <c r="E1674" s="90">
        <v>1102</v>
      </c>
      <c r="F1674" s="91" t="s">
        <v>3849</v>
      </c>
      <c r="G1674" s="92">
        <v>110211</v>
      </c>
      <c r="H1674" s="69" t="s">
        <v>3850</v>
      </c>
      <c r="I1674" s="69" t="s">
        <v>1541</v>
      </c>
      <c r="J1674" s="144" t="str">
        <f>INDEX(数据元说明!A:F,MATCH(I1674,数据元说明!C:C,0),2)</f>
        <v>010103</v>
      </c>
      <c r="K1674" s="68" t="str">
        <f>INDEX(数据元说明!A:F,MATCH(I1674,数据元说明!C:C,0),5)</f>
        <v>“产品统计日状态”为“存续”。即所在月末统计时点产品处于存续的状态。</v>
      </c>
      <c r="L1674" s="69" t="str">
        <f>INDEX(数据元说明!A:F,MATCH(I1674,数据元说明!C:C,0),6)</f>
        <v>C..30</v>
      </c>
      <c r="M1674" s="69" t="s">
        <v>3851</v>
      </c>
      <c r="N1674" s="68" t="s">
        <v>1583</v>
      </c>
      <c r="O1674" s="68" t="s">
        <v>3852</v>
      </c>
      <c r="P1674" s="69"/>
    </row>
    <row r="1675" ht="39.95" hidden="1" customHeight="1" spans="1:16">
      <c r="A1675" s="89"/>
      <c r="B1675" s="73"/>
      <c r="C1675" s="73" t="s">
        <v>295</v>
      </c>
      <c r="D1675" s="73" t="s">
        <v>3829</v>
      </c>
      <c r="E1675" s="90">
        <v>1102</v>
      </c>
      <c r="F1675" s="91" t="s">
        <v>3853</v>
      </c>
      <c r="G1675" s="92">
        <v>110212</v>
      </c>
      <c r="H1675" s="69" t="s">
        <v>3854</v>
      </c>
      <c r="I1675" s="69" t="s">
        <v>1537</v>
      </c>
      <c r="J1675" s="144" t="str">
        <f>INDEX(数据元说明!A:F,MATCH(I1675,数据元说明!C:C,0),2)</f>
        <v>010102</v>
      </c>
      <c r="K1675" s="68" t="str">
        <f>INDEX(数据元说明!A:F,MATCH(I1675,数据元说明!C:C,0),5)</f>
        <v>折算人民币的金额</v>
      </c>
      <c r="L1675" s="69" t="str">
        <f>INDEX(数据元说明!A:F,MATCH(I1675,数据元说明!C:C,0),6)</f>
        <v>D20.2</v>
      </c>
      <c r="M1675" s="69" t="s">
        <v>3855</v>
      </c>
      <c r="N1675" s="68" t="s">
        <v>1583</v>
      </c>
      <c r="O1675" s="68" t="s">
        <v>3856</v>
      </c>
      <c r="P1675" s="69"/>
    </row>
    <row r="1676" ht="39.95" hidden="1" customHeight="1" spans="1:16">
      <c r="A1676" s="89"/>
      <c r="B1676" s="73"/>
      <c r="C1676" s="73" t="s">
        <v>295</v>
      </c>
      <c r="D1676" s="73" t="s">
        <v>3829</v>
      </c>
      <c r="E1676" s="90">
        <v>1102</v>
      </c>
      <c r="F1676" s="91" t="s">
        <v>3857</v>
      </c>
      <c r="G1676" s="92">
        <v>110213</v>
      </c>
      <c r="H1676" s="69" t="s">
        <v>3858</v>
      </c>
      <c r="I1676" s="69" t="s">
        <v>642</v>
      </c>
      <c r="J1676" s="67" t="str">
        <f>INDEX(数据元说明!A:F,MATCH(I1676,数据元说明!C:C,0),2)</f>
        <v>003010</v>
      </c>
      <c r="K1676" s="68" t="str">
        <f>INDEX(数据元说明!A:F,MATCH(I1676,数据元说明!C:C,0),5)</f>
        <v>遵循《GB/T 12406 表示货币和资金的代码》的字母代码，如CNY。上述文件所列币种无法涵盖的，允许银行自定义填报。多个币种合计折算为人民币（本外币合计）的，填报为BWB。</v>
      </c>
      <c r="L1676" s="69" t="str">
        <f>INDEX(数据元说明!A:F,MATCH(I1676,数据元说明!C:C,0),6)</f>
        <v>C3</v>
      </c>
      <c r="M1676" s="69" t="s">
        <v>3859</v>
      </c>
      <c r="N1676" s="68" t="s">
        <v>1583</v>
      </c>
      <c r="O1676" s="68"/>
      <c r="P1676" s="69" t="s">
        <v>1634</v>
      </c>
    </row>
    <row r="1677" ht="39.95" hidden="1" customHeight="1" spans="1:16">
      <c r="A1677" s="89"/>
      <c r="B1677" s="73"/>
      <c r="C1677" s="73" t="s">
        <v>295</v>
      </c>
      <c r="D1677" s="73" t="s">
        <v>3829</v>
      </c>
      <c r="E1677" s="90">
        <v>1102</v>
      </c>
      <c r="F1677" s="91" t="s">
        <v>3860</v>
      </c>
      <c r="G1677" s="92">
        <v>110214</v>
      </c>
      <c r="H1677" s="69" t="s">
        <v>3861</v>
      </c>
      <c r="I1677" s="69" t="s">
        <v>1301</v>
      </c>
      <c r="J1677" s="144" t="str">
        <f>INDEX(数据元说明!A:F,MATCH(I1677,数据元说明!C:C,0),2)</f>
        <v>010043</v>
      </c>
      <c r="K1677" s="68" t="str">
        <f>INDEX(数据元说明!A:F,MATCH(I1677,数据元说明!C:C,0),5)</f>
        <v>理财产品份额的单位价值。</v>
      </c>
      <c r="L1677" s="69" t="str">
        <f>INDEX(数据元说明!A:F,MATCH(I1677,数据元说明!C:C,0),6)</f>
        <v>D20.6</v>
      </c>
      <c r="M1677" s="69" t="s">
        <v>3862</v>
      </c>
      <c r="N1677" s="68" t="s">
        <v>1583</v>
      </c>
      <c r="O1677" s="68" t="s">
        <v>322</v>
      </c>
      <c r="P1677" s="69"/>
    </row>
    <row r="1678" ht="39.95" hidden="1" customHeight="1" spans="1:16">
      <c r="A1678" s="89"/>
      <c r="B1678" s="73"/>
      <c r="C1678" s="73" t="s">
        <v>295</v>
      </c>
      <c r="D1678" s="73" t="s">
        <v>3829</v>
      </c>
      <c r="E1678" s="90">
        <v>1102</v>
      </c>
      <c r="F1678" s="91" t="s">
        <v>3863</v>
      </c>
      <c r="G1678" s="92">
        <v>110215</v>
      </c>
      <c r="H1678" s="69" t="s">
        <v>3864</v>
      </c>
      <c r="I1678" s="69" t="s">
        <v>1301</v>
      </c>
      <c r="J1678" s="144" t="str">
        <f>INDEX(数据元说明!A:F,MATCH(I1678,数据元说明!C:C,0),2)</f>
        <v>010043</v>
      </c>
      <c r="K1678" s="68" t="str">
        <f>INDEX(数据元说明!A:F,MATCH(I1678,数据元说明!C:C,0),5)</f>
        <v>理财产品份额的单位价值。</v>
      </c>
      <c r="L1678" s="69" t="str">
        <f>INDEX(数据元说明!A:F,MATCH(I1678,数据元说明!C:C,0),6)</f>
        <v>D20.6</v>
      </c>
      <c r="M1678" s="69" t="s">
        <v>3865</v>
      </c>
      <c r="N1678" s="68" t="s">
        <v>1583</v>
      </c>
      <c r="O1678" s="68" t="s">
        <v>322</v>
      </c>
      <c r="P1678" s="69"/>
    </row>
    <row r="1679" ht="39.95" hidden="1" customHeight="1" spans="1:16">
      <c r="A1679" s="89"/>
      <c r="B1679" s="73"/>
      <c r="C1679" s="73" t="s">
        <v>295</v>
      </c>
      <c r="D1679" s="73" t="s">
        <v>3829</v>
      </c>
      <c r="E1679" s="90">
        <v>1102</v>
      </c>
      <c r="F1679" s="91" t="s">
        <v>3866</v>
      </c>
      <c r="G1679" s="92">
        <v>110216</v>
      </c>
      <c r="H1679" s="69" t="s">
        <v>3867</v>
      </c>
      <c r="I1679" s="69" t="s">
        <v>1301</v>
      </c>
      <c r="J1679" s="144" t="str">
        <f>INDEX(数据元说明!A:F,MATCH(I1679,数据元说明!C:C,0),2)</f>
        <v>010043</v>
      </c>
      <c r="K1679" s="68" t="str">
        <f>INDEX(数据元说明!A:F,MATCH(I1679,数据元说明!C:C,0),5)</f>
        <v>理财产品份额的单位价值。</v>
      </c>
      <c r="L1679" s="69" t="str">
        <f>INDEX(数据元说明!A:F,MATCH(I1679,数据元说明!C:C,0),6)</f>
        <v>D20.6</v>
      </c>
      <c r="M1679" s="69" t="s">
        <v>3868</v>
      </c>
      <c r="N1679" s="68" t="s">
        <v>1583</v>
      </c>
      <c r="O1679" s="68" t="s">
        <v>322</v>
      </c>
      <c r="P1679" s="69"/>
    </row>
    <row r="1680" ht="39.95" hidden="1" customHeight="1" spans="1:16">
      <c r="A1680" s="89"/>
      <c r="B1680" s="73"/>
      <c r="C1680" s="73" t="s">
        <v>295</v>
      </c>
      <c r="D1680" s="73" t="s">
        <v>3829</v>
      </c>
      <c r="E1680" s="90">
        <v>1102</v>
      </c>
      <c r="F1680" s="91" t="s">
        <v>3869</v>
      </c>
      <c r="G1680" s="92">
        <v>110217</v>
      </c>
      <c r="H1680" s="69" t="s">
        <v>3870</v>
      </c>
      <c r="I1680" s="69" t="s">
        <v>1301</v>
      </c>
      <c r="J1680" s="144" t="str">
        <f>INDEX(数据元说明!A:F,MATCH(I1680,数据元说明!C:C,0),2)</f>
        <v>010043</v>
      </c>
      <c r="K1680" s="68" t="str">
        <f>INDEX(数据元说明!A:F,MATCH(I1680,数据元说明!C:C,0),5)</f>
        <v>理财产品份额的单位价值。</v>
      </c>
      <c r="L1680" s="69" t="str">
        <f>INDEX(数据元说明!A:F,MATCH(I1680,数据元说明!C:C,0),6)</f>
        <v>D20.6</v>
      </c>
      <c r="M1680" s="69" t="s">
        <v>3871</v>
      </c>
      <c r="N1680" s="68" t="s">
        <v>1583</v>
      </c>
      <c r="O1680" s="68" t="s">
        <v>1695</v>
      </c>
      <c r="P1680" s="69"/>
    </row>
    <row r="1681" ht="39.95" hidden="1" customHeight="1" spans="1:16">
      <c r="A1681" s="89"/>
      <c r="B1681" s="73"/>
      <c r="C1681" s="73" t="s">
        <v>295</v>
      </c>
      <c r="D1681" s="73" t="s">
        <v>3829</v>
      </c>
      <c r="E1681" s="90">
        <v>1102</v>
      </c>
      <c r="F1681" s="91" t="s">
        <v>3872</v>
      </c>
      <c r="G1681" s="92">
        <v>110218</v>
      </c>
      <c r="H1681" s="69" t="s">
        <v>3873</v>
      </c>
      <c r="I1681" s="69" t="s">
        <v>1301</v>
      </c>
      <c r="J1681" s="144" t="str">
        <f>INDEX(数据元说明!A:F,MATCH(I1681,数据元说明!C:C,0),2)</f>
        <v>010043</v>
      </c>
      <c r="K1681" s="68" t="str">
        <f>INDEX(数据元说明!A:F,MATCH(I1681,数据元说明!C:C,0),5)</f>
        <v>理财产品份额的单位价值。</v>
      </c>
      <c r="L1681" s="69" t="str">
        <f>INDEX(数据元说明!A:F,MATCH(I1681,数据元说明!C:C,0),6)</f>
        <v>D20.6</v>
      </c>
      <c r="M1681" s="69" t="s">
        <v>3874</v>
      </c>
      <c r="N1681" s="68" t="s">
        <v>1583</v>
      </c>
      <c r="O1681" s="68" t="s">
        <v>1695</v>
      </c>
      <c r="P1681" s="69"/>
    </row>
    <row r="1682" ht="39.95" hidden="1" customHeight="1" spans="1:16">
      <c r="A1682" s="89"/>
      <c r="B1682" s="73"/>
      <c r="C1682" s="73" t="s">
        <v>295</v>
      </c>
      <c r="D1682" s="73" t="s">
        <v>3829</v>
      </c>
      <c r="E1682" s="90">
        <v>1102</v>
      </c>
      <c r="F1682" s="91" t="s">
        <v>3875</v>
      </c>
      <c r="G1682" s="92">
        <v>110219</v>
      </c>
      <c r="H1682" s="69" t="s">
        <v>3876</v>
      </c>
      <c r="I1682" s="69" t="s">
        <v>1301</v>
      </c>
      <c r="J1682" s="144" t="str">
        <f>INDEX(数据元说明!A:F,MATCH(I1682,数据元说明!C:C,0),2)</f>
        <v>010043</v>
      </c>
      <c r="K1682" s="68" t="str">
        <f>INDEX(数据元说明!A:F,MATCH(I1682,数据元说明!C:C,0),5)</f>
        <v>理财产品份额的单位价值。</v>
      </c>
      <c r="L1682" s="69" t="str">
        <f>INDEX(数据元说明!A:F,MATCH(I1682,数据元说明!C:C,0),6)</f>
        <v>D20.6</v>
      </c>
      <c r="M1682" s="69" t="s">
        <v>3877</v>
      </c>
      <c r="N1682" s="68" t="s">
        <v>1583</v>
      </c>
      <c r="O1682" s="68" t="s">
        <v>1695</v>
      </c>
      <c r="P1682" s="69"/>
    </row>
    <row r="1683" ht="39.95" hidden="1" customHeight="1" spans="1:16">
      <c r="A1683" s="89"/>
      <c r="B1683" s="73"/>
      <c r="C1683" s="73" t="s">
        <v>295</v>
      </c>
      <c r="D1683" s="73" t="s">
        <v>3829</v>
      </c>
      <c r="E1683" s="90">
        <v>1102</v>
      </c>
      <c r="F1683" s="91" t="s">
        <v>3878</v>
      </c>
      <c r="G1683" s="92">
        <v>110220</v>
      </c>
      <c r="H1683" s="69" t="s">
        <v>3879</v>
      </c>
      <c r="I1683" s="69" t="s">
        <v>335</v>
      </c>
      <c r="J1683" s="67" t="str">
        <f>INDEX(数据元说明!A:F,MATCH(I1683,数据元说明!C:C,0),2)</f>
        <v>001003</v>
      </c>
      <c r="K1683" s="68" t="str">
        <f>INDEX(数据元说明!A:F,MATCH(I1683,数据元说明!C:C,0),5)</f>
        <v>百分比为单位，即1/100，保留两位小数。如4.5%则填报为4.50。</v>
      </c>
      <c r="L1683" s="69" t="str">
        <f>INDEX(数据元说明!A:F,MATCH(I1683,数据元说明!C:C,0),6)</f>
        <v>D20.2</v>
      </c>
      <c r="M1683" s="69" t="s">
        <v>3880</v>
      </c>
      <c r="N1683" s="68" t="s">
        <v>1583</v>
      </c>
      <c r="O1683" s="68" t="s">
        <v>3799</v>
      </c>
      <c r="P1683" s="69"/>
    </row>
    <row r="1684" ht="39.95" hidden="1" customHeight="1" spans="1:16">
      <c r="A1684" s="89"/>
      <c r="B1684" s="73"/>
      <c r="C1684" s="73" t="s">
        <v>295</v>
      </c>
      <c r="D1684" s="73" t="s">
        <v>3829</v>
      </c>
      <c r="E1684" s="90">
        <v>1102</v>
      </c>
      <c r="F1684" s="91" t="s">
        <v>3881</v>
      </c>
      <c r="G1684" s="92">
        <v>110221</v>
      </c>
      <c r="H1684" s="69" t="s">
        <v>3882</v>
      </c>
      <c r="I1684" s="69" t="s">
        <v>1537</v>
      </c>
      <c r="J1684" s="144" t="str">
        <f>INDEX(数据元说明!A:F,MATCH(I1684,数据元说明!C:C,0),2)</f>
        <v>010102</v>
      </c>
      <c r="K1684" s="68" t="str">
        <f>INDEX(数据元说明!A:F,MATCH(I1684,数据元说明!C:C,0),5)</f>
        <v>折算人民币的金额</v>
      </c>
      <c r="L1684" s="69" t="str">
        <f>INDEX(数据元说明!A:F,MATCH(I1684,数据元说明!C:C,0),6)</f>
        <v>D20.2</v>
      </c>
      <c r="M1684" s="69" t="s">
        <v>3883</v>
      </c>
      <c r="N1684" s="68" t="s">
        <v>1583</v>
      </c>
      <c r="O1684" s="68" t="s">
        <v>3856</v>
      </c>
      <c r="P1684" s="69"/>
    </row>
    <row r="1685" ht="39.95" hidden="1" customHeight="1" spans="1:16">
      <c r="A1685" s="89"/>
      <c r="B1685" s="73"/>
      <c r="C1685" s="73" t="s">
        <v>295</v>
      </c>
      <c r="D1685" s="73" t="s">
        <v>3829</v>
      </c>
      <c r="E1685" s="90">
        <v>1102</v>
      </c>
      <c r="F1685" s="91" t="s">
        <v>3884</v>
      </c>
      <c r="G1685" s="92">
        <v>110222</v>
      </c>
      <c r="H1685" s="69" t="s">
        <v>3885</v>
      </c>
      <c r="I1685" s="69" t="s">
        <v>1545</v>
      </c>
      <c r="J1685" s="144" t="str">
        <f>INDEX(数据元说明!A:F,MATCH(I1685,数据元说明!C:C,0),2)</f>
        <v>010104</v>
      </c>
      <c r="K1685" s="68" t="str">
        <f>INDEX(数据元说明!A:F,MATCH(I1685,数据元说明!C:C,0),5)</f>
        <v>所在月末统计时点理财产品的杠杆率。结果保留四位小数。</v>
      </c>
      <c r="L1685" s="69" t="str">
        <f>INDEX(数据元说明!A:F,MATCH(I1685,数据元说明!C:C,0),6)</f>
        <v>D20.4</v>
      </c>
      <c r="M1685" s="73" t="s">
        <v>3886</v>
      </c>
      <c r="N1685" s="68" t="s">
        <v>1601</v>
      </c>
      <c r="O1685" s="68"/>
      <c r="P1685" s="69"/>
    </row>
    <row r="1686" ht="39.95" hidden="1" customHeight="1" spans="1:16">
      <c r="A1686" s="89"/>
      <c r="B1686" s="73"/>
      <c r="C1686" s="73" t="s">
        <v>295</v>
      </c>
      <c r="D1686" s="73" t="s">
        <v>3829</v>
      </c>
      <c r="E1686" s="90">
        <v>1102</v>
      </c>
      <c r="F1686" s="91" t="s">
        <v>3887</v>
      </c>
      <c r="G1686" s="92">
        <v>110223</v>
      </c>
      <c r="H1686" s="69" t="s">
        <v>3888</v>
      </c>
      <c r="I1686" s="69" t="s">
        <v>1545</v>
      </c>
      <c r="J1686" s="144" t="str">
        <f>INDEX(数据元说明!A:F,MATCH(I1686,数据元说明!C:C,0),2)</f>
        <v>010104</v>
      </c>
      <c r="K1686" s="68" t="str">
        <f>INDEX(数据元说明!A:F,MATCH(I1686,数据元说明!C:C,0),5)</f>
        <v>所在月末统计时点理财产品的杠杆率。结果保留四位小数。</v>
      </c>
      <c r="L1686" s="69" t="str">
        <f>INDEX(数据元说明!A:F,MATCH(I1686,数据元说明!C:C,0),6)</f>
        <v>D20.4</v>
      </c>
      <c r="M1686" s="73" t="s">
        <v>3889</v>
      </c>
      <c r="N1686" s="68" t="s">
        <v>1601</v>
      </c>
      <c r="O1686" s="68"/>
      <c r="P1686" s="69"/>
    </row>
    <row r="1687" ht="39.95" hidden="1" customHeight="1" spans="1:16">
      <c r="A1687" s="89"/>
      <c r="B1687" s="73"/>
      <c r="C1687" s="73" t="s">
        <v>295</v>
      </c>
      <c r="D1687" s="73" t="s">
        <v>3829</v>
      </c>
      <c r="E1687" s="90">
        <v>1102</v>
      </c>
      <c r="F1687" s="73" t="s">
        <v>3890</v>
      </c>
      <c r="G1687" s="92">
        <v>110224</v>
      </c>
      <c r="H1687" s="73" t="s">
        <v>3891</v>
      </c>
      <c r="I1687" s="73" t="s">
        <v>1537</v>
      </c>
      <c r="J1687" s="144" t="str">
        <f>INDEX(数据元说明!A:F,MATCH(I1687,数据元说明!C:C,0),2)</f>
        <v>010102</v>
      </c>
      <c r="K1687" s="68" t="str">
        <f>INDEX(数据元说明!A:F,MATCH(I1687,数据元说明!C:C,0),5)</f>
        <v>折算人民币的金额</v>
      </c>
      <c r="L1687" s="69" t="str">
        <f>INDEX(数据元说明!A:F,MATCH(I1687,数据元说明!C:C,0),6)</f>
        <v>D20.2</v>
      </c>
      <c r="M1687" s="73" t="s">
        <v>3892</v>
      </c>
      <c r="N1687" s="68" t="s">
        <v>1601</v>
      </c>
      <c r="O1687" s="68"/>
      <c r="P1687" s="69"/>
    </row>
    <row r="1688" ht="39.95" hidden="1" customHeight="1" spans="1:16">
      <c r="A1688" s="89"/>
      <c r="B1688" s="73"/>
      <c r="C1688" s="73" t="s">
        <v>295</v>
      </c>
      <c r="D1688" s="73" t="s">
        <v>3829</v>
      </c>
      <c r="E1688" s="90">
        <v>1102</v>
      </c>
      <c r="F1688" s="73" t="s">
        <v>3893</v>
      </c>
      <c r="G1688" s="92">
        <v>110225</v>
      </c>
      <c r="H1688" s="73" t="s">
        <v>3894</v>
      </c>
      <c r="I1688" s="73" t="s">
        <v>1537</v>
      </c>
      <c r="J1688" s="144" t="str">
        <f>INDEX(数据元说明!A:F,MATCH(I1688,数据元说明!C:C,0),2)</f>
        <v>010102</v>
      </c>
      <c r="K1688" s="68" t="str">
        <f>INDEX(数据元说明!A:F,MATCH(I1688,数据元说明!C:C,0),5)</f>
        <v>折算人民币的金额</v>
      </c>
      <c r="L1688" s="69" t="str">
        <f>INDEX(数据元说明!A:F,MATCH(I1688,数据元说明!C:C,0),6)</f>
        <v>D20.2</v>
      </c>
      <c r="M1688" s="73" t="s">
        <v>3895</v>
      </c>
      <c r="N1688" s="68" t="s">
        <v>1601</v>
      </c>
      <c r="O1688" s="68"/>
      <c r="P1688" s="69"/>
    </row>
    <row r="1689" ht="39.95" hidden="1" customHeight="1" outlineLevel="1" spans="1:16">
      <c r="A1689" s="63"/>
      <c r="B1689" s="64"/>
      <c r="C1689" s="73" t="s">
        <v>295</v>
      </c>
      <c r="D1689" s="73" t="s">
        <v>3829</v>
      </c>
      <c r="E1689" s="90">
        <v>1102</v>
      </c>
      <c r="F1689" s="67" t="s">
        <v>484</v>
      </c>
      <c r="G1689" s="92">
        <v>110226</v>
      </c>
      <c r="H1689" s="67" t="s">
        <v>1623</v>
      </c>
      <c r="I1689" s="67" t="s">
        <v>484</v>
      </c>
      <c r="J1689" s="67" t="str">
        <f>INDEX(数据元说明!A:F,MATCH(I1689,数据元说明!C:C,0),2)</f>
        <v>001038</v>
      </c>
      <c r="K1689" s="68" t="str">
        <f>INDEX(数据元说明!A:F,MATCH(I1689,数据元说明!C:C,0),5)</f>
        <v>银行自定义。</v>
      </c>
      <c r="L1689" s="67" t="str">
        <f>INDEX(数据元说明!A:F,MATCH(I1689,数据元说明!C:C,0),6)</f>
        <v>C..600</v>
      </c>
      <c r="M1689" s="68" t="s">
        <v>1624</v>
      </c>
      <c r="N1689" s="68" t="s">
        <v>1601</v>
      </c>
      <c r="O1689" s="68"/>
      <c r="P1689" s="68"/>
    </row>
    <row r="1690" ht="39.95" hidden="1" customHeight="1" collapsed="1" spans="1:16">
      <c r="A1690" s="63"/>
      <c r="B1690" s="64"/>
      <c r="C1690" s="73" t="s">
        <v>295</v>
      </c>
      <c r="D1690" s="73" t="s">
        <v>3829</v>
      </c>
      <c r="E1690" s="90">
        <v>1102</v>
      </c>
      <c r="F1690" s="67" t="s">
        <v>1625</v>
      </c>
      <c r="G1690" s="92">
        <v>110227</v>
      </c>
      <c r="H1690" s="75" t="s">
        <v>1626</v>
      </c>
      <c r="I1690" s="67" t="s">
        <v>345</v>
      </c>
      <c r="J1690" s="67" t="str">
        <f>INDEX(数据元说明!A:F,MATCH(I1690,数据元说明!C:C,0),2)</f>
        <v>001005</v>
      </c>
      <c r="K1690" s="68" t="str">
        <f>INDEX(数据元说明!A:F,MATCH(I1690,数据元说明!C:C,0),5)</f>
        <v>YYYYMMDD，默认值99991231。</v>
      </c>
      <c r="L1690" s="67" t="str">
        <f>INDEX(数据元说明!A:F,MATCH(I1690,数据元说明!C:C,0),6)</f>
        <v>C8</v>
      </c>
      <c r="M1690" s="68" t="s">
        <v>3896</v>
      </c>
      <c r="N1690" s="68" t="s">
        <v>1601</v>
      </c>
      <c r="O1690" s="68"/>
      <c r="P1690" s="69"/>
    </row>
    <row r="1691" ht="39.95" hidden="1" customHeight="1" spans="1:16">
      <c r="A1691" s="63"/>
      <c r="B1691" s="59"/>
      <c r="C1691" s="59" t="s">
        <v>298</v>
      </c>
      <c r="D1691" s="59" t="s">
        <v>3897</v>
      </c>
      <c r="E1691" s="67">
        <v>1103</v>
      </c>
      <c r="F1691" s="67"/>
      <c r="G1691" s="65"/>
      <c r="H1691" s="67" t="s">
        <v>3615</v>
      </c>
      <c r="I1691" s="67"/>
      <c r="J1691" s="67"/>
      <c r="K1691" s="69"/>
      <c r="L1691" s="67"/>
      <c r="M1691" s="68" t="s">
        <v>3898</v>
      </c>
      <c r="N1691" s="68"/>
      <c r="O1691" s="68"/>
      <c r="P1691" s="69" t="s">
        <v>3899</v>
      </c>
    </row>
    <row r="1692" ht="39.95" hidden="1" customHeight="1" spans="1:16">
      <c r="A1692" s="89"/>
      <c r="B1692" s="73"/>
      <c r="C1692" s="73" t="s">
        <v>298</v>
      </c>
      <c r="D1692" s="73" t="s">
        <v>3897</v>
      </c>
      <c r="E1692" s="90">
        <v>1103</v>
      </c>
      <c r="F1692" s="69" t="s">
        <v>1176</v>
      </c>
      <c r="G1692" s="90">
        <v>110301</v>
      </c>
      <c r="H1692" s="69" t="s">
        <v>3618</v>
      </c>
      <c r="I1692" s="69" t="s">
        <v>1176</v>
      </c>
      <c r="J1692" s="144" t="str">
        <f>INDEX(数据元说明!A:F,MATCH(I1692,数据元说明!C:C,0),2)</f>
        <v>010012</v>
      </c>
      <c r="K1692" s="68" t="str">
        <f>INDEX(数据元说明!A:F,MATCH(I1692,数据元说明!C:C,0),5)</f>
        <v>登记机构赋予理财产品的标识码，该码具有唯一性。</v>
      </c>
      <c r="L1692" s="69" t="str">
        <f>INDEX(数据元说明!A:F,MATCH(I1692,数据元说明!C:C,0),6)</f>
        <v>C..30</v>
      </c>
      <c r="M1692" s="69" t="s">
        <v>3619</v>
      </c>
      <c r="N1692" s="68"/>
      <c r="O1692" s="68"/>
      <c r="P1692" s="69"/>
    </row>
    <row r="1693" ht="39.95" hidden="1" customHeight="1" spans="1:16">
      <c r="A1693" s="89"/>
      <c r="B1693" s="73"/>
      <c r="C1693" s="73" t="s">
        <v>298</v>
      </c>
      <c r="D1693" s="73" t="s">
        <v>3897</v>
      </c>
      <c r="E1693" s="90">
        <v>1103</v>
      </c>
      <c r="F1693" s="69" t="s">
        <v>746</v>
      </c>
      <c r="G1693" s="90">
        <v>110302</v>
      </c>
      <c r="H1693" s="69" t="s">
        <v>3489</v>
      </c>
      <c r="I1693" s="69" t="s">
        <v>1136</v>
      </c>
      <c r="J1693" s="144" t="str">
        <f>INDEX(数据元说明!A:F,MATCH(I1693,数据元说明!C:C,0),2)</f>
        <v>010002</v>
      </c>
      <c r="K1693" s="68" t="str">
        <f>INDEX(数据元说明!A:F,MATCH(I1693,数据元说明!C:C,0),5)</f>
        <v>金融产品名称，包括但不限于标准化或非标准化金融产品。如果不是标准产品，则由银行自定义。</v>
      </c>
      <c r="L1693" s="69" t="str">
        <f>INDEX(数据元说明!A:F,MATCH(I1693,数据元说明!C:C,0),6)</f>
        <v>C..450</v>
      </c>
      <c r="M1693" s="69" t="s">
        <v>3623</v>
      </c>
      <c r="N1693" s="68" t="s">
        <v>1583</v>
      </c>
      <c r="O1693" s="68" t="s">
        <v>322</v>
      </c>
      <c r="P1693" s="69"/>
    </row>
    <row r="1694" ht="39.95" hidden="1" customHeight="1" spans="1:16">
      <c r="A1694" s="89"/>
      <c r="B1694" s="73"/>
      <c r="C1694" s="73" t="s">
        <v>298</v>
      </c>
      <c r="D1694" s="73" t="s">
        <v>3897</v>
      </c>
      <c r="E1694" s="90">
        <v>1103</v>
      </c>
      <c r="F1694" s="69" t="s">
        <v>1458</v>
      </c>
      <c r="G1694" s="90">
        <v>110303</v>
      </c>
      <c r="H1694" s="69" t="s">
        <v>3437</v>
      </c>
      <c r="I1694" s="69" t="s">
        <v>1458</v>
      </c>
      <c r="J1694" s="144" t="str">
        <f>INDEX(数据元说明!A:F,MATCH(I1694,数据元说明!C:C,0),2)</f>
        <v>010082</v>
      </c>
      <c r="K1694" s="68" t="str">
        <f>INDEX(数据元说明!A:F,MATCH(I1694,数据元说明!C:C,0),5)</f>
        <v>采用《金融机构编码规范》编发的法人机构代码(即金融机构代码）前6位。</v>
      </c>
      <c r="L1694" s="69" t="str">
        <f>INDEX(数据元说明!A:F,MATCH(I1694,数据元说明!C:C,0),6)</f>
        <v>C..30</v>
      </c>
      <c r="M1694" s="69"/>
      <c r="N1694" s="68"/>
      <c r="O1694" s="68"/>
      <c r="P1694" s="69"/>
    </row>
    <row r="1695" ht="39.95" hidden="1" customHeight="1" outlineLevel="1" spans="1:16">
      <c r="A1695" s="63"/>
      <c r="B1695" s="64"/>
      <c r="C1695" s="73" t="s">
        <v>298</v>
      </c>
      <c r="D1695" s="73" t="s">
        <v>3897</v>
      </c>
      <c r="E1695" s="90">
        <v>1103</v>
      </c>
      <c r="F1695" s="67" t="s">
        <v>373</v>
      </c>
      <c r="G1695" s="90">
        <v>110304</v>
      </c>
      <c r="H1695" s="67" t="s">
        <v>1588</v>
      </c>
      <c r="I1695" s="67" t="s">
        <v>373</v>
      </c>
      <c r="J1695" s="67" t="str">
        <f>INDEX(数据元说明!A:F,MATCH(I1695,数据元说明!C:C,0),2)</f>
        <v>001011</v>
      </c>
      <c r="K1695" s="68" t="str">
        <f>INDEX(数据元说明!A:F,MATCH(I1695,数据元说明!C:C,0),5)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695" s="67" t="str">
        <f>INDEX(数据元说明!A:F,MATCH(I1695,数据元说明!C:C,0),6)</f>
        <v>C..30</v>
      </c>
      <c r="M1695" s="68" t="s">
        <v>3624</v>
      </c>
      <c r="N1695" s="68" t="s">
        <v>1601</v>
      </c>
      <c r="O1695" s="68"/>
      <c r="P1695" s="68"/>
    </row>
    <row r="1696" ht="39.95" hidden="1" customHeight="1" collapsed="1" spans="1:16">
      <c r="A1696" s="89"/>
      <c r="B1696" s="73"/>
      <c r="C1696" s="73" t="s">
        <v>298</v>
      </c>
      <c r="D1696" s="73" t="s">
        <v>3897</v>
      </c>
      <c r="E1696" s="90">
        <v>1103</v>
      </c>
      <c r="F1696" s="69" t="s">
        <v>3388</v>
      </c>
      <c r="G1696" s="90">
        <v>110305</v>
      </c>
      <c r="H1696" s="69" t="s">
        <v>3389</v>
      </c>
      <c r="I1696" s="69" t="s">
        <v>325</v>
      </c>
      <c r="J1696" s="67" t="str">
        <f>INDEX(数据元说明!A:F,MATCH(I1696,数据元说明!C:C,0),2)</f>
        <v>001001</v>
      </c>
      <c r="K1696" s="68" t="str">
        <f>INDEX(数据元说明!A:F,MATCH(I1696,数据元说明!C:C,0),5)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696" s="69" t="str">
        <f>INDEX(数据元说明!A:F,MATCH(I1696,数据元说明!C:C,0),6)</f>
        <v>C..450</v>
      </c>
      <c r="M1696" s="69" t="s">
        <v>3625</v>
      </c>
      <c r="N1696" s="68" t="s">
        <v>1583</v>
      </c>
      <c r="O1696" s="68" t="s">
        <v>322</v>
      </c>
      <c r="P1696" s="69"/>
    </row>
    <row r="1697" ht="39.95" hidden="1" customHeight="1" spans="1:16">
      <c r="A1697" s="89"/>
      <c r="B1697" s="73"/>
      <c r="C1697" s="73" t="s">
        <v>298</v>
      </c>
      <c r="D1697" s="73" t="s">
        <v>3897</v>
      </c>
      <c r="E1697" s="90">
        <v>1103</v>
      </c>
      <c r="F1697" s="69" t="s">
        <v>3626</v>
      </c>
      <c r="G1697" s="90">
        <v>110306</v>
      </c>
      <c r="H1697" s="69" t="s">
        <v>3627</v>
      </c>
      <c r="I1697" s="69" t="s">
        <v>1422</v>
      </c>
      <c r="J1697" s="144" t="str">
        <f>INDEX(数据元说明!A:F,MATCH(I1697,数据元说明!C:C,0),2)</f>
        <v>010073</v>
      </c>
      <c r="K1697" s="68" t="str">
        <f>INDEX(数据元说明!A:F,MATCH(I1697,数据元说明!C:C,0),5)</f>
        <v>国有银行，股份制银行，城商行，外资银行，农村合作金融机构，政策性银行，国家开发银行，理财公司，其他。</v>
      </c>
      <c r="L1697" s="69" t="str">
        <f>INDEX(数据元说明!A:F,MATCH(I1697,数据元说明!C:C,0),6)</f>
        <v>C..30</v>
      </c>
      <c r="M1697" s="69" t="s">
        <v>3628</v>
      </c>
      <c r="N1697" s="68"/>
      <c r="O1697" s="68"/>
      <c r="P1697" s="69"/>
    </row>
    <row r="1698" ht="39.95" hidden="1" customHeight="1" spans="1:16">
      <c r="A1698" s="89"/>
      <c r="B1698" s="73"/>
      <c r="C1698" s="73" t="s">
        <v>298</v>
      </c>
      <c r="D1698" s="73" t="s">
        <v>3897</v>
      </c>
      <c r="E1698" s="90">
        <v>1103</v>
      </c>
      <c r="F1698" s="69" t="s">
        <v>3900</v>
      </c>
      <c r="G1698" s="90">
        <v>110307</v>
      </c>
      <c r="H1698" s="69" t="s">
        <v>3901</v>
      </c>
      <c r="I1698" s="69" t="s">
        <v>1414</v>
      </c>
      <c r="J1698" s="144" t="str">
        <f>INDEX(数据元说明!A:F,MATCH(I1698,数据元说明!C:C,0),2)</f>
        <v>010071</v>
      </c>
      <c r="K1698" s="68" t="str">
        <f>INDEX(数据元说明!A:F,MATCH(I1698,数据元说明!C:C,0),5)</f>
        <v>理财中心赋予产品或资产的序号。</v>
      </c>
      <c r="L1698" s="69" t="str">
        <f>INDEX(数据元说明!A:F,MATCH(I1698,数据元说明!C:C,0),6)</f>
        <v>C..30</v>
      </c>
      <c r="M1698" s="69" t="s">
        <v>3628</v>
      </c>
      <c r="N1698" s="68"/>
      <c r="O1698" s="68"/>
      <c r="P1698" s="69"/>
    </row>
    <row r="1699" ht="39.95" hidden="1" customHeight="1" spans="1:16">
      <c r="A1699" s="89"/>
      <c r="B1699" s="73"/>
      <c r="C1699" s="73" t="s">
        <v>298</v>
      </c>
      <c r="D1699" s="73" t="s">
        <v>3897</v>
      </c>
      <c r="E1699" s="90">
        <v>1103</v>
      </c>
      <c r="F1699" s="69" t="s">
        <v>3902</v>
      </c>
      <c r="G1699" s="90">
        <v>110308</v>
      </c>
      <c r="H1699" s="69" t="s">
        <v>3903</v>
      </c>
      <c r="I1699" s="69" t="s">
        <v>1337</v>
      </c>
      <c r="J1699" s="144" t="str">
        <f>INDEX(数据元说明!A:F,MATCH(I1699,数据元说明!C:C,0),2)</f>
        <v>010052</v>
      </c>
      <c r="K1699" s="68" t="str">
        <f>INDEX(数据元说明!A:F,MATCH(I1699,数据元说明!C:C,0),5)</f>
        <v>直接，间接。</v>
      </c>
      <c r="L1699" s="69" t="str">
        <f>INDEX(数据元说明!A:F,MATCH(I1699,数据元说明!C:C,0),6)</f>
        <v>C..30</v>
      </c>
      <c r="M1699" s="69" t="s">
        <v>3904</v>
      </c>
      <c r="N1699" s="68" t="s">
        <v>1583</v>
      </c>
      <c r="O1699" s="68" t="s">
        <v>484</v>
      </c>
      <c r="P1699" s="69"/>
    </row>
    <row r="1700" ht="39.95" hidden="1" customHeight="1" spans="1:16">
      <c r="A1700" s="89"/>
      <c r="B1700" s="73"/>
      <c r="C1700" s="73" t="s">
        <v>298</v>
      </c>
      <c r="D1700" s="73" t="s">
        <v>3897</v>
      </c>
      <c r="E1700" s="90">
        <v>1103</v>
      </c>
      <c r="F1700" s="69" t="s">
        <v>3905</v>
      </c>
      <c r="G1700" s="90">
        <v>110309</v>
      </c>
      <c r="H1700" s="69" t="s">
        <v>3906</v>
      </c>
      <c r="I1700" s="69" t="s">
        <v>1478</v>
      </c>
      <c r="J1700" s="144" t="str">
        <f>INDEX(数据元说明!A:F,MATCH(I1700,数据元说明!C:C,0),2)</f>
        <v>010087</v>
      </c>
      <c r="K1700" s="68" t="str">
        <f>INDEX(数据元说明!A:F,MATCH(I1700,数据元说明!C:C,0),5)</f>
        <v>持有的资管及委外资产的名称。</v>
      </c>
      <c r="L1700" s="69" t="str">
        <f>INDEX(数据元说明!A:F,MATCH(I1700,数据元说明!C:C,0),6)</f>
        <v>C..600</v>
      </c>
      <c r="M1700" s="69" t="s">
        <v>3907</v>
      </c>
      <c r="N1700" s="68" t="s">
        <v>1583</v>
      </c>
      <c r="O1700" s="68" t="s">
        <v>484</v>
      </c>
      <c r="P1700" s="69"/>
    </row>
    <row r="1701" ht="39.95" hidden="1" customHeight="1" spans="1:16">
      <c r="A1701" s="89"/>
      <c r="B1701" s="73"/>
      <c r="C1701" s="73" t="s">
        <v>298</v>
      </c>
      <c r="D1701" s="73" t="s">
        <v>3897</v>
      </c>
      <c r="E1701" s="90">
        <v>1103</v>
      </c>
      <c r="F1701" s="69" t="s">
        <v>3908</v>
      </c>
      <c r="G1701" s="90">
        <v>110310</v>
      </c>
      <c r="H1701" s="69" t="s">
        <v>3909</v>
      </c>
      <c r="I1701" s="69" t="s">
        <v>1410</v>
      </c>
      <c r="J1701" s="144" t="str">
        <f>INDEX(数据元说明!A:F,MATCH(I1701,数据元说明!C:C,0),2)</f>
        <v>010070</v>
      </c>
      <c r="K1701" s="68" t="str">
        <f>INDEX(数据元说明!A:F,MATCH(I1701,数据元说明!C:C,0),5)</f>
        <v>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
      <c r="L1701" s="69" t="str">
        <f>INDEX(数据元说明!A:F,MATCH(I1701,数据元说明!C:C,0),6)</f>
        <v>C..300</v>
      </c>
      <c r="M1701" s="69" t="s">
        <v>3910</v>
      </c>
      <c r="N1701" s="68" t="s">
        <v>1583</v>
      </c>
      <c r="O1701" s="68" t="s">
        <v>484</v>
      </c>
      <c r="P1701" s="69"/>
    </row>
    <row r="1702" ht="39.95" hidden="1" customHeight="1" spans="1:16">
      <c r="A1702" s="89"/>
      <c r="B1702" s="73"/>
      <c r="C1702" s="73" t="s">
        <v>298</v>
      </c>
      <c r="D1702" s="73" t="s">
        <v>3897</v>
      </c>
      <c r="E1702" s="90">
        <v>1103</v>
      </c>
      <c r="F1702" s="69" t="s">
        <v>3911</v>
      </c>
      <c r="G1702" s="90">
        <v>110311</v>
      </c>
      <c r="H1702" s="69" t="s">
        <v>3912</v>
      </c>
      <c r="I1702" s="69" t="s">
        <v>1341</v>
      </c>
      <c r="J1702" s="144" t="str">
        <f>INDEX(数据元说明!A:F,MATCH(I1702,数据元说明!C:C,0),2)</f>
        <v>010053</v>
      </c>
      <c r="K1702" s="68" t="str">
        <f>INDEX(数据元说明!A:F,MATCH(I1702,数据元说明!C:C,0),5)</f>
        <v>银行自定义的代码。</v>
      </c>
      <c r="L1702" s="69" t="str">
        <f>INDEX(数据元说明!A:F,MATCH(I1702,数据元说明!C:C,0),6)</f>
        <v>C..40</v>
      </c>
      <c r="M1702" s="69" t="s">
        <v>3913</v>
      </c>
      <c r="N1702" s="68"/>
      <c r="O1702" s="68"/>
      <c r="P1702" s="69"/>
    </row>
    <row r="1703" ht="39.95" hidden="1" customHeight="1" spans="1:16">
      <c r="A1703" s="89"/>
      <c r="B1703" s="73"/>
      <c r="C1703" s="73" t="s">
        <v>298</v>
      </c>
      <c r="D1703" s="73" t="s">
        <v>3897</v>
      </c>
      <c r="E1703" s="90">
        <v>1103</v>
      </c>
      <c r="F1703" s="69" t="s">
        <v>3914</v>
      </c>
      <c r="G1703" s="90">
        <v>110312</v>
      </c>
      <c r="H1703" s="69" t="s">
        <v>3915</v>
      </c>
      <c r="I1703" s="69" t="s">
        <v>1406</v>
      </c>
      <c r="J1703" s="144" t="str">
        <f>INDEX(数据元说明!A:F,MATCH(I1703,数据元说明!C:C,0),2)</f>
        <v>010069</v>
      </c>
      <c r="K1703" s="68" t="str">
        <f>INDEX(数据元说明!A:F,MATCH(I1703,数据元说明!C:C,0),5)</f>
        <v>登记机构赋予资产或交易的标识码。</v>
      </c>
      <c r="L1703" s="69" t="str">
        <f>INDEX(数据元说明!A:F,MATCH(I1703,数据元说明!C:C,0),6)</f>
        <v>C..30</v>
      </c>
      <c r="M1703" s="69" t="s">
        <v>3916</v>
      </c>
      <c r="N1703" s="68"/>
      <c r="O1703" s="68"/>
      <c r="P1703" s="69"/>
    </row>
    <row r="1704" ht="39.95" hidden="1" customHeight="1" spans="1:16">
      <c r="A1704" s="89"/>
      <c r="B1704" s="73"/>
      <c r="C1704" s="73" t="s">
        <v>298</v>
      </c>
      <c r="D1704" s="73" t="s">
        <v>3897</v>
      </c>
      <c r="E1704" s="90">
        <v>1103</v>
      </c>
      <c r="F1704" s="69" t="s">
        <v>642</v>
      </c>
      <c r="G1704" s="90">
        <v>110313</v>
      </c>
      <c r="H1704" s="69" t="s">
        <v>1914</v>
      </c>
      <c r="I1704" s="69" t="s">
        <v>642</v>
      </c>
      <c r="J1704" s="67" t="str">
        <f>INDEX(数据元说明!A:F,MATCH(I1704,数据元说明!C:C,0),2)</f>
        <v>003010</v>
      </c>
      <c r="K1704" s="68" t="str">
        <f>INDEX(数据元说明!A:F,MATCH(I1704,数据元说明!C:C,0),5)</f>
        <v>遵循《GB/T 12406 表示货币和资金的代码》的字母代码，如CNY。上述文件所列币种无法涵盖的，允许银行自定义填报。多个币种合计折算为人民币（本外币合计）的，填报为BWB。</v>
      </c>
      <c r="L1704" s="69" t="str">
        <f>INDEX(数据元说明!A:F,MATCH(I1704,数据元说明!C:C,0),6)</f>
        <v>C3</v>
      </c>
      <c r="M1704" s="69" t="s">
        <v>3917</v>
      </c>
      <c r="N1704" s="68"/>
      <c r="O1704" s="68"/>
      <c r="P1704" s="69"/>
    </row>
    <row r="1705" ht="39.95" hidden="1" customHeight="1" spans="1:16">
      <c r="A1705" s="89"/>
      <c r="B1705" s="73"/>
      <c r="C1705" s="73" t="s">
        <v>298</v>
      </c>
      <c r="D1705" s="73" t="s">
        <v>3897</v>
      </c>
      <c r="E1705" s="90">
        <v>1103</v>
      </c>
      <c r="F1705" s="69" t="s">
        <v>3918</v>
      </c>
      <c r="G1705" s="90">
        <v>110314</v>
      </c>
      <c r="H1705" s="69" t="s">
        <v>3919</v>
      </c>
      <c r="I1705" s="69" t="s">
        <v>634</v>
      </c>
      <c r="J1705" s="67" t="str">
        <f>INDEX(数据元说明!A:F,MATCH(I1705,数据元说明!C:C,0),2)</f>
        <v>003008</v>
      </c>
      <c r="K1705" s="68" t="str">
        <f>INDEX(数据元说明!A:F,MATCH(I1705,数据元说明!C:C,0),5)</f>
        <v>与币种相对应金额。</v>
      </c>
      <c r="L1705" s="69" t="str">
        <f>INDEX(数据元说明!A:F,MATCH(I1705,数据元说明!C:C,0),6)</f>
        <v>D20.2</v>
      </c>
      <c r="M1705" s="69" t="s">
        <v>3920</v>
      </c>
      <c r="N1705" s="68" t="s">
        <v>1601</v>
      </c>
      <c r="O1705" s="68"/>
      <c r="P1705" s="69"/>
    </row>
    <row r="1706" ht="39.95" hidden="1" customHeight="1" spans="1:16">
      <c r="A1706" s="89"/>
      <c r="B1706" s="73"/>
      <c r="C1706" s="73" t="s">
        <v>298</v>
      </c>
      <c r="D1706" s="73" t="s">
        <v>3897</v>
      </c>
      <c r="E1706" s="90">
        <v>1103</v>
      </c>
      <c r="F1706" s="69" t="s">
        <v>3921</v>
      </c>
      <c r="G1706" s="90">
        <v>110315</v>
      </c>
      <c r="H1706" s="69" t="s">
        <v>3922</v>
      </c>
      <c r="I1706" s="69" t="s">
        <v>634</v>
      </c>
      <c r="J1706" s="67" t="str">
        <f>INDEX(数据元说明!A:F,MATCH(I1706,数据元说明!C:C,0),2)</f>
        <v>003008</v>
      </c>
      <c r="K1706" s="68" t="str">
        <f>INDEX(数据元说明!A:F,MATCH(I1706,数据元说明!C:C,0),5)</f>
        <v>与币种相对应金额。</v>
      </c>
      <c r="L1706" s="69" t="str">
        <f>INDEX(数据元说明!A:F,MATCH(I1706,数据元说明!C:C,0),6)</f>
        <v>D20.2</v>
      </c>
      <c r="M1706" s="69" t="s">
        <v>3923</v>
      </c>
      <c r="N1706" s="68" t="s">
        <v>1601</v>
      </c>
      <c r="O1706" s="68"/>
      <c r="P1706" s="69"/>
    </row>
    <row r="1707" ht="39.95" hidden="1" customHeight="1" spans="1:16">
      <c r="A1707" s="89"/>
      <c r="B1707" s="73"/>
      <c r="C1707" s="73" t="s">
        <v>298</v>
      </c>
      <c r="D1707" s="73" t="s">
        <v>3897</v>
      </c>
      <c r="E1707" s="90">
        <v>1103</v>
      </c>
      <c r="F1707" s="69" t="s">
        <v>3924</v>
      </c>
      <c r="G1707" s="90">
        <v>110316</v>
      </c>
      <c r="H1707" s="69" t="s">
        <v>3925</v>
      </c>
      <c r="I1707" s="69" t="s">
        <v>1345</v>
      </c>
      <c r="J1707" s="144" t="str">
        <f>INDEX(数据元说明!A:F,MATCH(I1707,数据元说明!C:C,0),2)</f>
        <v>010054</v>
      </c>
      <c r="K1707" s="68" t="str">
        <f>INDEX(数据元说明!A:F,MATCH(I1707,数据元说明!C:C,0),5)</f>
        <v>所属资产类别（一级分类）。</v>
      </c>
      <c r="L1707" s="69" t="str">
        <f>INDEX(数据元说明!A:F,MATCH(I1707,数据元说明!C:C,0),6)</f>
        <v>C..120</v>
      </c>
      <c r="M1707" s="69" t="s">
        <v>3926</v>
      </c>
      <c r="N1707" s="68" t="s">
        <v>1583</v>
      </c>
      <c r="O1707" s="68" t="s">
        <v>1695</v>
      </c>
      <c r="P1707" s="69"/>
    </row>
    <row r="1708" ht="39.95" hidden="1" customHeight="1" spans="1:16">
      <c r="A1708" s="89"/>
      <c r="B1708" s="73"/>
      <c r="C1708" s="73" t="s">
        <v>298</v>
      </c>
      <c r="D1708" s="73" t="s">
        <v>3897</v>
      </c>
      <c r="E1708" s="90">
        <v>1103</v>
      </c>
      <c r="F1708" s="69" t="s">
        <v>3927</v>
      </c>
      <c r="G1708" s="90">
        <v>110317</v>
      </c>
      <c r="H1708" s="69" t="s">
        <v>3928</v>
      </c>
      <c r="I1708" s="69" t="s">
        <v>1349</v>
      </c>
      <c r="J1708" s="144" t="str">
        <f>INDEX(数据元说明!A:F,MATCH(I1708,数据元说明!C:C,0),2)</f>
        <v>010055</v>
      </c>
      <c r="K1708" s="68" t="str">
        <f>INDEX(数据元说明!A:F,MATCH(I1708,数据元说明!C:C,0),5)</f>
        <v>所属资产类别（二级分类）。</v>
      </c>
      <c r="L1708" s="69" t="str">
        <f>INDEX(数据元说明!A:F,MATCH(I1708,数据元说明!C:C,0),6)</f>
        <v>C..120</v>
      </c>
      <c r="M1708" s="69" t="s">
        <v>3929</v>
      </c>
      <c r="N1708" s="68" t="s">
        <v>1583</v>
      </c>
      <c r="O1708" s="68" t="s">
        <v>1695</v>
      </c>
      <c r="P1708" s="69"/>
    </row>
    <row r="1709" ht="39.95" hidden="1" customHeight="1" spans="1:16">
      <c r="A1709" s="89"/>
      <c r="B1709" s="73"/>
      <c r="C1709" s="73" t="s">
        <v>298</v>
      </c>
      <c r="D1709" s="73" t="s">
        <v>3897</v>
      </c>
      <c r="E1709" s="90">
        <v>1103</v>
      </c>
      <c r="F1709" s="69" t="s">
        <v>1145</v>
      </c>
      <c r="G1709" s="90">
        <v>110318</v>
      </c>
      <c r="H1709" s="69" t="s">
        <v>3930</v>
      </c>
      <c r="I1709" s="69" t="s">
        <v>1136</v>
      </c>
      <c r="J1709" s="144" t="str">
        <f>INDEX(数据元说明!A:F,MATCH(I1709,数据元说明!C:C,0),2)</f>
        <v>010002</v>
      </c>
      <c r="K1709" s="68" t="str">
        <f>INDEX(数据元说明!A:F,MATCH(I1709,数据元说明!C:C,0),5)</f>
        <v>金融产品名称，包括但不限于标准化或非标准化金融产品。如果不是标准产品，则由银行自定义。</v>
      </c>
      <c r="L1709" s="69" t="str">
        <f>INDEX(数据元说明!A:F,MATCH(I1709,数据元说明!C:C,0),6)</f>
        <v>C..450</v>
      </c>
      <c r="M1709" s="69" t="s">
        <v>3931</v>
      </c>
      <c r="N1709" s="68" t="s">
        <v>1583</v>
      </c>
      <c r="O1709" s="68" t="s">
        <v>322</v>
      </c>
      <c r="P1709" s="69"/>
    </row>
    <row r="1710" ht="39.95" hidden="1" customHeight="1" spans="1:16">
      <c r="A1710" s="89"/>
      <c r="B1710" s="73"/>
      <c r="C1710" s="73" t="s">
        <v>298</v>
      </c>
      <c r="D1710" s="73" t="s">
        <v>3897</v>
      </c>
      <c r="E1710" s="90">
        <v>1103</v>
      </c>
      <c r="F1710" s="69" t="s">
        <v>3932</v>
      </c>
      <c r="G1710" s="90">
        <v>110319</v>
      </c>
      <c r="H1710" s="69" t="s">
        <v>3933</v>
      </c>
      <c r="I1710" s="69" t="s">
        <v>1402</v>
      </c>
      <c r="J1710" s="144" t="str">
        <f>INDEX(数据元说明!A:F,MATCH(I1710,数据元说明!C:C,0),2)</f>
        <v>010068</v>
      </c>
      <c r="K1710" s="68" t="str">
        <f>INDEX(数据元说明!A:F,MATCH(I1710,数据元说明!C:C,0),5)</f>
        <v>按照一定规则编制的，具有公开性、唯一性的资产编码</v>
      </c>
      <c r="L1710" s="69" t="str">
        <f>INDEX(数据元说明!A:F,MATCH(I1710,数据元说明!C:C,0),6)</f>
        <v>C..30</v>
      </c>
      <c r="M1710" s="69" t="s">
        <v>3934</v>
      </c>
      <c r="N1710" s="68"/>
      <c r="O1710" s="68"/>
      <c r="P1710" s="69"/>
    </row>
    <row r="1711" ht="39.95" hidden="1" customHeight="1" spans="1:16">
      <c r="A1711" s="89"/>
      <c r="B1711" s="73"/>
      <c r="C1711" s="73" t="s">
        <v>298</v>
      </c>
      <c r="D1711" s="73" t="s">
        <v>3897</v>
      </c>
      <c r="E1711" s="90">
        <v>1103</v>
      </c>
      <c r="F1711" s="69" t="s">
        <v>3935</v>
      </c>
      <c r="G1711" s="90">
        <v>110320</v>
      </c>
      <c r="H1711" s="69" t="s">
        <v>3936</v>
      </c>
      <c r="I1711" s="69" t="s">
        <v>543</v>
      </c>
      <c r="J1711" s="67" t="str">
        <f>INDEX(数据元说明!A:F,MATCH(I1711,数据元说明!C:C,0),2)</f>
        <v>002014</v>
      </c>
      <c r="K1711" s="68" t="str">
        <f>INDEX(数据元说明!A:F,MATCH(I1711,数据元说明!C:C,0),5)</f>
        <v>行业分类按《GB/T 4754 国民经济行业分类》执行。填报至该客户所属行业的小类代码，如：所属行业为“稻谷种植”填报“A0111”。境外机构按“境外”填报。</v>
      </c>
      <c r="L1711" s="69" t="str">
        <f>INDEX(数据元说明!A:F,MATCH(I1711,数据元说明!C:C,0),6)</f>
        <v>C..90</v>
      </c>
      <c r="M1711" s="69" t="s">
        <v>3937</v>
      </c>
      <c r="N1711" s="68"/>
      <c r="O1711" s="68"/>
      <c r="P1711" s="69"/>
    </row>
    <row r="1712" ht="39.95" hidden="1" customHeight="1" spans="1:16">
      <c r="A1712" s="89"/>
      <c r="B1712" s="73"/>
      <c r="C1712" s="73" t="s">
        <v>298</v>
      </c>
      <c r="D1712" s="73" t="s">
        <v>3897</v>
      </c>
      <c r="E1712" s="90">
        <v>1103</v>
      </c>
      <c r="F1712" s="69" t="s">
        <v>3938</v>
      </c>
      <c r="G1712" s="90">
        <v>110321</v>
      </c>
      <c r="H1712" s="69" t="s">
        <v>3939</v>
      </c>
      <c r="I1712" s="69" t="s">
        <v>1357</v>
      </c>
      <c r="J1712" s="144" t="str">
        <f>INDEX(数据元说明!A:F,MATCH(I1712,数据元说明!C:C,0),2)</f>
        <v>010057</v>
      </c>
      <c r="K1712" s="68" t="str">
        <f>INDEX(数据元说明!A:F,MATCH(I1712,数据元说明!C:C,0),5)</f>
        <v>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v>
      </c>
      <c r="L1712" s="69" t="str">
        <f>INDEX(数据元说明!A:F,MATCH(I1712,数据元说明!C:C,0),6)</f>
        <v>C..60</v>
      </c>
      <c r="M1712" s="69" t="s">
        <v>3940</v>
      </c>
      <c r="N1712" s="68"/>
      <c r="O1712" s="68"/>
      <c r="P1712" s="69"/>
    </row>
    <row r="1713" ht="39.95" hidden="1" customHeight="1" spans="1:16">
      <c r="A1713" s="89"/>
      <c r="B1713" s="73"/>
      <c r="C1713" s="73" t="s">
        <v>298</v>
      </c>
      <c r="D1713" s="73" t="s">
        <v>3897</v>
      </c>
      <c r="E1713" s="90">
        <v>1103</v>
      </c>
      <c r="F1713" s="69" t="s">
        <v>3941</v>
      </c>
      <c r="G1713" s="90">
        <v>110322</v>
      </c>
      <c r="H1713" s="69" t="s">
        <v>3942</v>
      </c>
      <c r="I1713" s="69" t="s">
        <v>335</v>
      </c>
      <c r="J1713" s="67" t="str">
        <f>INDEX(数据元说明!A:F,MATCH(I1713,数据元说明!C:C,0),2)</f>
        <v>001003</v>
      </c>
      <c r="K1713" s="68" t="str">
        <f>INDEX(数据元说明!A:F,MATCH(I1713,数据元说明!C:C,0),5)</f>
        <v>百分比为单位，即1/100，保留两位小数。如4.5%则填报为4.50。</v>
      </c>
      <c r="L1713" s="69" t="str">
        <f>INDEX(数据元说明!A:F,MATCH(I1713,数据元说明!C:C,0),6)</f>
        <v>D20.2</v>
      </c>
      <c r="M1713" s="69" t="s">
        <v>3943</v>
      </c>
      <c r="N1713" s="68" t="s">
        <v>1583</v>
      </c>
      <c r="O1713" s="68" t="s">
        <v>3799</v>
      </c>
      <c r="P1713" s="69"/>
    </row>
    <row r="1714" ht="39.95" hidden="1" customHeight="1" spans="1:16">
      <c r="A1714" s="89"/>
      <c r="B1714" s="73"/>
      <c r="C1714" s="73" t="s">
        <v>298</v>
      </c>
      <c r="D1714" s="73" t="s">
        <v>3897</v>
      </c>
      <c r="E1714" s="90">
        <v>1103</v>
      </c>
      <c r="F1714" s="69" t="s">
        <v>3944</v>
      </c>
      <c r="G1714" s="90">
        <v>110323</v>
      </c>
      <c r="H1714" s="69" t="s">
        <v>3945</v>
      </c>
      <c r="I1714" s="69" t="s">
        <v>1313</v>
      </c>
      <c r="J1714" s="144" t="str">
        <f>INDEX(数据元说明!A:F,MATCH(I1714,数据元说明!C:C,0),2)</f>
        <v>010046</v>
      </c>
      <c r="K1714" s="68" t="str">
        <f>INDEX(数据元说明!A:F,MATCH(I1714,数据元说明!C:C,0),5)</f>
        <v>以天为单位计的时间长度。</v>
      </c>
      <c r="L1714" s="69" t="str">
        <f>INDEX(数据元说明!A:F,MATCH(I1714,数据元说明!C:C,0),6)</f>
        <v>I</v>
      </c>
      <c r="M1714" s="69" t="s">
        <v>3946</v>
      </c>
      <c r="N1714" s="68" t="s">
        <v>1583</v>
      </c>
      <c r="O1714" s="68" t="s">
        <v>1695</v>
      </c>
      <c r="P1714" s="69"/>
    </row>
    <row r="1715" ht="39.95" hidden="1" customHeight="1" spans="1:16">
      <c r="A1715" s="89"/>
      <c r="B1715" s="73"/>
      <c r="C1715" s="73" t="s">
        <v>298</v>
      </c>
      <c r="D1715" s="73" t="s">
        <v>3897</v>
      </c>
      <c r="E1715" s="90">
        <v>1103</v>
      </c>
      <c r="F1715" s="69" t="s">
        <v>3947</v>
      </c>
      <c r="G1715" s="90">
        <v>110324</v>
      </c>
      <c r="H1715" s="69" t="s">
        <v>3948</v>
      </c>
      <c r="I1715" s="69" t="s">
        <v>1446</v>
      </c>
      <c r="J1715" s="144" t="str">
        <f>INDEX(数据元说明!A:F,MATCH(I1715,数据元说明!C:C,0),2)</f>
        <v>010079</v>
      </c>
      <c r="K1715" s="68" t="str">
        <f>INDEX(数据元说明!A:F,MATCH(I1715,数据元说明!C:C,0),5)</f>
        <v>持仓对应资产的外部评级或信用评级。</v>
      </c>
      <c r="L1715" s="69" t="str">
        <f>INDEX(数据元说明!A:F,MATCH(I1715,数据元说明!C:C,0),6)</f>
        <v>C..30</v>
      </c>
      <c r="M1715" s="69" t="s">
        <v>3949</v>
      </c>
      <c r="N1715" s="68" t="s">
        <v>1583</v>
      </c>
      <c r="O1715" s="68" t="s">
        <v>1597</v>
      </c>
      <c r="P1715" s="69"/>
    </row>
    <row r="1716" ht="39.95" hidden="1" customHeight="1" spans="1:16">
      <c r="A1716" s="89"/>
      <c r="B1716" s="73"/>
      <c r="C1716" s="73" t="s">
        <v>298</v>
      </c>
      <c r="D1716" s="73" t="s">
        <v>3897</v>
      </c>
      <c r="E1716" s="90">
        <v>1103</v>
      </c>
      <c r="F1716" s="69" t="s">
        <v>3950</v>
      </c>
      <c r="G1716" s="90">
        <v>110325</v>
      </c>
      <c r="H1716" s="69" t="s">
        <v>3951</v>
      </c>
      <c r="I1716" s="69" t="s">
        <v>1353</v>
      </c>
      <c r="J1716" s="144" t="str">
        <f>INDEX(数据元说明!A:F,MATCH(I1716,数据元说明!C:C,0),2)</f>
        <v>010056</v>
      </c>
      <c r="K1716" s="68" t="str">
        <f>INDEX(数据元说明!A:F,MATCH(I1716,数据元说明!C:C,0),5)</f>
        <v>所属资产类别（三级分类）。</v>
      </c>
      <c r="L1716" s="69" t="str">
        <f>INDEX(数据元说明!A:F,MATCH(I1716,数据元说明!C:C,0),6)</f>
        <v>C..120</v>
      </c>
      <c r="M1716" s="69" t="s">
        <v>3952</v>
      </c>
      <c r="N1716" s="68" t="s">
        <v>1583</v>
      </c>
      <c r="O1716" s="68" t="s">
        <v>484</v>
      </c>
      <c r="P1716" s="69"/>
    </row>
    <row r="1717" ht="39.95" hidden="1" customHeight="1" spans="1:16">
      <c r="A1717" s="89"/>
      <c r="B1717" s="73"/>
      <c r="C1717" s="73" t="s">
        <v>298</v>
      </c>
      <c r="D1717" s="73" t="s">
        <v>3897</v>
      </c>
      <c r="E1717" s="90">
        <v>1103</v>
      </c>
      <c r="F1717" s="69" t="s">
        <v>3953</v>
      </c>
      <c r="G1717" s="90">
        <v>110326</v>
      </c>
      <c r="H1717" s="69" t="s">
        <v>3954</v>
      </c>
      <c r="I1717" s="69" t="s">
        <v>1537</v>
      </c>
      <c r="J1717" s="144" t="str">
        <f>INDEX(数据元说明!A:F,MATCH(I1717,数据元说明!C:C,0),2)</f>
        <v>010102</v>
      </c>
      <c r="K1717" s="68" t="str">
        <f>INDEX(数据元说明!A:F,MATCH(I1717,数据元说明!C:C,0),5)</f>
        <v>折算人民币的金额</v>
      </c>
      <c r="L1717" s="69" t="str">
        <f>INDEX(数据元说明!A:F,MATCH(I1717,数据元说明!C:C,0),6)</f>
        <v>D20.2</v>
      </c>
      <c r="M1717" s="69" t="s">
        <v>3955</v>
      </c>
      <c r="N1717" s="68" t="s">
        <v>1583</v>
      </c>
      <c r="O1717" s="68" t="s">
        <v>3956</v>
      </c>
      <c r="P1717" s="69"/>
    </row>
    <row r="1718" ht="39.95" hidden="1" customHeight="1" spans="1:16">
      <c r="A1718" s="89"/>
      <c r="B1718" s="73"/>
      <c r="C1718" s="73" t="s">
        <v>298</v>
      </c>
      <c r="D1718" s="73" t="s">
        <v>3897</v>
      </c>
      <c r="E1718" s="90">
        <v>1103</v>
      </c>
      <c r="F1718" s="69" t="s">
        <v>3957</v>
      </c>
      <c r="G1718" s="90">
        <v>110327</v>
      </c>
      <c r="H1718" s="69" t="s">
        <v>3958</v>
      </c>
      <c r="I1718" s="69" t="s">
        <v>1537</v>
      </c>
      <c r="J1718" s="144" t="str">
        <f>INDEX(数据元说明!A:F,MATCH(I1718,数据元说明!C:C,0),2)</f>
        <v>010102</v>
      </c>
      <c r="K1718" s="68" t="str">
        <f>INDEX(数据元说明!A:F,MATCH(I1718,数据元说明!C:C,0),5)</f>
        <v>折算人民币的金额</v>
      </c>
      <c r="L1718" s="69" t="str">
        <f>INDEX(数据元说明!A:F,MATCH(I1718,数据元说明!C:C,0),6)</f>
        <v>D20.2</v>
      </c>
      <c r="M1718" s="69" t="s">
        <v>3959</v>
      </c>
      <c r="N1718" s="68" t="s">
        <v>1601</v>
      </c>
      <c r="O1718" s="68"/>
      <c r="P1718" s="69"/>
    </row>
    <row r="1719" ht="39.95" hidden="1" customHeight="1" spans="1:16">
      <c r="A1719" s="89"/>
      <c r="B1719" s="73"/>
      <c r="C1719" s="73" t="s">
        <v>298</v>
      </c>
      <c r="D1719" s="73" t="s">
        <v>3897</v>
      </c>
      <c r="E1719" s="90">
        <v>1103</v>
      </c>
      <c r="F1719" s="69" t="s">
        <v>3960</v>
      </c>
      <c r="G1719" s="90">
        <v>110328</v>
      </c>
      <c r="H1719" s="69" t="s">
        <v>3961</v>
      </c>
      <c r="I1719" s="69" t="s">
        <v>1418</v>
      </c>
      <c r="J1719" s="144" t="str">
        <f>INDEX(数据元说明!A:F,MATCH(I1719,数据元说明!C:C,0),2)</f>
        <v>010072</v>
      </c>
      <c r="K1719" s="68" t="str">
        <f>INDEX(数据元说明!A:F,MATCH(I1719,数据元说明!C:C,0),5)</f>
        <v>产品份额或资产的数量。</v>
      </c>
      <c r="L1719" s="69" t="str">
        <f>INDEX(数据元说明!A:F,MATCH(I1719,数据元说明!C:C,0),6)</f>
        <v>D20.6</v>
      </c>
      <c r="M1719" s="69" t="s">
        <v>3962</v>
      </c>
      <c r="N1719" s="68" t="s">
        <v>1601</v>
      </c>
      <c r="O1719" s="68"/>
      <c r="P1719" s="69"/>
    </row>
    <row r="1720" ht="39.95" hidden="1" customHeight="1" spans="1:16">
      <c r="A1720" s="89"/>
      <c r="B1720" s="73"/>
      <c r="C1720" s="73" t="s">
        <v>298</v>
      </c>
      <c r="D1720" s="73" t="s">
        <v>3897</v>
      </c>
      <c r="E1720" s="90">
        <v>1103</v>
      </c>
      <c r="F1720" s="69" t="s">
        <v>3963</v>
      </c>
      <c r="G1720" s="90">
        <v>110329</v>
      </c>
      <c r="H1720" s="69" t="s">
        <v>3964</v>
      </c>
      <c r="I1720" s="69" t="s">
        <v>1418</v>
      </c>
      <c r="J1720" s="144" t="str">
        <f>INDEX(数据元说明!A:F,MATCH(I1720,数据元说明!C:C,0),2)</f>
        <v>010072</v>
      </c>
      <c r="K1720" s="68" t="str">
        <f>INDEX(数据元说明!A:F,MATCH(I1720,数据元说明!C:C,0),5)</f>
        <v>产品份额或资产的数量。</v>
      </c>
      <c r="L1720" s="69" t="str">
        <f>INDEX(数据元说明!A:F,MATCH(I1720,数据元说明!C:C,0),6)</f>
        <v>D20.6</v>
      </c>
      <c r="M1720" s="69" t="s">
        <v>3965</v>
      </c>
      <c r="N1720" s="68" t="s">
        <v>1601</v>
      </c>
      <c r="O1720" s="68"/>
      <c r="P1720" s="69"/>
    </row>
    <row r="1721" ht="39.95" hidden="1" customHeight="1" outlineLevel="1" spans="1:16">
      <c r="A1721" s="63"/>
      <c r="B1721" s="64"/>
      <c r="C1721" s="73" t="s">
        <v>298</v>
      </c>
      <c r="D1721" s="73" t="s">
        <v>3897</v>
      </c>
      <c r="E1721" s="90">
        <v>1103</v>
      </c>
      <c r="F1721" s="67" t="s">
        <v>484</v>
      </c>
      <c r="G1721" s="90">
        <v>110330</v>
      </c>
      <c r="H1721" s="67" t="s">
        <v>1623</v>
      </c>
      <c r="I1721" s="67" t="s">
        <v>484</v>
      </c>
      <c r="J1721" s="67" t="str">
        <f>INDEX(数据元说明!A:F,MATCH(I1721,数据元说明!C:C,0),2)</f>
        <v>001038</v>
      </c>
      <c r="K1721" s="68" t="str">
        <f>INDEX(数据元说明!A:F,MATCH(I1721,数据元说明!C:C,0),5)</f>
        <v>银行自定义。</v>
      </c>
      <c r="L1721" s="67" t="str">
        <f>INDEX(数据元说明!A:F,MATCH(I1721,数据元说明!C:C,0),6)</f>
        <v>C..600</v>
      </c>
      <c r="M1721" s="68" t="s">
        <v>1624</v>
      </c>
      <c r="N1721" s="68" t="s">
        <v>1583</v>
      </c>
      <c r="O1721" s="68" t="s">
        <v>3788</v>
      </c>
      <c r="P1721" s="68"/>
    </row>
    <row r="1722" ht="39.95" hidden="1" customHeight="1" collapsed="1" spans="1:16">
      <c r="A1722" s="63"/>
      <c r="B1722" s="64"/>
      <c r="C1722" s="73" t="s">
        <v>298</v>
      </c>
      <c r="D1722" s="73" t="s">
        <v>3897</v>
      </c>
      <c r="E1722" s="90">
        <v>1103</v>
      </c>
      <c r="F1722" s="67" t="s">
        <v>1625</v>
      </c>
      <c r="G1722" s="90">
        <v>110331</v>
      </c>
      <c r="H1722" s="75" t="s">
        <v>1626</v>
      </c>
      <c r="I1722" s="67" t="s">
        <v>345</v>
      </c>
      <c r="J1722" s="67" t="str">
        <f>INDEX(数据元说明!A:F,MATCH(I1722,数据元说明!C:C,0),2)</f>
        <v>001005</v>
      </c>
      <c r="K1722" s="68" t="str">
        <f>INDEX(数据元说明!A:F,MATCH(I1722,数据元说明!C:C,0),5)</f>
        <v>YYYYMMDD，默认值99991231。</v>
      </c>
      <c r="L1722" s="67" t="str">
        <f>INDEX(数据元说明!A:F,MATCH(I1722,数据元说明!C:C,0),6)</f>
        <v>C8</v>
      </c>
      <c r="M1722" s="68" t="s">
        <v>3896</v>
      </c>
      <c r="N1722" s="68" t="s">
        <v>1601</v>
      </c>
      <c r="O1722" s="68"/>
      <c r="P1722" s="69"/>
    </row>
    <row r="1723" ht="39.95" hidden="1" customHeight="1" spans="1:16">
      <c r="A1723" s="63"/>
      <c r="B1723" s="59"/>
      <c r="C1723" s="59" t="s">
        <v>301</v>
      </c>
      <c r="D1723" s="59" t="s">
        <v>3966</v>
      </c>
      <c r="E1723" s="67">
        <v>1104</v>
      </c>
      <c r="F1723" s="67"/>
      <c r="G1723" s="65"/>
      <c r="H1723" s="67" t="s">
        <v>3615</v>
      </c>
      <c r="I1723" s="67"/>
      <c r="J1723" s="67"/>
      <c r="K1723" s="69"/>
      <c r="L1723" s="67"/>
      <c r="M1723" s="68" t="s">
        <v>3967</v>
      </c>
      <c r="N1723" s="68"/>
      <c r="O1723" s="68"/>
      <c r="P1723" s="69" t="s">
        <v>3968</v>
      </c>
    </row>
    <row r="1724" ht="39.95" hidden="1" customHeight="1" spans="1:16">
      <c r="A1724" s="89"/>
      <c r="B1724" s="73"/>
      <c r="C1724" s="73" t="s">
        <v>301</v>
      </c>
      <c r="D1724" s="73" t="s">
        <v>3966</v>
      </c>
      <c r="E1724" s="90">
        <v>1104</v>
      </c>
      <c r="F1724" s="69" t="s">
        <v>3900</v>
      </c>
      <c r="G1724" s="90">
        <v>110401</v>
      </c>
      <c r="H1724" s="69" t="s">
        <v>3901</v>
      </c>
      <c r="I1724" s="69" t="s">
        <v>1414</v>
      </c>
      <c r="J1724" s="144" t="str">
        <f>INDEX(数据元说明!A:F,MATCH(I1724,数据元说明!C:C,0),2)</f>
        <v>010071</v>
      </c>
      <c r="K1724" s="68" t="str">
        <f>INDEX(数据元说明!A:F,MATCH(I1724,数据元说明!C:C,0),5)</f>
        <v>理财中心赋予产品或资产的序号。</v>
      </c>
      <c r="L1724" s="69" t="str">
        <f>INDEX(数据元说明!A:F,MATCH(I1724,数据元说明!C:C,0),6)</f>
        <v>C..30</v>
      </c>
      <c r="M1724" s="69" t="s">
        <v>3628</v>
      </c>
      <c r="N1724" s="68"/>
      <c r="O1724" s="68"/>
      <c r="P1724" s="69"/>
    </row>
    <row r="1725" ht="39.95" hidden="1" customHeight="1" spans="1:16">
      <c r="A1725" s="89"/>
      <c r="B1725" s="73"/>
      <c r="C1725" s="73" t="s">
        <v>301</v>
      </c>
      <c r="D1725" s="73" t="s">
        <v>3966</v>
      </c>
      <c r="E1725" s="90">
        <v>1104</v>
      </c>
      <c r="F1725" s="69" t="s">
        <v>1458</v>
      </c>
      <c r="G1725" s="90">
        <v>110402</v>
      </c>
      <c r="H1725" s="69" t="s">
        <v>3437</v>
      </c>
      <c r="I1725" s="69" t="s">
        <v>1458</v>
      </c>
      <c r="J1725" s="144" t="str">
        <f>INDEX(数据元说明!A:F,MATCH(I1725,数据元说明!C:C,0),2)</f>
        <v>010082</v>
      </c>
      <c r="K1725" s="68" t="str">
        <f>INDEX(数据元说明!A:F,MATCH(I1725,数据元说明!C:C,0),5)</f>
        <v>采用《金融机构编码规范》编发的法人机构代码(即金融机构代码）前6位。</v>
      </c>
      <c r="L1725" s="69" t="str">
        <f>INDEX(数据元说明!A:F,MATCH(I1725,数据元说明!C:C,0),6)</f>
        <v>C..30</v>
      </c>
      <c r="M1725" s="69" t="s">
        <v>1679</v>
      </c>
      <c r="N1725" s="68"/>
      <c r="O1725" s="68"/>
      <c r="P1725" s="69"/>
    </row>
    <row r="1726" ht="39.95" hidden="1" customHeight="1" outlineLevel="1" spans="1:16">
      <c r="A1726" s="63"/>
      <c r="B1726" s="64"/>
      <c r="C1726" s="73" t="s">
        <v>301</v>
      </c>
      <c r="D1726" s="73" t="s">
        <v>3966</v>
      </c>
      <c r="E1726" s="90">
        <v>1104</v>
      </c>
      <c r="F1726" s="67" t="s">
        <v>373</v>
      </c>
      <c r="G1726" s="90">
        <v>110403</v>
      </c>
      <c r="H1726" s="67" t="s">
        <v>1588</v>
      </c>
      <c r="I1726" s="67" t="s">
        <v>373</v>
      </c>
      <c r="J1726" s="67" t="str">
        <f>INDEX(数据元说明!A:F,MATCH(I1726,数据元说明!C:C,0),2)</f>
        <v>001011</v>
      </c>
      <c r="K1726" s="68" t="str">
        <f>INDEX(数据元说明!A:F,MATCH(I1726,数据元说明!C:C,0),5)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726" s="67" t="str">
        <f>INDEX(数据元说明!A:F,MATCH(I1726,数据元说明!C:C,0),6)</f>
        <v>C..30</v>
      </c>
      <c r="M1726" s="68" t="s">
        <v>3624</v>
      </c>
      <c r="N1726" s="68" t="s">
        <v>1601</v>
      </c>
      <c r="O1726" s="68"/>
      <c r="P1726" s="68"/>
    </row>
    <row r="1727" ht="39.95" hidden="1" customHeight="1" collapsed="1" spans="1:16">
      <c r="A1727" s="89"/>
      <c r="B1727" s="73"/>
      <c r="C1727" s="73" t="s">
        <v>301</v>
      </c>
      <c r="D1727" s="73" t="s">
        <v>3966</v>
      </c>
      <c r="E1727" s="90">
        <v>1104</v>
      </c>
      <c r="F1727" s="69" t="s">
        <v>3388</v>
      </c>
      <c r="G1727" s="90">
        <v>110404</v>
      </c>
      <c r="H1727" s="69" t="s">
        <v>3389</v>
      </c>
      <c r="I1727" s="69" t="s">
        <v>325</v>
      </c>
      <c r="J1727" s="67" t="str">
        <f>INDEX(数据元说明!A:F,MATCH(I1727,数据元说明!C:C,0),2)</f>
        <v>001001</v>
      </c>
      <c r="K1727" s="68" t="str">
        <f>INDEX(数据元说明!A:F,MATCH(I1727,数据元说明!C:C,0),5)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727" s="69" t="str">
        <f>INDEX(数据元说明!A:F,MATCH(I1727,数据元说明!C:C,0),6)</f>
        <v>C..450</v>
      </c>
      <c r="M1727" s="69" t="s">
        <v>3625</v>
      </c>
      <c r="N1727" s="68" t="s">
        <v>1583</v>
      </c>
      <c r="O1727" s="68" t="s">
        <v>322</v>
      </c>
      <c r="P1727" s="69"/>
    </row>
    <row r="1728" ht="39.95" hidden="1" customHeight="1" spans="1:16">
      <c r="A1728" s="89"/>
      <c r="B1728" s="73"/>
      <c r="C1728" s="73" t="s">
        <v>301</v>
      </c>
      <c r="D1728" s="73" t="s">
        <v>3966</v>
      </c>
      <c r="E1728" s="90">
        <v>1104</v>
      </c>
      <c r="F1728" s="69" t="s">
        <v>3626</v>
      </c>
      <c r="G1728" s="90">
        <v>110405</v>
      </c>
      <c r="H1728" s="69" t="s">
        <v>3627</v>
      </c>
      <c r="I1728" s="69" t="s">
        <v>1422</v>
      </c>
      <c r="J1728" s="144" t="str">
        <f>INDEX(数据元说明!A:F,MATCH(I1728,数据元说明!C:C,0),2)</f>
        <v>010073</v>
      </c>
      <c r="K1728" s="68" t="str">
        <f>INDEX(数据元说明!A:F,MATCH(I1728,数据元说明!C:C,0),5)</f>
        <v>国有银行，股份制银行，城商行，外资银行，农村合作金融机构，政策性银行，国家开发银行，理财公司，其他。</v>
      </c>
      <c r="L1728" s="69" t="str">
        <f>INDEX(数据元说明!A:F,MATCH(I1728,数据元说明!C:C,0),6)</f>
        <v>C..30</v>
      </c>
      <c r="M1728" s="69" t="s">
        <v>3628</v>
      </c>
      <c r="N1728" s="68"/>
      <c r="O1728" s="68"/>
      <c r="P1728" s="69"/>
    </row>
    <row r="1729" ht="39.95" hidden="1" customHeight="1" spans="1:16">
      <c r="A1729" s="89"/>
      <c r="B1729" s="73"/>
      <c r="C1729" s="73" t="s">
        <v>301</v>
      </c>
      <c r="D1729" s="73" t="s">
        <v>3966</v>
      </c>
      <c r="E1729" s="90">
        <v>1104</v>
      </c>
      <c r="F1729" s="69" t="s">
        <v>3911</v>
      </c>
      <c r="G1729" s="90">
        <v>110406</v>
      </c>
      <c r="H1729" s="69" t="s">
        <v>3912</v>
      </c>
      <c r="I1729" s="69" t="s">
        <v>1341</v>
      </c>
      <c r="J1729" s="144" t="str">
        <f>INDEX(数据元说明!A:F,MATCH(I1729,数据元说明!C:C,0),2)</f>
        <v>010053</v>
      </c>
      <c r="K1729" s="68" t="str">
        <f>INDEX(数据元说明!A:F,MATCH(I1729,数据元说明!C:C,0),5)</f>
        <v>银行自定义的代码。</v>
      </c>
      <c r="L1729" s="69" t="str">
        <f>INDEX(数据元说明!A:F,MATCH(I1729,数据元说明!C:C,0),6)</f>
        <v>C..40</v>
      </c>
      <c r="M1729" s="69" t="s">
        <v>3913</v>
      </c>
      <c r="N1729" s="68"/>
      <c r="O1729" s="68"/>
      <c r="P1729" s="69"/>
    </row>
    <row r="1730" ht="39.95" hidden="1" customHeight="1" spans="1:16">
      <c r="A1730" s="89"/>
      <c r="B1730" s="73"/>
      <c r="C1730" s="73" t="s">
        <v>301</v>
      </c>
      <c r="D1730" s="73" t="s">
        <v>3966</v>
      </c>
      <c r="E1730" s="90">
        <v>1104</v>
      </c>
      <c r="F1730" s="69" t="s">
        <v>3914</v>
      </c>
      <c r="G1730" s="90">
        <v>110407</v>
      </c>
      <c r="H1730" s="69" t="s">
        <v>3915</v>
      </c>
      <c r="I1730" s="69" t="s">
        <v>1406</v>
      </c>
      <c r="J1730" s="144" t="str">
        <f>INDEX(数据元说明!A:F,MATCH(I1730,数据元说明!C:C,0),2)</f>
        <v>010069</v>
      </c>
      <c r="K1730" s="68" t="str">
        <f>INDEX(数据元说明!A:F,MATCH(I1730,数据元说明!C:C,0),5)</f>
        <v>登记机构赋予资产或交易的标识码。</v>
      </c>
      <c r="L1730" s="69" t="str">
        <f>INDEX(数据元说明!A:F,MATCH(I1730,数据元说明!C:C,0),6)</f>
        <v>C..30</v>
      </c>
      <c r="M1730" s="69" t="s">
        <v>3628</v>
      </c>
      <c r="N1730" s="68"/>
      <c r="O1730" s="68"/>
      <c r="P1730" s="69"/>
    </row>
    <row r="1731" ht="39.95" hidden="1" customHeight="1" spans="1:16">
      <c r="A1731" s="89"/>
      <c r="B1731" s="73"/>
      <c r="C1731" s="73" t="s">
        <v>301</v>
      </c>
      <c r="D1731" s="73" t="s">
        <v>3966</v>
      </c>
      <c r="E1731" s="90">
        <v>1104</v>
      </c>
      <c r="F1731" s="69" t="s">
        <v>642</v>
      </c>
      <c r="G1731" s="90">
        <v>110408</v>
      </c>
      <c r="H1731" s="69" t="s">
        <v>1914</v>
      </c>
      <c r="I1731" s="69" t="s">
        <v>642</v>
      </c>
      <c r="J1731" s="67" t="str">
        <f>INDEX(数据元说明!A:F,MATCH(I1731,数据元说明!C:C,0),2)</f>
        <v>003010</v>
      </c>
      <c r="K1731" s="68" t="str">
        <f>INDEX(数据元说明!A:F,MATCH(I1731,数据元说明!C:C,0),5)</f>
        <v>遵循《GB/T 12406 表示货币和资金的代码》的字母代码，如CNY。上述文件所列币种无法涵盖的，允许银行自定义填报。多个币种合计折算为人民币（本外币合计）的，填报为BWB。</v>
      </c>
      <c r="L1731" s="69" t="str">
        <f>INDEX(数据元说明!A:F,MATCH(I1731,数据元说明!C:C,0),6)</f>
        <v>C3</v>
      </c>
      <c r="M1731" s="69" t="s">
        <v>3969</v>
      </c>
      <c r="N1731" s="68"/>
      <c r="O1731" s="68"/>
      <c r="P1731" s="69"/>
    </row>
    <row r="1732" ht="39.95" hidden="1" customHeight="1" spans="1:16">
      <c r="A1732" s="89"/>
      <c r="B1732" s="73"/>
      <c r="C1732" s="73" t="s">
        <v>301</v>
      </c>
      <c r="D1732" s="73" t="s">
        <v>3966</v>
      </c>
      <c r="E1732" s="90">
        <v>1104</v>
      </c>
      <c r="F1732" s="69" t="s">
        <v>3927</v>
      </c>
      <c r="G1732" s="90">
        <v>110409</v>
      </c>
      <c r="H1732" s="69" t="s">
        <v>3928</v>
      </c>
      <c r="I1732" s="69" t="s">
        <v>1349</v>
      </c>
      <c r="J1732" s="144" t="str">
        <f>INDEX(数据元说明!A:F,MATCH(I1732,数据元说明!C:C,0),2)</f>
        <v>010055</v>
      </c>
      <c r="K1732" s="68" t="str">
        <f>INDEX(数据元说明!A:F,MATCH(I1732,数据元说明!C:C,0),5)</f>
        <v>所属资产类别（二级分类）。</v>
      </c>
      <c r="L1732" s="69" t="str">
        <f>INDEX(数据元说明!A:F,MATCH(I1732,数据元说明!C:C,0),6)</f>
        <v>C..120</v>
      </c>
      <c r="M1732" s="69" t="s">
        <v>3926</v>
      </c>
      <c r="N1732" s="68" t="s">
        <v>1583</v>
      </c>
      <c r="O1732" s="68" t="s">
        <v>1695</v>
      </c>
      <c r="P1732" s="69"/>
    </row>
    <row r="1733" ht="39.95" hidden="1" customHeight="1" spans="1:16">
      <c r="A1733" s="89"/>
      <c r="B1733" s="73"/>
      <c r="C1733" s="73" t="s">
        <v>301</v>
      </c>
      <c r="D1733" s="73" t="s">
        <v>3966</v>
      </c>
      <c r="E1733" s="90">
        <v>1104</v>
      </c>
      <c r="F1733" s="69" t="s">
        <v>1361</v>
      </c>
      <c r="G1733" s="90">
        <v>110410</v>
      </c>
      <c r="H1733" s="69" t="s">
        <v>3970</v>
      </c>
      <c r="I1733" s="69" t="s">
        <v>1361</v>
      </c>
      <c r="J1733" s="144" t="str">
        <f>INDEX(数据元说明!A:F,MATCH(I1733,数据元说明!C:C,0),2)</f>
        <v>010058</v>
      </c>
      <c r="K1733" s="68" t="str">
        <f>INDEX(数据元说明!A:F,MATCH(I1733,数据元说明!C:C,0),5)</f>
        <v>信托贷款，信贷资产转让，委托债权，应收账款，带回购条款的股权性融资，私募债权，融资融券，证券公司受益凭证，委托贷款，其他。</v>
      </c>
      <c r="L1733" s="69" t="str">
        <f>INDEX(数据元说明!A:F,MATCH(I1733,数据元说明!C:C,0),6)</f>
        <v>C..60</v>
      </c>
      <c r="M1733" s="69" t="s">
        <v>3971</v>
      </c>
      <c r="N1733" s="68"/>
      <c r="O1733" s="68"/>
      <c r="P1733" s="69"/>
    </row>
    <row r="1734" ht="39.95" hidden="1" customHeight="1" spans="1:16">
      <c r="A1734" s="89"/>
      <c r="B1734" s="73"/>
      <c r="C1734" s="73" t="s">
        <v>301</v>
      </c>
      <c r="D1734" s="73" t="s">
        <v>3966</v>
      </c>
      <c r="E1734" s="90">
        <v>1104</v>
      </c>
      <c r="F1734" s="69" t="s">
        <v>3972</v>
      </c>
      <c r="G1734" s="90">
        <v>110411</v>
      </c>
      <c r="H1734" s="69" t="s">
        <v>3973</v>
      </c>
      <c r="I1734" s="69" t="s">
        <v>330</v>
      </c>
      <c r="J1734" s="67" t="str">
        <f>INDEX(数据元说明!A:F,MATCH(I1734,数据元说明!C:C,0),2)</f>
        <v>001002</v>
      </c>
      <c r="K1734" s="68" t="str">
        <f>INDEX(数据元说明!A:F,MATCH(I1734,数据元说明!C:C,0),5)</f>
        <v>是，否。</v>
      </c>
      <c r="L1734" s="69" t="str">
        <f>INDEX(数据元说明!A:F,MATCH(I1734,数据元说明!C:C,0),6)</f>
        <v>C3</v>
      </c>
      <c r="M1734" s="69"/>
      <c r="N1734" s="68"/>
      <c r="O1734" s="68"/>
      <c r="P1734" s="69"/>
    </row>
    <row r="1735" ht="39.95" hidden="1" customHeight="1" spans="1:16">
      <c r="A1735" s="89"/>
      <c r="B1735" s="73"/>
      <c r="C1735" s="73" t="s">
        <v>301</v>
      </c>
      <c r="D1735" s="73" t="s">
        <v>3966</v>
      </c>
      <c r="E1735" s="90">
        <v>1104</v>
      </c>
      <c r="F1735" s="69" t="s">
        <v>325</v>
      </c>
      <c r="G1735" s="90">
        <v>110412</v>
      </c>
      <c r="H1735" s="69" t="s">
        <v>3974</v>
      </c>
      <c r="I1735" s="69" t="s">
        <v>1136</v>
      </c>
      <c r="J1735" s="144" t="str">
        <f>INDEX(数据元说明!A:F,MATCH(I1735,数据元说明!C:C,0),2)</f>
        <v>010002</v>
      </c>
      <c r="K1735" s="68" t="str">
        <f>INDEX(数据元说明!A:F,MATCH(I1735,数据元说明!C:C,0),5)</f>
        <v>金融产品名称，包括但不限于标准化或非标准化金融产品。如果不是标准产品，则由银行自定义。</v>
      </c>
      <c r="L1735" s="69" t="str">
        <f>INDEX(数据元说明!A:F,MATCH(I1735,数据元说明!C:C,0),6)</f>
        <v>C..450</v>
      </c>
      <c r="M1735" s="69" t="s">
        <v>3975</v>
      </c>
      <c r="N1735" s="68" t="s">
        <v>1583</v>
      </c>
      <c r="O1735" s="68" t="s">
        <v>322</v>
      </c>
      <c r="P1735" s="69"/>
    </row>
    <row r="1736" ht="39.95" hidden="1" customHeight="1" spans="1:16">
      <c r="A1736" s="89"/>
      <c r="B1736" s="73"/>
      <c r="C1736" s="73" t="s">
        <v>301</v>
      </c>
      <c r="D1736" s="73" t="s">
        <v>3966</v>
      </c>
      <c r="E1736" s="90">
        <v>1104</v>
      </c>
      <c r="F1736" s="69" t="s">
        <v>3544</v>
      </c>
      <c r="G1736" s="90">
        <v>110413</v>
      </c>
      <c r="H1736" s="69" t="s">
        <v>2064</v>
      </c>
      <c r="I1736" s="69" t="s">
        <v>345</v>
      </c>
      <c r="J1736" s="67" t="str">
        <f>INDEX(数据元说明!A:F,MATCH(I1736,数据元说明!C:C,0),2)</f>
        <v>001005</v>
      </c>
      <c r="K1736" s="68" t="str">
        <f>INDEX(数据元说明!A:F,MATCH(I1736,数据元说明!C:C,0),5)</f>
        <v>YYYYMMDD，默认值99991231。</v>
      </c>
      <c r="L1736" s="69" t="str">
        <f>INDEX(数据元说明!A:F,MATCH(I1736,数据元说明!C:C,0),6)</f>
        <v>C8</v>
      </c>
      <c r="M1736" s="69" t="s">
        <v>3976</v>
      </c>
      <c r="N1736" s="68" t="s">
        <v>1583</v>
      </c>
      <c r="O1736" s="68" t="s">
        <v>1745</v>
      </c>
      <c r="P1736" s="69"/>
    </row>
    <row r="1737" ht="39.95" hidden="1" customHeight="1" spans="1:16">
      <c r="A1737" s="89"/>
      <c r="B1737" s="73"/>
      <c r="C1737" s="73" t="s">
        <v>301</v>
      </c>
      <c r="D1737" s="73" t="s">
        <v>3966</v>
      </c>
      <c r="E1737" s="90">
        <v>1104</v>
      </c>
      <c r="F1737" s="69" t="s">
        <v>2275</v>
      </c>
      <c r="G1737" s="90">
        <v>110414</v>
      </c>
      <c r="H1737" s="69" t="s">
        <v>2276</v>
      </c>
      <c r="I1737" s="69" t="s">
        <v>345</v>
      </c>
      <c r="J1737" s="67" t="str">
        <f>INDEX(数据元说明!A:F,MATCH(I1737,数据元说明!C:C,0),2)</f>
        <v>001005</v>
      </c>
      <c r="K1737" s="68" t="str">
        <f>INDEX(数据元说明!A:F,MATCH(I1737,数据元说明!C:C,0),5)</f>
        <v>YYYYMMDD，默认值99991231。</v>
      </c>
      <c r="L1737" s="69" t="str">
        <f>INDEX(数据元说明!A:F,MATCH(I1737,数据元说明!C:C,0),6)</f>
        <v>C8</v>
      </c>
      <c r="M1737" s="69" t="s">
        <v>3977</v>
      </c>
      <c r="N1737" s="68" t="s">
        <v>1583</v>
      </c>
      <c r="O1737" s="68" t="s">
        <v>1745</v>
      </c>
      <c r="P1737" s="69"/>
    </row>
    <row r="1738" ht="39.95" hidden="1" customHeight="1" spans="1:16">
      <c r="A1738" s="89"/>
      <c r="B1738" s="73"/>
      <c r="C1738" s="73" t="s">
        <v>301</v>
      </c>
      <c r="D1738" s="73" t="s">
        <v>3966</v>
      </c>
      <c r="E1738" s="90">
        <v>1104</v>
      </c>
      <c r="F1738" s="69" t="s">
        <v>3978</v>
      </c>
      <c r="G1738" s="90">
        <v>110415</v>
      </c>
      <c r="H1738" s="69" t="s">
        <v>3979</v>
      </c>
      <c r="I1738" s="69" t="s">
        <v>345</v>
      </c>
      <c r="J1738" s="67" t="str">
        <f>INDEX(数据元说明!A:F,MATCH(I1738,数据元说明!C:C,0),2)</f>
        <v>001005</v>
      </c>
      <c r="K1738" s="68" t="str">
        <f>INDEX(数据元说明!A:F,MATCH(I1738,数据元说明!C:C,0),5)</f>
        <v>YYYYMMDD，默认值99991231。</v>
      </c>
      <c r="L1738" s="69" t="str">
        <f>INDEX(数据元说明!A:F,MATCH(I1738,数据元说明!C:C,0),6)</f>
        <v>C8</v>
      </c>
      <c r="M1738" s="69" t="s">
        <v>3980</v>
      </c>
      <c r="N1738" s="68" t="s">
        <v>1583</v>
      </c>
      <c r="O1738" s="68" t="s">
        <v>1607</v>
      </c>
      <c r="P1738" s="69" t="s">
        <v>3981</v>
      </c>
    </row>
    <row r="1739" ht="39.95" hidden="1" customHeight="1" spans="1:16">
      <c r="A1739" s="89"/>
      <c r="B1739" s="73"/>
      <c r="C1739" s="73" t="s">
        <v>301</v>
      </c>
      <c r="D1739" s="73" t="s">
        <v>3966</v>
      </c>
      <c r="E1739" s="90">
        <v>1104</v>
      </c>
      <c r="F1739" s="69" t="s">
        <v>3982</v>
      </c>
      <c r="G1739" s="90">
        <v>110416</v>
      </c>
      <c r="H1739" s="69" t="s">
        <v>3983</v>
      </c>
      <c r="I1739" s="69" t="s">
        <v>1394</v>
      </c>
      <c r="J1739" s="144" t="str">
        <f>INDEX(数据元说明!A:F,MATCH(I1739,数据元说明!C:C,0),2)</f>
        <v>010066</v>
      </c>
      <c r="K1739" s="68" t="str">
        <f>INDEX(数据元说明!A:F,MATCH(I1739,数据元说明!C:C,0),5)</f>
        <v>单位价格。</v>
      </c>
      <c r="L1739" s="69" t="str">
        <f>INDEX(数据元说明!A:F,MATCH(I1739,数据元说明!C:C,0),6)</f>
        <v>D20.4</v>
      </c>
      <c r="M1739" s="69" t="s">
        <v>3984</v>
      </c>
      <c r="N1739" s="68" t="s">
        <v>1583</v>
      </c>
      <c r="O1739" s="69" t="s">
        <v>484</v>
      </c>
      <c r="P1739" s="69" t="s">
        <v>3981</v>
      </c>
    </row>
    <row r="1740" ht="39.95" hidden="1" customHeight="1" spans="1:16">
      <c r="A1740" s="89"/>
      <c r="B1740" s="73"/>
      <c r="C1740" s="73" t="s">
        <v>301</v>
      </c>
      <c r="D1740" s="73" t="s">
        <v>3966</v>
      </c>
      <c r="E1740" s="90">
        <v>1104</v>
      </c>
      <c r="F1740" s="69" t="s">
        <v>1482</v>
      </c>
      <c r="G1740" s="90">
        <v>110417</v>
      </c>
      <c r="H1740" s="69" t="s">
        <v>3985</v>
      </c>
      <c r="I1740" s="69" t="s">
        <v>1482</v>
      </c>
      <c r="J1740" s="144" t="str">
        <f>INDEX(数据元说明!A:F,MATCH(I1740,数据元说明!C:C,0),2)</f>
        <v>010088</v>
      </c>
      <c r="K1740" s="68" t="str">
        <f>INDEX(数据元说明!A:F,MATCH(I1740,数据元说明!C:C,0),5)</f>
        <v>贴现式，利随本清固定利率，利随本清浮动利率，附息式固定利率，附息式浮动利率，零息式。</v>
      </c>
      <c r="L1740" s="69" t="str">
        <f>INDEX(数据元说明!A:F,MATCH(I1740,数据元说明!C:C,0),6)</f>
        <v>C..30</v>
      </c>
      <c r="M1740" s="69" t="s">
        <v>3986</v>
      </c>
      <c r="N1740" s="68" t="s">
        <v>1583</v>
      </c>
      <c r="O1740" s="69" t="s">
        <v>484</v>
      </c>
      <c r="P1740" s="69" t="s">
        <v>3981</v>
      </c>
    </row>
    <row r="1741" ht="39.95" hidden="1" customHeight="1" spans="1:16">
      <c r="A1741" s="89"/>
      <c r="B1741" s="73"/>
      <c r="C1741" s="73" t="s">
        <v>301</v>
      </c>
      <c r="D1741" s="73" t="s">
        <v>3966</v>
      </c>
      <c r="E1741" s="90">
        <v>1104</v>
      </c>
      <c r="F1741" s="69" t="s">
        <v>3987</v>
      </c>
      <c r="G1741" s="90">
        <v>110418</v>
      </c>
      <c r="H1741" s="69" t="s">
        <v>3988</v>
      </c>
      <c r="I1741" s="69" t="s">
        <v>1365</v>
      </c>
      <c r="J1741" s="144" t="str">
        <f>INDEX(数据元说明!A:F,MATCH(I1741,数据元说明!C:C,0),2)</f>
        <v>010059</v>
      </c>
      <c r="K1741" s="68" t="str">
        <f>INDEX(数据元说明!A:F,MATCH(I1741,数据元说明!C:C,0),5)</f>
        <v>以月为单位计的时间长度。</v>
      </c>
      <c r="L1741" s="69" t="str">
        <f>INDEX(数据元说明!A:F,MATCH(I1741,数据元说明!C:C,0),6)</f>
        <v>I</v>
      </c>
      <c r="M1741" s="69" t="s">
        <v>3989</v>
      </c>
      <c r="N1741" s="68"/>
      <c r="O1741" s="68"/>
      <c r="P1741" s="69"/>
    </row>
    <row r="1742" ht="39.95" hidden="1" customHeight="1" spans="1:16">
      <c r="A1742" s="89"/>
      <c r="B1742" s="73"/>
      <c r="C1742" s="73" t="s">
        <v>301</v>
      </c>
      <c r="D1742" s="73" t="s">
        <v>3966</v>
      </c>
      <c r="E1742" s="90">
        <v>1104</v>
      </c>
      <c r="F1742" s="69" t="s">
        <v>3990</v>
      </c>
      <c r="G1742" s="90">
        <v>110419</v>
      </c>
      <c r="H1742" s="69" t="s">
        <v>3991</v>
      </c>
      <c r="I1742" s="69" t="s">
        <v>1549</v>
      </c>
      <c r="J1742" s="144" t="str">
        <f>INDEX(数据元说明!A:F,MATCH(I1742,数据元说明!C:C,0),2)</f>
        <v>010105</v>
      </c>
      <c r="K1742" s="68" t="str">
        <f>INDEX(数据元说明!A:F,MATCH(I1742,数据元说明!C:C,0),5)</f>
        <v>发行机构自定义。</v>
      </c>
      <c r="L1742" s="69" t="str">
        <f>INDEX(数据元说明!A:F,MATCH(I1742,数据元说明!C:C,0),6)</f>
        <v>C..600</v>
      </c>
      <c r="M1742" s="69" t="s">
        <v>3992</v>
      </c>
      <c r="N1742" s="68" t="s">
        <v>1583</v>
      </c>
      <c r="O1742" s="68" t="s">
        <v>322</v>
      </c>
      <c r="P1742" s="69"/>
    </row>
    <row r="1743" ht="39.95" hidden="1" customHeight="1" spans="1:16">
      <c r="A1743" s="89"/>
      <c r="B1743" s="73"/>
      <c r="C1743" s="73" t="s">
        <v>301</v>
      </c>
      <c r="D1743" s="73" t="s">
        <v>3966</v>
      </c>
      <c r="E1743" s="90">
        <v>1104</v>
      </c>
      <c r="F1743" s="69" t="s">
        <v>1369</v>
      </c>
      <c r="G1743" s="90">
        <v>110420</v>
      </c>
      <c r="H1743" s="69" t="s">
        <v>3993</v>
      </c>
      <c r="I1743" s="69" t="s">
        <v>1369</v>
      </c>
      <c r="J1743" s="144" t="str">
        <f>INDEX(数据元说明!A:F,MATCH(I1743,数据元说明!C:C,0),2)</f>
        <v>010060</v>
      </c>
      <c r="K1743" s="68" t="str">
        <f>INDEX(数据元说明!A:F,MATCH(I1743,数据元说明!C:C,0),5)</f>
        <v>ACT/366，ACT/360，ACT/365，ACT/ACT，30/360</v>
      </c>
      <c r="L1743" s="69" t="str">
        <f>INDEX(数据元说明!A:F,MATCH(I1743,数据元说明!C:C,0),6)</f>
        <v>C..30</v>
      </c>
      <c r="M1743" s="69" t="s">
        <v>3994</v>
      </c>
      <c r="N1743" s="68"/>
      <c r="O1743" s="68"/>
      <c r="P1743" s="69"/>
    </row>
    <row r="1744" ht="39.95" hidden="1" customHeight="1" spans="1:16">
      <c r="A1744" s="89"/>
      <c r="B1744" s="73"/>
      <c r="C1744" s="73" t="s">
        <v>301</v>
      </c>
      <c r="D1744" s="73" t="s">
        <v>3966</v>
      </c>
      <c r="E1744" s="90">
        <v>1104</v>
      </c>
      <c r="F1744" s="69" t="s">
        <v>3995</v>
      </c>
      <c r="G1744" s="90">
        <v>110421</v>
      </c>
      <c r="H1744" s="69" t="s">
        <v>3996</v>
      </c>
      <c r="I1744" s="69" t="s">
        <v>330</v>
      </c>
      <c r="J1744" s="67" t="str">
        <f>INDEX(数据元说明!A:F,MATCH(I1744,数据元说明!C:C,0),2)</f>
        <v>001002</v>
      </c>
      <c r="K1744" s="68" t="str">
        <f>INDEX(数据元说明!A:F,MATCH(I1744,数据元说明!C:C,0),5)</f>
        <v>是，否。</v>
      </c>
      <c r="L1744" s="69" t="str">
        <f>INDEX(数据元说明!A:F,MATCH(I1744,数据元说明!C:C,0),6)</f>
        <v>C3</v>
      </c>
      <c r="M1744" s="69" t="s">
        <v>3997</v>
      </c>
      <c r="N1744" s="68" t="s">
        <v>1583</v>
      </c>
      <c r="O1744" s="69" t="s">
        <v>484</v>
      </c>
      <c r="P1744" s="69" t="s">
        <v>3981</v>
      </c>
    </row>
    <row r="1745" ht="39.95" hidden="1" customHeight="1" spans="1:16">
      <c r="A1745" s="89"/>
      <c r="B1745" s="73"/>
      <c r="C1745" s="73" t="s">
        <v>301</v>
      </c>
      <c r="D1745" s="73" t="s">
        <v>3966</v>
      </c>
      <c r="E1745" s="90">
        <v>1104</v>
      </c>
      <c r="F1745" s="69" t="s">
        <v>1486</v>
      </c>
      <c r="G1745" s="90">
        <v>110422</v>
      </c>
      <c r="H1745" s="69" t="s">
        <v>3998</v>
      </c>
      <c r="I1745" s="69" t="s">
        <v>1486</v>
      </c>
      <c r="J1745" s="144" t="str">
        <f>INDEX(数据元说明!A:F,MATCH(I1745,数据元说明!C:C,0),2)</f>
        <v>010089</v>
      </c>
      <c r="K1745" s="68" t="str">
        <f>INDEX(数据元说明!A:F,MATCH(I1745,数据元说明!C:C,0),5)</f>
        <v>平均分配，实际天数分配。</v>
      </c>
      <c r="L1745" s="69" t="str">
        <f>INDEX(数据元说明!A:F,MATCH(I1745,数据元说明!C:C,0),6)</f>
        <v>C..30</v>
      </c>
      <c r="M1745" s="69" t="s">
        <v>3999</v>
      </c>
      <c r="N1745" s="68" t="s">
        <v>1583</v>
      </c>
      <c r="O1745" s="69" t="s">
        <v>484</v>
      </c>
      <c r="P1745" s="69" t="s">
        <v>3981</v>
      </c>
    </row>
    <row r="1746" ht="39.95" hidden="1" customHeight="1" spans="1:16">
      <c r="A1746" s="89"/>
      <c r="B1746" s="73"/>
      <c r="C1746" s="73" t="s">
        <v>301</v>
      </c>
      <c r="D1746" s="73" t="s">
        <v>3966</v>
      </c>
      <c r="E1746" s="90">
        <v>1104</v>
      </c>
      <c r="F1746" s="69" t="s">
        <v>1373</v>
      </c>
      <c r="G1746" s="90">
        <v>110423</v>
      </c>
      <c r="H1746" s="69" t="s">
        <v>4000</v>
      </c>
      <c r="I1746" s="69" t="s">
        <v>1373</v>
      </c>
      <c r="J1746" s="144" t="str">
        <f>INDEX(数据元说明!A:F,MATCH(I1746,数据元说明!C:C,0),2)</f>
        <v>010061</v>
      </c>
      <c r="K1746" s="68" t="str">
        <f>INDEX(数据元说明!A:F,MATCH(I1746,数据元说明!C:C,0),5)</f>
        <v>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v>
      </c>
      <c r="L1746" s="69" t="str">
        <f>INDEX(数据元说明!A:F,MATCH(I1746,数据元说明!C:C,0),6)</f>
        <v>C..60</v>
      </c>
      <c r="M1746" s="69" t="s">
        <v>4001</v>
      </c>
      <c r="N1746" s="68"/>
      <c r="O1746" s="68"/>
      <c r="P1746" s="69"/>
    </row>
    <row r="1747" ht="39.95" hidden="1" customHeight="1" spans="1:16">
      <c r="A1747" s="89"/>
      <c r="B1747" s="73"/>
      <c r="C1747" s="73" t="s">
        <v>301</v>
      </c>
      <c r="D1747" s="73" t="s">
        <v>3966</v>
      </c>
      <c r="E1747" s="90">
        <v>1104</v>
      </c>
      <c r="F1747" s="69" t="s">
        <v>4002</v>
      </c>
      <c r="G1747" s="90">
        <v>110424</v>
      </c>
      <c r="H1747" s="69" t="s">
        <v>4003</v>
      </c>
      <c r="I1747" s="69" t="s">
        <v>330</v>
      </c>
      <c r="J1747" s="67" t="str">
        <f>INDEX(数据元说明!A:F,MATCH(I1747,数据元说明!C:C,0),2)</f>
        <v>001002</v>
      </c>
      <c r="K1747" s="68" t="str">
        <f>INDEX(数据元说明!A:F,MATCH(I1747,数据元说明!C:C,0),5)</f>
        <v>是，否。</v>
      </c>
      <c r="L1747" s="69" t="str">
        <f>INDEX(数据元说明!A:F,MATCH(I1747,数据元说明!C:C,0),6)</f>
        <v>C3</v>
      </c>
      <c r="M1747" s="69"/>
      <c r="N1747" s="68" t="s">
        <v>1583</v>
      </c>
      <c r="O1747" s="69" t="s">
        <v>484</v>
      </c>
      <c r="P1747" s="69" t="s">
        <v>3981</v>
      </c>
    </row>
    <row r="1748" ht="39.95" hidden="1" customHeight="1" spans="1:16">
      <c r="A1748" s="89"/>
      <c r="B1748" s="73"/>
      <c r="C1748" s="73" t="s">
        <v>301</v>
      </c>
      <c r="D1748" s="73" t="s">
        <v>3966</v>
      </c>
      <c r="E1748" s="90">
        <v>1104</v>
      </c>
      <c r="F1748" s="69" t="s">
        <v>4004</v>
      </c>
      <c r="G1748" s="90">
        <v>110425</v>
      </c>
      <c r="H1748" s="69" t="s">
        <v>4005</v>
      </c>
      <c r="I1748" s="69" t="s">
        <v>335</v>
      </c>
      <c r="J1748" s="67" t="str">
        <f>INDEX(数据元说明!A:F,MATCH(I1748,数据元说明!C:C,0),2)</f>
        <v>001003</v>
      </c>
      <c r="K1748" s="68" t="str">
        <f>INDEX(数据元说明!A:F,MATCH(I1748,数据元说明!C:C,0),5)</f>
        <v>百分比为单位，即1/100，保留两位小数。如4.5%则填报为4.50。</v>
      </c>
      <c r="L1748" s="69" t="str">
        <f>INDEX(数据元说明!A:F,MATCH(I1748,数据元说明!C:C,0),6)</f>
        <v>D20.2</v>
      </c>
      <c r="M1748" s="69" t="s">
        <v>4006</v>
      </c>
      <c r="N1748" s="68" t="s">
        <v>1583</v>
      </c>
      <c r="O1748" s="68" t="s">
        <v>3799</v>
      </c>
      <c r="P1748" s="69"/>
    </row>
    <row r="1749" ht="39.95" hidden="1" customHeight="1" spans="1:16">
      <c r="A1749" s="89"/>
      <c r="B1749" s="73"/>
      <c r="C1749" s="73" t="s">
        <v>301</v>
      </c>
      <c r="D1749" s="73" t="s">
        <v>3966</v>
      </c>
      <c r="E1749" s="90">
        <v>1104</v>
      </c>
      <c r="F1749" s="69" t="s">
        <v>1490</v>
      </c>
      <c r="G1749" s="90">
        <v>110426</v>
      </c>
      <c r="H1749" s="69" t="s">
        <v>4007</v>
      </c>
      <c r="I1749" s="69" t="s">
        <v>1490</v>
      </c>
      <c r="J1749" s="144" t="str">
        <f>INDEX(数据元说明!A:F,MATCH(I1749,数据元说明!C:C,0),2)</f>
        <v>010090</v>
      </c>
      <c r="K1749" s="68" t="str">
        <f>INDEX(数据元说明!A:F,MATCH(I1749,数据元说明!C:C,0),5)</f>
        <v>优先，优先A，优先B，优先C，优先D，中间，次优先，次级。</v>
      </c>
      <c r="L1749" s="69" t="str">
        <f>INDEX(数据元说明!A:F,MATCH(I1749,数据元说明!C:C,0),6)</f>
        <v>C..30</v>
      </c>
      <c r="M1749" s="69" t="s">
        <v>4008</v>
      </c>
      <c r="N1749" s="68" t="s">
        <v>1583</v>
      </c>
      <c r="O1749" s="69" t="s">
        <v>484</v>
      </c>
      <c r="P1749" s="69" t="s">
        <v>3981</v>
      </c>
    </row>
    <row r="1750" ht="39.95" hidden="1" customHeight="1" spans="1:16">
      <c r="A1750" s="89"/>
      <c r="B1750" s="73"/>
      <c r="C1750" s="73" t="s">
        <v>301</v>
      </c>
      <c r="D1750" s="73" t="s">
        <v>3966</v>
      </c>
      <c r="E1750" s="90">
        <v>1104</v>
      </c>
      <c r="F1750" s="69" t="s">
        <v>1494</v>
      </c>
      <c r="G1750" s="90">
        <v>110427</v>
      </c>
      <c r="H1750" s="69" t="s">
        <v>4009</v>
      </c>
      <c r="I1750" s="69" t="s">
        <v>1494</v>
      </c>
      <c r="J1750" s="144" t="str">
        <f>INDEX(数据元说明!A:F,MATCH(I1750,数据元说明!C:C,0),2)</f>
        <v>010091</v>
      </c>
      <c r="K1750" s="68" t="str">
        <f>INDEX(数据元说明!A:F,MATCH(I1750,数据元说明!C:C,0),5)</f>
        <v>过手摊还，固定摊还。</v>
      </c>
      <c r="L1750" s="69" t="str">
        <f>INDEX(数据元说明!A:F,MATCH(I1750,数据元说明!C:C,0),6)</f>
        <v>C..30</v>
      </c>
      <c r="M1750" s="69" t="s">
        <v>4010</v>
      </c>
      <c r="N1750" s="68" t="s">
        <v>1583</v>
      </c>
      <c r="O1750" s="69" t="s">
        <v>484</v>
      </c>
      <c r="P1750" s="69" t="s">
        <v>3981</v>
      </c>
    </row>
    <row r="1751" ht="39.95" hidden="1" customHeight="1" spans="1:16">
      <c r="A1751" s="89"/>
      <c r="B1751" s="73"/>
      <c r="C1751" s="73" t="s">
        <v>301</v>
      </c>
      <c r="D1751" s="73" t="s">
        <v>3966</v>
      </c>
      <c r="E1751" s="90">
        <v>1104</v>
      </c>
      <c r="F1751" s="69" t="s">
        <v>1513</v>
      </c>
      <c r="G1751" s="90">
        <v>110428</v>
      </c>
      <c r="H1751" s="69" t="s">
        <v>4011</v>
      </c>
      <c r="I1751" s="69" t="s">
        <v>1513</v>
      </c>
      <c r="J1751" s="144" t="str">
        <f>INDEX(数据元说明!A:F,MATCH(I1751,数据元说明!C:C,0),2)</f>
        <v>010096</v>
      </c>
      <c r="K1751" s="68" t="str">
        <f>INDEX(数据元说明!A:F,MATCH(I1751,数据元说明!C:C,0),5)</f>
        <v>分期还本，到期一次还本，其他。</v>
      </c>
      <c r="L1751" s="69" t="str">
        <f>INDEX(数据元说明!A:F,MATCH(I1751,数据元说明!C:C,0),6)</f>
        <v>C..30</v>
      </c>
      <c r="M1751" s="69" t="s">
        <v>4012</v>
      </c>
      <c r="N1751" s="68" t="s">
        <v>1583</v>
      </c>
      <c r="O1751" s="69" t="s">
        <v>484</v>
      </c>
      <c r="P1751" s="69" t="s">
        <v>3981</v>
      </c>
    </row>
    <row r="1752" ht="39.95" hidden="1" customHeight="1" spans="1:16">
      <c r="A1752" s="89"/>
      <c r="B1752" s="73"/>
      <c r="C1752" s="73" t="s">
        <v>301</v>
      </c>
      <c r="D1752" s="73" t="s">
        <v>3966</v>
      </c>
      <c r="E1752" s="90">
        <v>1104</v>
      </c>
      <c r="F1752" s="69" t="s">
        <v>1551</v>
      </c>
      <c r="G1752" s="90">
        <v>110429</v>
      </c>
      <c r="H1752" s="69" t="s">
        <v>3550</v>
      </c>
      <c r="I1752" s="69" t="s">
        <v>1551</v>
      </c>
      <c r="J1752" s="144" t="str">
        <f>INDEX(数据元说明!A:F,MATCH(I1752,数据元说明!C:C,0),2)</f>
        <v>010106</v>
      </c>
      <c r="K1752" s="68" t="str">
        <f>INDEX(数据元说明!A:F,MATCH(I1752,数据元说明!C:C,0),5)</f>
        <v>发行机构自定义。</v>
      </c>
      <c r="L1752" s="69" t="str">
        <f>INDEX(数据元说明!A:F,MATCH(I1752,数据元说明!C:C,0),6)</f>
        <v>C..600</v>
      </c>
      <c r="M1752" s="69" t="s">
        <v>4013</v>
      </c>
      <c r="N1752" s="68" t="s">
        <v>1583</v>
      </c>
      <c r="O1752" s="68" t="s">
        <v>322</v>
      </c>
      <c r="P1752" s="69"/>
    </row>
    <row r="1753" ht="39.95" hidden="1" customHeight="1" spans="1:16">
      <c r="A1753" s="89"/>
      <c r="B1753" s="73"/>
      <c r="C1753" s="73" t="s">
        <v>301</v>
      </c>
      <c r="D1753" s="73" t="s">
        <v>3966</v>
      </c>
      <c r="E1753" s="90">
        <v>1104</v>
      </c>
      <c r="F1753" s="69" t="s">
        <v>4014</v>
      </c>
      <c r="G1753" s="90">
        <v>110430</v>
      </c>
      <c r="H1753" s="69" t="s">
        <v>4015</v>
      </c>
      <c r="I1753" s="69" t="s">
        <v>335</v>
      </c>
      <c r="J1753" s="67" t="str">
        <f>INDEX(数据元说明!A:F,MATCH(I1753,数据元说明!C:C,0),2)</f>
        <v>001003</v>
      </c>
      <c r="K1753" s="68" t="str">
        <f>INDEX(数据元说明!A:F,MATCH(I1753,数据元说明!C:C,0),5)</f>
        <v>百分比为单位，即1/100，保留两位小数。如4.5%则填报为4.50。</v>
      </c>
      <c r="L1753" s="69" t="str">
        <f>INDEX(数据元说明!A:F,MATCH(I1753,数据元说明!C:C,0),6)</f>
        <v>D20.2</v>
      </c>
      <c r="M1753" s="69" t="s">
        <v>4016</v>
      </c>
      <c r="N1753" s="68" t="s">
        <v>1583</v>
      </c>
      <c r="O1753" s="68" t="s">
        <v>3788</v>
      </c>
      <c r="P1753" s="69" t="s">
        <v>3981</v>
      </c>
    </row>
    <row r="1754" ht="39.95" hidden="1" customHeight="1" spans="1:16">
      <c r="A1754" s="89"/>
      <c r="B1754" s="73"/>
      <c r="C1754" s="73" t="s">
        <v>301</v>
      </c>
      <c r="D1754" s="73" t="s">
        <v>3966</v>
      </c>
      <c r="E1754" s="90">
        <v>1104</v>
      </c>
      <c r="F1754" s="69" t="s">
        <v>4017</v>
      </c>
      <c r="G1754" s="90">
        <v>110431</v>
      </c>
      <c r="H1754" s="69" t="s">
        <v>4018</v>
      </c>
      <c r="I1754" s="69" t="s">
        <v>758</v>
      </c>
      <c r="J1754" s="67" t="str">
        <f>INDEX(数据元说明!A:F,MATCH(I1754,数据元说明!C:C,0),2)</f>
        <v>005004</v>
      </c>
      <c r="K1754" s="68" t="str">
        <f>INDEX(数据元说明!A:F,MATCH(I1754,数据元说明!C:C,0),5)</f>
        <v>基准点为单位。浮动比例与上浮比例均折算点数填报。如上浮1%是填100.00，下浮1%是填-100.00，精确到小数点后2位。如果利率类型是固定利率，则利率浮动填写0.00。如利率类型是浮动利率，则与利率基准结合进行计算。</v>
      </c>
      <c r="L1754" s="69" t="str">
        <f>INDEX(数据元说明!A:F,MATCH(I1754,数据元说明!C:C,0),6)</f>
        <v>D20.6</v>
      </c>
      <c r="M1754" s="69" t="s">
        <v>4019</v>
      </c>
      <c r="N1754" s="68" t="s">
        <v>1583</v>
      </c>
      <c r="O1754" s="68" t="s">
        <v>1901</v>
      </c>
      <c r="P1754" s="69"/>
    </row>
    <row r="1755" ht="39.95" hidden="1" customHeight="1" spans="1:16">
      <c r="A1755" s="89"/>
      <c r="B1755" s="73"/>
      <c r="C1755" s="73" t="s">
        <v>301</v>
      </c>
      <c r="D1755" s="73" t="s">
        <v>3966</v>
      </c>
      <c r="E1755" s="90">
        <v>1104</v>
      </c>
      <c r="F1755" s="69" t="s">
        <v>4020</v>
      </c>
      <c r="G1755" s="90">
        <v>110432</v>
      </c>
      <c r="H1755" s="69" t="s">
        <v>4021</v>
      </c>
      <c r="I1755" s="69" t="s">
        <v>335</v>
      </c>
      <c r="J1755" s="67" t="str">
        <f>INDEX(数据元说明!A:F,MATCH(I1755,数据元说明!C:C,0),2)</f>
        <v>001003</v>
      </c>
      <c r="K1755" s="68" t="str">
        <f>INDEX(数据元说明!A:F,MATCH(I1755,数据元说明!C:C,0),5)</f>
        <v>百分比为单位，即1/100，保留两位小数。如4.5%则填报为4.50。</v>
      </c>
      <c r="L1755" s="69" t="str">
        <f>INDEX(数据元说明!A:F,MATCH(I1755,数据元说明!C:C,0),6)</f>
        <v>D20.2</v>
      </c>
      <c r="M1755" s="69" t="s">
        <v>4022</v>
      </c>
      <c r="N1755" s="68" t="s">
        <v>1583</v>
      </c>
      <c r="O1755" s="68" t="s">
        <v>3799</v>
      </c>
      <c r="P1755" s="69"/>
    </row>
    <row r="1756" ht="39.95" hidden="1" customHeight="1" spans="1:16">
      <c r="A1756" s="89"/>
      <c r="B1756" s="73"/>
      <c r="C1756" s="73" t="s">
        <v>301</v>
      </c>
      <c r="D1756" s="73" t="s">
        <v>3966</v>
      </c>
      <c r="E1756" s="90">
        <v>1104</v>
      </c>
      <c r="F1756" s="69" t="s">
        <v>4023</v>
      </c>
      <c r="G1756" s="90">
        <v>110433</v>
      </c>
      <c r="H1756" s="69" t="s">
        <v>4024</v>
      </c>
      <c r="I1756" s="69" t="s">
        <v>325</v>
      </c>
      <c r="J1756" s="67" t="str">
        <f>INDEX(数据元说明!A:F,MATCH(I1756,数据元说明!C:C,0),2)</f>
        <v>001001</v>
      </c>
      <c r="K1756" s="68" t="str">
        <f>INDEX(数据元说明!A:F,MATCH(I1756,数据元说明!C:C,0),5)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756" s="69" t="str">
        <f>INDEX(数据元说明!A:F,MATCH(I1756,数据元说明!C:C,0),6)</f>
        <v>C..450</v>
      </c>
      <c r="M1756" s="69" t="s">
        <v>4025</v>
      </c>
      <c r="N1756" s="68" t="s">
        <v>1583</v>
      </c>
      <c r="O1756" s="68" t="s">
        <v>322</v>
      </c>
      <c r="P1756" s="69"/>
    </row>
    <row r="1757" ht="39.95" hidden="1" customHeight="1" spans="1:16">
      <c r="A1757" s="89"/>
      <c r="B1757" s="73"/>
      <c r="C1757" s="73" t="s">
        <v>301</v>
      </c>
      <c r="D1757" s="73" t="s">
        <v>3966</v>
      </c>
      <c r="E1757" s="90">
        <v>1104</v>
      </c>
      <c r="F1757" s="69" t="s">
        <v>4026</v>
      </c>
      <c r="G1757" s="90">
        <v>110434</v>
      </c>
      <c r="H1757" s="69" t="s">
        <v>4027</v>
      </c>
      <c r="I1757" s="69" t="s">
        <v>552</v>
      </c>
      <c r="J1757" s="67" t="str">
        <f>INDEX(数据元说明!A:F,MATCH(I1757,数据元说明!C:C,0),2)</f>
        <v>002016</v>
      </c>
      <c r="K1757" s="68" t="str">
        <f>INDEX(数据元说明!A:F,MATCH(I1757,数据元说明!C:C,0),5)</f>
        <v>已登记统一社会信用代码的，填18位统一社会信用代码；未登记统一社会信用代码的，填组织机构代码。境外机构、临时验资户类客户填写默认值0</v>
      </c>
      <c r="L1757" s="69" t="str">
        <f>INDEX(数据元说明!A:F,MATCH(I1757,数据元说明!C:C,0),6)</f>
        <v>C..40</v>
      </c>
      <c r="M1757" s="69" t="s">
        <v>4028</v>
      </c>
      <c r="N1757" s="68" t="s">
        <v>1583</v>
      </c>
      <c r="O1757" s="68" t="s">
        <v>1607</v>
      </c>
      <c r="P1757" s="69"/>
    </row>
    <row r="1758" ht="39.95" hidden="1" customHeight="1" spans="1:16">
      <c r="A1758" s="89"/>
      <c r="B1758" s="73"/>
      <c r="C1758" s="73" t="s">
        <v>301</v>
      </c>
      <c r="D1758" s="73" t="s">
        <v>3966</v>
      </c>
      <c r="E1758" s="90">
        <v>1104</v>
      </c>
      <c r="F1758" s="69" t="s">
        <v>4029</v>
      </c>
      <c r="G1758" s="90">
        <v>110435</v>
      </c>
      <c r="H1758" s="69" t="s">
        <v>4030</v>
      </c>
      <c r="I1758" s="69" t="s">
        <v>1438</v>
      </c>
      <c r="J1758" s="144" t="str">
        <f>INDEX(数据元说明!A:F,MATCH(I1758,数据元说明!C:C,0),2)</f>
        <v>010077</v>
      </c>
      <c r="K1758" s="68" t="str">
        <f>INDEX(数据元说明!A:F,MATCH(I1758,数据元说明!C:C,0),5)</f>
        <v>填报机构内部对融资人主体或资产的信用评级结果，银行自定义。</v>
      </c>
      <c r="L1758" s="69" t="str">
        <f>INDEX(数据元说明!A:F,MATCH(I1758,数据元说明!C:C,0),6)</f>
        <v>C..30</v>
      </c>
      <c r="M1758" s="69" t="s">
        <v>4031</v>
      </c>
      <c r="N1758" s="68" t="s">
        <v>1583</v>
      </c>
      <c r="O1758" s="68" t="s">
        <v>4032</v>
      </c>
      <c r="P1758" s="69"/>
    </row>
    <row r="1759" ht="39.95" hidden="1" customHeight="1" spans="1:16">
      <c r="A1759" s="89"/>
      <c r="B1759" s="73"/>
      <c r="C1759" s="73" t="s">
        <v>301</v>
      </c>
      <c r="D1759" s="73" t="s">
        <v>3966</v>
      </c>
      <c r="E1759" s="90">
        <v>1104</v>
      </c>
      <c r="F1759" s="69" t="s">
        <v>4033</v>
      </c>
      <c r="G1759" s="90">
        <v>110436</v>
      </c>
      <c r="H1759" s="69" t="s">
        <v>4034</v>
      </c>
      <c r="I1759" s="69" t="s">
        <v>1454</v>
      </c>
      <c r="J1759" s="144" t="str">
        <f>INDEX(数据元说明!A:F,MATCH(I1759,数据元说明!C:C,0),2)</f>
        <v>010081</v>
      </c>
      <c r="K1759" s="68" t="str">
        <f>INDEX(数据元说明!A:F,MATCH(I1759,数据元说明!C:C,0),5)</f>
        <v>根据《中华人民共和国行政区划代码》，填写至二级分类。</v>
      </c>
      <c r="L1759" s="69" t="str">
        <f>INDEX(数据元说明!A:F,MATCH(I1759,数据元说明!C:C,0),6)</f>
        <v>C..150</v>
      </c>
      <c r="M1759" s="69" t="s">
        <v>4035</v>
      </c>
      <c r="N1759" s="68"/>
      <c r="O1759" s="68"/>
      <c r="P1759" s="69"/>
    </row>
    <row r="1760" ht="39.95" hidden="1" customHeight="1" spans="1:16">
      <c r="A1760" s="89"/>
      <c r="B1760" s="73"/>
      <c r="C1760" s="73" t="s">
        <v>301</v>
      </c>
      <c r="D1760" s="73" t="s">
        <v>3966</v>
      </c>
      <c r="E1760" s="90">
        <v>1104</v>
      </c>
      <c r="F1760" s="69" t="s">
        <v>4036</v>
      </c>
      <c r="G1760" s="90">
        <v>110437</v>
      </c>
      <c r="H1760" s="69" t="s">
        <v>4037</v>
      </c>
      <c r="I1760" s="69" t="s">
        <v>1377</v>
      </c>
      <c r="J1760" s="144" t="str">
        <f>INDEX(数据元说明!A:F,MATCH(I1760,数据元说明!C:C,0),2)</f>
        <v>010062</v>
      </c>
      <c r="K1760" s="68" t="str">
        <f>INDEX(数据元说明!A:F,MATCH(I1760,数据元说明!C:C,0),5)</f>
        <v>中小微企业，大型企业，其他。</v>
      </c>
      <c r="L1760" s="69" t="str">
        <f>INDEX(数据元说明!A:F,MATCH(I1760,数据元说明!C:C,0),6)</f>
        <v>C..30 </v>
      </c>
      <c r="M1760" s="69" t="s">
        <v>4038</v>
      </c>
      <c r="N1760" s="68" t="s">
        <v>1583</v>
      </c>
      <c r="O1760" s="68" t="s">
        <v>4039</v>
      </c>
      <c r="P1760" s="69"/>
    </row>
    <row r="1761" ht="39.95" hidden="1" customHeight="1" spans="1:16">
      <c r="A1761" s="89"/>
      <c r="B1761" s="73"/>
      <c r="C1761" s="73" t="s">
        <v>301</v>
      </c>
      <c r="D1761" s="73" t="s">
        <v>3966</v>
      </c>
      <c r="E1761" s="90">
        <v>1104</v>
      </c>
      <c r="F1761" s="69" t="s">
        <v>4040</v>
      </c>
      <c r="G1761" s="90">
        <v>110438</v>
      </c>
      <c r="H1761" s="69" t="s">
        <v>4041</v>
      </c>
      <c r="I1761" s="69" t="s">
        <v>1382</v>
      </c>
      <c r="J1761" s="144" t="str">
        <f>INDEX(数据元说明!A:F,MATCH(I1761,数据元说明!C:C,0),2)</f>
        <v>010063</v>
      </c>
      <c r="K1761" s="68" t="str">
        <f>INDEX(数据元说明!A:F,MATCH(I1761,数据元说明!C:C,0),5)</f>
        <v>高新技术企业，其他。</v>
      </c>
      <c r="L1761" s="69" t="str">
        <f>INDEX(数据元说明!A:F,MATCH(I1761,数据元说明!C:C,0),6)</f>
        <v>C..30 </v>
      </c>
      <c r="M1761" s="69" t="s">
        <v>4042</v>
      </c>
      <c r="N1761" s="68" t="s">
        <v>1583</v>
      </c>
      <c r="O1761" s="68" t="s">
        <v>484</v>
      </c>
      <c r="P1761" s="69"/>
    </row>
    <row r="1762" ht="39.95" hidden="1" customHeight="1" spans="1:16">
      <c r="A1762" s="89"/>
      <c r="B1762" s="73"/>
      <c r="C1762" s="73" t="s">
        <v>301</v>
      </c>
      <c r="D1762" s="73" t="s">
        <v>3966</v>
      </c>
      <c r="E1762" s="90">
        <v>1104</v>
      </c>
      <c r="F1762" s="69" t="s">
        <v>4043</v>
      </c>
      <c r="G1762" s="90">
        <v>110439</v>
      </c>
      <c r="H1762" s="69" t="s">
        <v>4044</v>
      </c>
      <c r="I1762" s="69" t="s">
        <v>1386</v>
      </c>
      <c r="J1762" s="144" t="str">
        <f>INDEX(数据元说明!A:F,MATCH(I1762,数据元说明!C:C,0),2)</f>
        <v>010064</v>
      </c>
      <c r="K1762" s="68" t="str">
        <f>INDEX(数据元说明!A:F,MATCH(I1762,数据元说明!C:C,0),5)</f>
        <v>国有企业，集体企业，私营企业，其他。</v>
      </c>
      <c r="L1762" s="69" t="str">
        <f>INDEX(数据元说明!A:F,MATCH(I1762,数据元说明!C:C,0),6)</f>
        <v>C..30 </v>
      </c>
      <c r="M1762" s="69" t="s">
        <v>4045</v>
      </c>
      <c r="N1762" s="68" t="s">
        <v>1583</v>
      </c>
      <c r="O1762" s="68" t="s">
        <v>484</v>
      </c>
      <c r="P1762" s="69"/>
    </row>
    <row r="1763" ht="39.95" hidden="1" customHeight="1" spans="1:16">
      <c r="A1763" s="89"/>
      <c r="B1763" s="73"/>
      <c r="C1763" s="73" t="s">
        <v>301</v>
      </c>
      <c r="D1763" s="73" t="s">
        <v>3966</v>
      </c>
      <c r="E1763" s="90">
        <v>1104</v>
      </c>
      <c r="F1763" s="69" t="s">
        <v>4046</v>
      </c>
      <c r="G1763" s="90">
        <v>110440</v>
      </c>
      <c r="H1763" s="69" t="s">
        <v>4047</v>
      </c>
      <c r="I1763" s="69" t="s">
        <v>774</v>
      </c>
      <c r="J1763" s="67" t="str">
        <f>INDEX(数据元说明!A:F,MATCH(I1763,数据元说明!C:C,0),2)</f>
        <v>005008</v>
      </c>
      <c r="K1763" s="68" t="str">
        <f>INDEX(数据元说明!A:F,MATCH(I1763,数据元说明!C:C,0),5)</f>
        <v>项目贷款对应的项目名称。</v>
      </c>
      <c r="L1763" s="69" t="str">
        <f>INDEX(数据元说明!A:F,MATCH(I1763,数据元说明!C:C,0),6)</f>
        <v>C..300</v>
      </c>
      <c r="M1763" s="69" t="s">
        <v>4048</v>
      </c>
      <c r="N1763" s="68"/>
      <c r="O1763" s="68"/>
      <c r="P1763" s="69"/>
    </row>
    <row r="1764" ht="39.95" hidden="1" customHeight="1" spans="1:16">
      <c r="A1764" s="89"/>
      <c r="B1764" s="73"/>
      <c r="C1764" s="73" t="s">
        <v>301</v>
      </c>
      <c r="D1764" s="73" t="s">
        <v>3966</v>
      </c>
      <c r="E1764" s="90">
        <v>1104</v>
      </c>
      <c r="F1764" s="69" t="s">
        <v>3406</v>
      </c>
      <c r="G1764" s="90">
        <v>110441</v>
      </c>
      <c r="H1764" s="69" t="s">
        <v>3407</v>
      </c>
      <c r="I1764" s="69" t="s">
        <v>543</v>
      </c>
      <c r="J1764" s="67" t="str">
        <f>INDEX(数据元说明!A:F,MATCH(I1764,数据元说明!C:C,0),2)</f>
        <v>002014</v>
      </c>
      <c r="K1764" s="68" t="str">
        <f>INDEX(数据元说明!A:F,MATCH(I1764,数据元说明!C:C,0),5)</f>
        <v>行业分类按《GB/T 4754 国民经济行业分类》执行。填报至该客户所属行业的小类代码，如：所属行业为“稻谷种植”填报“A0111”。境外机构按“境外”填报。</v>
      </c>
      <c r="L1764" s="69" t="str">
        <f>INDEX(数据元说明!A:F,MATCH(I1764,数据元说明!C:C,0),6)</f>
        <v>C..90</v>
      </c>
      <c r="M1764" s="69"/>
      <c r="N1764" s="68" t="s">
        <v>1583</v>
      </c>
      <c r="O1764" s="68" t="s">
        <v>3809</v>
      </c>
      <c r="P1764" s="69"/>
    </row>
    <row r="1765" ht="39.95" hidden="1" customHeight="1" spans="1:16">
      <c r="A1765" s="89"/>
      <c r="B1765" s="73"/>
      <c r="C1765" s="73" t="s">
        <v>301</v>
      </c>
      <c r="D1765" s="73" t="s">
        <v>3966</v>
      </c>
      <c r="E1765" s="90">
        <v>1104</v>
      </c>
      <c r="F1765" s="69" t="s">
        <v>4049</v>
      </c>
      <c r="G1765" s="90">
        <v>110442</v>
      </c>
      <c r="H1765" s="69" t="s">
        <v>4050</v>
      </c>
      <c r="I1765" s="69" t="s">
        <v>543</v>
      </c>
      <c r="J1765" s="67" t="str">
        <f>INDEX(数据元说明!A:F,MATCH(I1765,数据元说明!C:C,0),2)</f>
        <v>002014</v>
      </c>
      <c r="K1765" s="68" t="str">
        <f>INDEX(数据元说明!A:F,MATCH(I1765,数据元说明!C:C,0),5)</f>
        <v>行业分类按《GB/T 4754 国民经济行业分类》执行。填报至该客户所属行业的小类代码，如：所属行业为“稻谷种植”填报“A0111”。境外机构按“境外”填报。</v>
      </c>
      <c r="L1765" s="69" t="str">
        <f>INDEX(数据元说明!A:F,MATCH(I1765,数据元说明!C:C,0),6)</f>
        <v>C..90</v>
      </c>
      <c r="M1765" s="69"/>
      <c r="N1765" s="68" t="s">
        <v>1583</v>
      </c>
      <c r="O1765" s="68" t="s">
        <v>321</v>
      </c>
      <c r="P1765" s="69"/>
    </row>
    <row r="1766" ht="39.95" hidden="1" customHeight="1" spans="1:16">
      <c r="A1766" s="89"/>
      <c r="B1766" s="73"/>
      <c r="C1766" s="73" t="s">
        <v>301</v>
      </c>
      <c r="D1766" s="73" t="s">
        <v>3966</v>
      </c>
      <c r="E1766" s="90">
        <v>1104</v>
      </c>
      <c r="F1766" s="69" t="s">
        <v>4051</v>
      </c>
      <c r="G1766" s="90">
        <v>110443</v>
      </c>
      <c r="H1766" s="69" t="s">
        <v>4052</v>
      </c>
      <c r="I1766" s="69" t="s">
        <v>330</v>
      </c>
      <c r="J1766" s="67" t="str">
        <f>INDEX(数据元说明!A:F,MATCH(I1766,数据元说明!C:C,0),2)</f>
        <v>001002</v>
      </c>
      <c r="K1766" s="68" t="str">
        <f>INDEX(数据元说明!A:F,MATCH(I1766,数据元说明!C:C,0),5)</f>
        <v>是，否。</v>
      </c>
      <c r="L1766" s="69" t="str">
        <f>INDEX(数据元说明!A:F,MATCH(I1766,数据元说明!C:C,0),6)</f>
        <v>C3</v>
      </c>
      <c r="M1766" s="69"/>
      <c r="N1766" s="68"/>
      <c r="O1766" s="68"/>
      <c r="P1766" s="69"/>
    </row>
    <row r="1767" ht="39.95" hidden="1" customHeight="1" spans="1:16">
      <c r="A1767" s="89"/>
      <c r="B1767" s="73"/>
      <c r="C1767" s="73" t="s">
        <v>301</v>
      </c>
      <c r="D1767" s="73" t="s">
        <v>3966</v>
      </c>
      <c r="E1767" s="90">
        <v>1104</v>
      </c>
      <c r="F1767" s="69" t="s">
        <v>4053</v>
      </c>
      <c r="G1767" s="90">
        <v>110444</v>
      </c>
      <c r="H1767" s="69" t="s">
        <v>4054</v>
      </c>
      <c r="I1767" s="69" t="s">
        <v>1390</v>
      </c>
      <c r="J1767" s="144" t="str">
        <f>INDEX(数据元说明!A:F,MATCH(I1767,数据元说明!C:C,0),2)</f>
        <v>010065</v>
      </c>
      <c r="K1767" s="68" t="str">
        <f>INDEX(数据元说明!A:F,MATCH(I1767,数据元说明!C:C,0),5)</f>
        <v>房地产（保障房除外），地方政府融资平台，“铁公基”行业，“两高一剩”行业，其他。</v>
      </c>
      <c r="L1767" s="69" t="str">
        <f>INDEX(数据元说明!A:F,MATCH(I1767,数据元说明!C:C,0),6)</f>
        <v>C..60</v>
      </c>
      <c r="M1767" s="69"/>
      <c r="N1767" s="68"/>
      <c r="O1767" s="68"/>
      <c r="P1767" s="69"/>
    </row>
    <row r="1768" ht="39.95" hidden="1" customHeight="1" spans="1:16">
      <c r="A1768" s="89"/>
      <c r="B1768" s="73"/>
      <c r="C1768" s="73" t="s">
        <v>301</v>
      </c>
      <c r="D1768" s="73" t="s">
        <v>3966</v>
      </c>
      <c r="E1768" s="90">
        <v>1104</v>
      </c>
      <c r="F1768" s="69" t="s">
        <v>4055</v>
      </c>
      <c r="G1768" s="90">
        <v>110445</v>
      </c>
      <c r="H1768" s="69" t="s">
        <v>4056</v>
      </c>
      <c r="I1768" s="69" t="s">
        <v>330</v>
      </c>
      <c r="J1768" s="67" t="str">
        <f>INDEX(数据元说明!A:F,MATCH(I1768,数据元说明!C:C,0),2)</f>
        <v>001002</v>
      </c>
      <c r="K1768" s="68" t="str">
        <f>INDEX(数据元说明!A:F,MATCH(I1768,数据元说明!C:C,0),5)</f>
        <v>是，否。</v>
      </c>
      <c r="L1768" s="69" t="str">
        <f>INDEX(数据元说明!A:F,MATCH(I1768,数据元说明!C:C,0),6)</f>
        <v>C3</v>
      </c>
      <c r="M1768" s="69"/>
      <c r="N1768" s="68"/>
      <c r="O1768" s="68"/>
      <c r="P1768" s="69"/>
    </row>
    <row r="1769" ht="39.95" hidden="1" customHeight="1" spans="1:16">
      <c r="A1769" s="89"/>
      <c r="B1769" s="73"/>
      <c r="C1769" s="73" t="s">
        <v>301</v>
      </c>
      <c r="D1769" s="73" t="s">
        <v>3966</v>
      </c>
      <c r="E1769" s="90">
        <v>1104</v>
      </c>
      <c r="F1769" s="69" t="s">
        <v>634</v>
      </c>
      <c r="G1769" s="90">
        <v>110446</v>
      </c>
      <c r="H1769" s="69" t="s">
        <v>4057</v>
      </c>
      <c r="I1769" s="69" t="s">
        <v>634</v>
      </c>
      <c r="J1769" s="67" t="str">
        <f>INDEX(数据元说明!A:F,MATCH(I1769,数据元说明!C:C,0),2)</f>
        <v>003008</v>
      </c>
      <c r="K1769" s="68" t="str">
        <f>INDEX(数据元说明!A:F,MATCH(I1769,数据元说明!C:C,0),5)</f>
        <v>与币种相对应金额。</v>
      </c>
      <c r="L1769" s="69" t="str">
        <f>INDEX(数据元说明!A:F,MATCH(I1769,数据元说明!C:C,0),6)</f>
        <v>D20.2</v>
      </c>
      <c r="M1769" s="69" t="s">
        <v>4058</v>
      </c>
      <c r="N1769" s="68" t="s">
        <v>1583</v>
      </c>
      <c r="O1769" s="68" t="s">
        <v>1660</v>
      </c>
      <c r="P1769" s="69"/>
    </row>
    <row r="1770" ht="39.95" hidden="1" customHeight="1" spans="1:16">
      <c r="A1770" s="89"/>
      <c r="B1770" s="73"/>
      <c r="C1770" s="73" t="s">
        <v>301</v>
      </c>
      <c r="D1770" s="73" t="s">
        <v>3966</v>
      </c>
      <c r="E1770" s="90">
        <v>1104</v>
      </c>
      <c r="F1770" s="69" t="s">
        <v>3953</v>
      </c>
      <c r="G1770" s="90">
        <v>110447</v>
      </c>
      <c r="H1770" s="69" t="s">
        <v>3954</v>
      </c>
      <c r="I1770" s="69" t="s">
        <v>1537</v>
      </c>
      <c r="J1770" s="144" t="str">
        <f>INDEX(数据元说明!A:F,MATCH(I1770,数据元说明!C:C,0),2)</f>
        <v>010102</v>
      </c>
      <c r="K1770" s="68" t="str">
        <f>INDEX(数据元说明!A:F,MATCH(I1770,数据元说明!C:C,0),5)</f>
        <v>折算人民币的金额</v>
      </c>
      <c r="L1770" s="69" t="str">
        <f>INDEX(数据元说明!A:F,MATCH(I1770,数据元说明!C:C,0),6)</f>
        <v>D20.2</v>
      </c>
      <c r="M1770" s="69" t="s">
        <v>3955</v>
      </c>
      <c r="N1770" s="68" t="s">
        <v>1583</v>
      </c>
      <c r="O1770" s="68" t="s">
        <v>3856</v>
      </c>
      <c r="P1770" s="69"/>
    </row>
    <row r="1771" ht="39.95" hidden="1" customHeight="1" spans="1:16">
      <c r="A1771" s="89"/>
      <c r="B1771" s="73"/>
      <c r="C1771" s="73" t="s">
        <v>301</v>
      </c>
      <c r="D1771" s="73" t="s">
        <v>3966</v>
      </c>
      <c r="E1771" s="90">
        <v>1104</v>
      </c>
      <c r="F1771" s="69" t="s">
        <v>3957</v>
      </c>
      <c r="G1771" s="90">
        <v>110448</v>
      </c>
      <c r="H1771" s="69" t="s">
        <v>3958</v>
      </c>
      <c r="I1771" s="69" t="s">
        <v>1537</v>
      </c>
      <c r="J1771" s="144" t="str">
        <f>INDEX(数据元说明!A:F,MATCH(I1771,数据元说明!C:C,0),2)</f>
        <v>010102</v>
      </c>
      <c r="K1771" s="68" t="str">
        <f>INDEX(数据元说明!A:F,MATCH(I1771,数据元说明!C:C,0),5)</f>
        <v>折算人民币的金额</v>
      </c>
      <c r="L1771" s="69" t="str">
        <f>INDEX(数据元说明!A:F,MATCH(I1771,数据元说明!C:C,0),6)</f>
        <v>D20.2</v>
      </c>
      <c r="M1771" s="69" t="s">
        <v>3959</v>
      </c>
      <c r="N1771" s="68" t="s">
        <v>1601</v>
      </c>
      <c r="O1771" s="68"/>
      <c r="P1771" s="69"/>
    </row>
    <row r="1772" ht="39.95" hidden="1" customHeight="1" spans="1:16">
      <c r="A1772" s="89"/>
      <c r="B1772" s="73"/>
      <c r="C1772" s="73" t="s">
        <v>301</v>
      </c>
      <c r="D1772" s="73" t="s">
        <v>3966</v>
      </c>
      <c r="E1772" s="90">
        <v>1104</v>
      </c>
      <c r="F1772" s="69" t="s">
        <v>3960</v>
      </c>
      <c r="G1772" s="90">
        <v>110449</v>
      </c>
      <c r="H1772" s="69" t="s">
        <v>3961</v>
      </c>
      <c r="I1772" s="69" t="s">
        <v>1418</v>
      </c>
      <c r="J1772" s="144" t="str">
        <f>INDEX(数据元说明!A:F,MATCH(I1772,数据元说明!C:C,0),2)</f>
        <v>010072</v>
      </c>
      <c r="K1772" s="68" t="str">
        <f>INDEX(数据元说明!A:F,MATCH(I1772,数据元说明!C:C,0),5)</f>
        <v>产品份额或资产的数量。</v>
      </c>
      <c r="L1772" s="69" t="str">
        <f>INDEX(数据元说明!A:F,MATCH(I1772,数据元说明!C:C,0),6)</f>
        <v>D20.6</v>
      </c>
      <c r="M1772" s="69" t="s">
        <v>3962</v>
      </c>
      <c r="N1772" s="68" t="s">
        <v>1601</v>
      </c>
      <c r="O1772" s="68"/>
      <c r="P1772" s="69"/>
    </row>
    <row r="1773" ht="39.95" hidden="1" customHeight="1" spans="1:16">
      <c r="A1773" s="89"/>
      <c r="B1773" s="73"/>
      <c r="C1773" s="73" t="s">
        <v>301</v>
      </c>
      <c r="D1773" s="73" t="s">
        <v>3966</v>
      </c>
      <c r="E1773" s="90">
        <v>1104</v>
      </c>
      <c r="F1773" s="69" t="s">
        <v>3963</v>
      </c>
      <c r="G1773" s="90">
        <v>110450</v>
      </c>
      <c r="H1773" s="69" t="s">
        <v>3964</v>
      </c>
      <c r="I1773" s="69" t="s">
        <v>1418</v>
      </c>
      <c r="J1773" s="144" t="str">
        <f>INDEX(数据元说明!A:F,MATCH(I1773,数据元说明!C:C,0),2)</f>
        <v>010072</v>
      </c>
      <c r="K1773" s="68" t="str">
        <f>INDEX(数据元说明!A:F,MATCH(I1773,数据元说明!C:C,0),5)</f>
        <v>产品份额或资产的数量。</v>
      </c>
      <c r="L1773" s="69" t="str">
        <f>INDEX(数据元说明!A:F,MATCH(I1773,数据元说明!C:C,0),6)</f>
        <v>D20.6</v>
      </c>
      <c r="M1773" s="69" t="s">
        <v>3965</v>
      </c>
      <c r="N1773" s="68" t="s">
        <v>1601</v>
      </c>
      <c r="O1773" s="68"/>
      <c r="P1773" s="69"/>
    </row>
    <row r="1774" ht="39.95" hidden="1" customHeight="1" spans="1:16">
      <c r="A1774" s="89"/>
      <c r="B1774" s="73"/>
      <c r="C1774" s="73" t="s">
        <v>301</v>
      </c>
      <c r="D1774" s="73" t="s">
        <v>3966</v>
      </c>
      <c r="E1774" s="90">
        <v>1104</v>
      </c>
      <c r="F1774" s="69" t="s">
        <v>1474</v>
      </c>
      <c r="G1774" s="90">
        <v>110451</v>
      </c>
      <c r="H1774" s="69" t="s">
        <v>4059</v>
      </c>
      <c r="I1774" s="69" t="s">
        <v>1474</v>
      </c>
      <c r="J1774" s="144" t="str">
        <f>INDEX(数据元说明!A:F,MATCH(I1774,数据元说明!C:C,0),2)</f>
        <v>010086</v>
      </c>
      <c r="K1774" s="68" t="str">
        <f>INDEX(数据元说明!A:F,MATCH(I1774,数据元说明!C:C,0),5)</f>
        <v>信用担保，第三方保证，抵押，质押，信用增级，其他。</v>
      </c>
      <c r="L1774" s="69" t="str">
        <f>INDEX(数据元说明!A:F,MATCH(I1774,数据元说明!C:C,0),6)</f>
        <v>C..30</v>
      </c>
      <c r="M1774" s="69" t="s">
        <v>4060</v>
      </c>
      <c r="N1774" s="68"/>
      <c r="O1774" s="68"/>
      <c r="P1774" s="69"/>
    </row>
    <row r="1775" ht="39.95" hidden="1" customHeight="1" spans="1:16">
      <c r="A1775" s="89"/>
      <c r="B1775" s="73"/>
      <c r="C1775" s="73" t="s">
        <v>301</v>
      </c>
      <c r="D1775" s="73" t="s">
        <v>3966</v>
      </c>
      <c r="E1775" s="90">
        <v>1104</v>
      </c>
      <c r="F1775" s="69" t="s">
        <v>4061</v>
      </c>
      <c r="G1775" s="90">
        <v>110452</v>
      </c>
      <c r="H1775" s="69" t="s">
        <v>4062</v>
      </c>
      <c r="I1775" s="69" t="s">
        <v>1549</v>
      </c>
      <c r="J1775" s="144" t="str">
        <f>INDEX(数据元说明!A:F,MATCH(I1775,数据元说明!C:C,0),2)</f>
        <v>010105</v>
      </c>
      <c r="K1775" s="68" t="str">
        <f>INDEX(数据元说明!A:F,MATCH(I1775,数据元说明!C:C,0),5)</f>
        <v>发行机构自定义。</v>
      </c>
      <c r="L1775" s="69" t="str">
        <f>INDEX(数据元说明!A:F,MATCH(I1775,数据元说明!C:C,0),6)</f>
        <v>C..600</v>
      </c>
      <c r="M1775" s="69" t="s">
        <v>4063</v>
      </c>
      <c r="N1775" s="68" t="s">
        <v>1583</v>
      </c>
      <c r="O1775" s="68" t="s">
        <v>322</v>
      </c>
      <c r="P1775" s="69"/>
    </row>
    <row r="1776" ht="39.95" hidden="1" customHeight="1" spans="1:16">
      <c r="A1776" s="89"/>
      <c r="B1776" s="73"/>
      <c r="C1776" s="73" t="s">
        <v>301</v>
      </c>
      <c r="D1776" s="73" t="s">
        <v>3966</v>
      </c>
      <c r="E1776" s="90">
        <v>1104</v>
      </c>
      <c r="F1776" s="69" t="s">
        <v>868</v>
      </c>
      <c r="G1776" s="90">
        <v>110453</v>
      </c>
      <c r="H1776" s="69" t="s">
        <v>4064</v>
      </c>
      <c r="I1776" s="69" t="s">
        <v>1517</v>
      </c>
      <c r="J1776" s="144" t="str">
        <f>INDEX(数据元说明!A:F,MATCH(I1776,数据元说明!C:C,0),2)</f>
        <v>010097</v>
      </c>
      <c r="K1776" s="68" t="str">
        <f>INDEX(数据元说明!A:F,MATCH(I1776,数据元说明!C:C,0),5)</f>
        <v>现金及其等价物，贵金属，有价凭证，应收账款，房地产及土地使用权，存货，收费(益)权，其他。</v>
      </c>
      <c r="L1776" s="69" t="str">
        <f>INDEX(数据元说明!A:F,MATCH(I1776,数据元说明!C:C,0),6)</f>
        <v>C..30</v>
      </c>
      <c r="M1776" s="69"/>
      <c r="N1776" s="68" t="s">
        <v>1583</v>
      </c>
      <c r="O1776" s="69" t="s">
        <v>1597</v>
      </c>
      <c r="P1776" s="69" t="s">
        <v>4065</v>
      </c>
    </row>
    <row r="1777" ht="39.95" hidden="1" customHeight="1" spans="1:16">
      <c r="A1777" s="89"/>
      <c r="B1777" s="73"/>
      <c r="C1777" s="73" t="s">
        <v>301</v>
      </c>
      <c r="D1777" s="73" t="s">
        <v>3966</v>
      </c>
      <c r="E1777" s="90">
        <v>1104</v>
      </c>
      <c r="F1777" s="69" t="s">
        <v>4066</v>
      </c>
      <c r="G1777" s="90">
        <v>110454</v>
      </c>
      <c r="H1777" s="69" t="s">
        <v>4067</v>
      </c>
      <c r="I1777" s="69" t="s">
        <v>634</v>
      </c>
      <c r="J1777" s="67" t="str">
        <f>INDEX(数据元说明!A:F,MATCH(I1777,数据元说明!C:C,0),2)</f>
        <v>003008</v>
      </c>
      <c r="K1777" s="68" t="str">
        <f>INDEX(数据元说明!A:F,MATCH(I1777,数据元说明!C:C,0),5)</f>
        <v>与币种相对应金额。</v>
      </c>
      <c r="L1777" s="69" t="str">
        <f>INDEX(数据元说明!A:F,MATCH(I1777,数据元说明!C:C,0),6)</f>
        <v>D20.2</v>
      </c>
      <c r="M1777" s="69"/>
      <c r="N1777" s="68" t="s">
        <v>1583</v>
      </c>
      <c r="O1777" s="68" t="s">
        <v>2359</v>
      </c>
      <c r="P1777" s="69" t="s">
        <v>3981</v>
      </c>
    </row>
    <row r="1778" ht="39.95" hidden="1" customHeight="1" spans="1:16">
      <c r="A1778" s="89"/>
      <c r="B1778" s="73"/>
      <c r="C1778" s="73" t="s">
        <v>301</v>
      </c>
      <c r="D1778" s="73" t="s">
        <v>3966</v>
      </c>
      <c r="E1778" s="90">
        <v>1104</v>
      </c>
      <c r="F1778" s="69" t="s">
        <v>1521</v>
      </c>
      <c r="G1778" s="90">
        <v>110455</v>
      </c>
      <c r="H1778" s="69" t="s">
        <v>4068</v>
      </c>
      <c r="I1778" s="69" t="s">
        <v>1521</v>
      </c>
      <c r="J1778" s="144" t="str">
        <f>INDEX(数据元说明!A:F,MATCH(I1778,数据元说明!C:C,0),2)</f>
        <v>010098</v>
      </c>
      <c r="K1778" s="68" t="str">
        <f>INDEX(数据元说明!A:F,MATCH(I1778,数据元说明!C:C,0),5)</f>
        <v>有限责任，无限责任。</v>
      </c>
      <c r="L1778" s="69" t="str">
        <f>INDEX(数据元说明!A:F,MATCH(I1778,数据元说明!C:C,0),6)</f>
        <v>C..30</v>
      </c>
      <c r="M1778" s="69"/>
      <c r="N1778" s="68" t="s">
        <v>1583</v>
      </c>
      <c r="O1778" s="69" t="s">
        <v>484</v>
      </c>
      <c r="P1778" s="69" t="s">
        <v>3981</v>
      </c>
    </row>
    <row r="1779" ht="39.95" hidden="1" customHeight="1" spans="1:16">
      <c r="A1779" s="89"/>
      <c r="B1779" s="73"/>
      <c r="C1779" s="73" t="s">
        <v>301</v>
      </c>
      <c r="D1779" s="73" t="s">
        <v>3966</v>
      </c>
      <c r="E1779" s="90">
        <v>1104</v>
      </c>
      <c r="F1779" s="69" t="s">
        <v>1525</v>
      </c>
      <c r="G1779" s="90">
        <v>110456</v>
      </c>
      <c r="H1779" s="69" t="s">
        <v>4069</v>
      </c>
      <c r="I1779" s="69" t="s">
        <v>1525</v>
      </c>
      <c r="J1779" s="144" t="str">
        <f>INDEX(数据元说明!A:F,MATCH(I1779,数据元说明!C:C,0),2)</f>
        <v>010099</v>
      </c>
      <c r="K1779" s="68" t="str">
        <f>INDEX(数据元说明!A:F,MATCH(I1779,数据元说明!C:C,0),5)</f>
        <v>主要股东，控股股东，实际控制人，一致行动人，最终受益人，其他-银行自定义。无法以枚举类型填报的，以“其他-XX”填报，其中“XX”为银行自定义类型。。</v>
      </c>
      <c r="L1779" s="69" t="str">
        <f>INDEX(数据元说明!A:F,MATCH(I1779,数据元说明!C:C,0),6)</f>
        <v>C..30</v>
      </c>
      <c r="M1779" s="69"/>
      <c r="N1779" s="68" t="s">
        <v>1583</v>
      </c>
      <c r="O1779" s="69" t="s">
        <v>484</v>
      </c>
      <c r="P1779" s="69" t="s">
        <v>3981</v>
      </c>
    </row>
    <row r="1780" ht="39.95" hidden="1" customHeight="1" spans="1:16">
      <c r="A1780" s="89"/>
      <c r="B1780" s="73"/>
      <c r="C1780" s="73" t="s">
        <v>301</v>
      </c>
      <c r="D1780" s="73" t="s">
        <v>3966</v>
      </c>
      <c r="E1780" s="90">
        <v>1104</v>
      </c>
      <c r="F1780" s="69" t="s">
        <v>4070</v>
      </c>
      <c r="G1780" s="90">
        <v>110457</v>
      </c>
      <c r="H1780" s="69" t="s">
        <v>4071</v>
      </c>
      <c r="I1780" s="69" t="s">
        <v>552</v>
      </c>
      <c r="J1780" s="67" t="str">
        <f>INDEX(数据元说明!A:F,MATCH(I1780,数据元说明!C:C,0),2)</f>
        <v>002016</v>
      </c>
      <c r="K1780" s="68" t="str">
        <f>INDEX(数据元说明!A:F,MATCH(I1780,数据元说明!C:C,0),5)</f>
        <v>已登记统一社会信用代码的，填18位统一社会信用代码；未登记统一社会信用代码的，填组织机构代码。境外机构、临时验资户类客户填写默认值0</v>
      </c>
      <c r="L1780" s="69" t="str">
        <f>INDEX(数据元说明!A:F,MATCH(I1780,数据元说明!C:C,0),6)</f>
        <v>C..40</v>
      </c>
      <c r="M1780" s="69" t="s">
        <v>4072</v>
      </c>
      <c r="N1780" s="68" t="s">
        <v>1583</v>
      </c>
      <c r="O1780" s="69" t="s">
        <v>484</v>
      </c>
      <c r="P1780" s="69" t="s">
        <v>3981</v>
      </c>
    </row>
    <row r="1781" ht="39.95" hidden="1" customHeight="1" spans="1:16">
      <c r="A1781" s="89"/>
      <c r="B1781" s="73"/>
      <c r="C1781" s="73" t="s">
        <v>301</v>
      </c>
      <c r="D1781" s="73" t="s">
        <v>3966</v>
      </c>
      <c r="E1781" s="90">
        <v>1104</v>
      </c>
      <c r="F1781" s="69" t="s">
        <v>4073</v>
      </c>
      <c r="G1781" s="90">
        <v>110458</v>
      </c>
      <c r="H1781" s="69" t="s">
        <v>4074</v>
      </c>
      <c r="I1781" s="69" t="s">
        <v>325</v>
      </c>
      <c r="J1781" s="67" t="str">
        <f>INDEX(数据元说明!A:F,MATCH(I1781,数据元说明!C:C,0),2)</f>
        <v>001001</v>
      </c>
      <c r="K1781" s="68" t="str">
        <f>INDEX(数据元说明!A:F,MATCH(I1781,数据元说明!C:C,0),5)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781" s="69" t="str">
        <f>INDEX(数据元说明!A:F,MATCH(I1781,数据元说明!C:C,0),6)</f>
        <v>C..450</v>
      </c>
      <c r="M1781" s="69" t="s">
        <v>4075</v>
      </c>
      <c r="N1781" s="68" t="s">
        <v>1583</v>
      </c>
      <c r="O1781" s="68" t="s">
        <v>1695</v>
      </c>
      <c r="P1781" s="69" t="s">
        <v>3981</v>
      </c>
    </row>
    <row r="1782" ht="39.95" hidden="1" customHeight="1" spans="1:16">
      <c r="A1782" s="89"/>
      <c r="B1782" s="73"/>
      <c r="C1782" s="73" t="s">
        <v>301</v>
      </c>
      <c r="D1782" s="73" t="s">
        <v>3966</v>
      </c>
      <c r="E1782" s="90">
        <v>1104</v>
      </c>
      <c r="F1782" s="69" t="s">
        <v>4076</v>
      </c>
      <c r="G1782" s="90">
        <v>110459</v>
      </c>
      <c r="H1782" s="69" t="s">
        <v>4077</v>
      </c>
      <c r="I1782" s="69" t="s">
        <v>1168</v>
      </c>
      <c r="J1782" s="144" t="str">
        <f>INDEX(数据元说明!A:F,MATCH(I1782,数据元说明!C:C,0),2)</f>
        <v>010010</v>
      </c>
      <c r="K1782" s="68" t="str">
        <f>INDEX(数据元说明!A:F,MATCH(I1782,数据元说明!C:C,0),5)</f>
        <v>优先填报外部专业性的评级公司对融资人主体或资产的信用评级结果，如无，则由填报机构内部对融资人主体或资产的信用评级结果。</v>
      </c>
      <c r="L1782" s="69" t="str">
        <f>INDEX(数据元说明!A:F,MATCH(I1782,数据元说明!C:C,0),6)</f>
        <v>C..30</v>
      </c>
      <c r="M1782" s="69" t="s">
        <v>4078</v>
      </c>
      <c r="N1782" s="68" t="s">
        <v>1583</v>
      </c>
      <c r="O1782" s="68" t="s">
        <v>4079</v>
      </c>
      <c r="P1782" s="69"/>
    </row>
    <row r="1783" ht="39.95" hidden="1" customHeight="1" spans="1:16">
      <c r="A1783" s="89"/>
      <c r="B1783" s="73"/>
      <c r="C1783" s="73" t="s">
        <v>301</v>
      </c>
      <c r="D1783" s="73" t="s">
        <v>3966</v>
      </c>
      <c r="E1783" s="90">
        <v>1104</v>
      </c>
      <c r="F1783" s="69" t="s">
        <v>4080</v>
      </c>
      <c r="G1783" s="90">
        <v>110460</v>
      </c>
      <c r="H1783" s="69" t="s">
        <v>4081</v>
      </c>
      <c r="I1783" s="69" t="s">
        <v>1438</v>
      </c>
      <c r="J1783" s="144" t="str">
        <f>INDEX(数据元说明!A:F,MATCH(I1783,数据元说明!C:C,0),2)</f>
        <v>010077</v>
      </c>
      <c r="K1783" s="68" t="str">
        <f>INDEX(数据元说明!A:F,MATCH(I1783,数据元说明!C:C,0),5)</f>
        <v>填报机构内部对融资人主体或资产的信用评级结果，银行自定义。</v>
      </c>
      <c r="L1783" s="69" t="str">
        <f>INDEX(数据元说明!A:F,MATCH(I1783,数据元说明!C:C,0),6)</f>
        <v>C..30</v>
      </c>
      <c r="M1783" s="69" t="s">
        <v>4082</v>
      </c>
      <c r="N1783" s="68"/>
      <c r="O1783" s="68"/>
      <c r="P1783" s="69"/>
    </row>
    <row r="1784" ht="39.95" hidden="1" customHeight="1" spans="1:16">
      <c r="A1784" s="89"/>
      <c r="B1784" s="73"/>
      <c r="C1784" s="73" t="s">
        <v>301</v>
      </c>
      <c r="D1784" s="73" t="s">
        <v>3966</v>
      </c>
      <c r="E1784" s="90">
        <v>1104</v>
      </c>
      <c r="F1784" s="69" t="s">
        <v>4083</v>
      </c>
      <c r="G1784" s="90">
        <v>110461</v>
      </c>
      <c r="H1784" s="69" t="s">
        <v>4084</v>
      </c>
      <c r="I1784" s="69" t="s">
        <v>1434</v>
      </c>
      <c r="J1784" s="144" t="str">
        <f>INDEX(数据元说明!A:F,MATCH(I1784,数据元说明!C:C,0),2)</f>
        <v>010076</v>
      </c>
      <c r="K1784" s="68" t="str">
        <f>INDEX(数据元说明!A:F,MATCH(I1784,数据元说明!C:C,0),5)</f>
        <v>外部专业性的评级公司对融资人主体或资产的信用评级结果，以如下枚举值填报：AAA+，AAA，AAA-，AA+，AA，AA-，A+，A，A-，A-1，A-2，A-3，BBB+，BBB，BBB-，BB+，BB，BB-，B+，B，B-，CCC+，CCC，CCC-，CC+，CC，CC-，C+，C，C-，D，无评级。</v>
      </c>
      <c r="L1784" s="69" t="str">
        <f>INDEX(数据元说明!A:F,MATCH(I1784,数据元说明!C:C,0),6)</f>
        <v>C..30</v>
      </c>
      <c r="M1784" s="69" t="s">
        <v>4085</v>
      </c>
      <c r="N1784" s="68" t="s">
        <v>1583</v>
      </c>
      <c r="O1784" s="68" t="s">
        <v>321</v>
      </c>
      <c r="P1784" s="69"/>
    </row>
    <row r="1785" ht="39.95" hidden="1" customHeight="1" spans="1:16">
      <c r="A1785" s="89"/>
      <c r="B1785" s="73"/>
      <c r="C1785" s="73" t="s">
        <v>301</v>
      </c>
      <c r="D1785" s="73" t="s">
        <v>3966</v>
      </c>
      <c r="E1785" s="90">
        <v>1104</v>
      </c>
      <c r="F1785" s="69" t="s">
        <v>1498</v>
      </c>
      <c r="G1785" s="90">
        <v>110462</v>
      </c>
      <c r="H1785" s="69" t="s">
        <v>4086</v>
      </c>
      <c r="I1785" s="69" t="s">
        <v>1498</v>
      </c>
      <c r="J1785" s="144" t="str">
        <f>INDEX(数据元说明!A:F,MATCH(I1785,数据元说明!C:C,0),2)</f>
        <v>010092</v>
      </c>
      <c r="K1785" s="68" t="str">
        <f>INDEX(数据元说明!A:F,MATCH(I1785,数据元说明!C:C,0),5)</f>
        <v>发行人赎回选择权，发行人利息递延支付选择权，发行人续期选择权，投资人回售选择权，票面利率调整选择权，协商续期选择权，提前到期选择权。</v>
      </c>
      <c r="L1785" s="69" t="str">
        <f>INDEX(数据元说明!A:F,MATCH(I1785,数据元说明!C:C,0),6)</f>
        <v>C..300</v>
      </c>
      <c r="M1785" s="69" t="s">
        <v>4087</v>
      </c>
      <c r="N1785" s="68" t="s">
        <v>1583</v>
      </c>
      <c r="O1785" s="69" t="s">
        <v>484</v>
      </c>
      <c r="P1785" s="69" t="s">
        <v>3981</v>
      </c>
    </row>
    <row r="1786" ht="39.95" hidden="1" customHeight="1" spans="1:16">
      <c r="A1786" s="89"/>
      <c r="B1786" s="73"/>
      <c r="C1786" s="73" t="s">
        <v>301</v>
      </c>
      <c r="D1786" s="73" t="s">
        <v>3966</v>
      </c>
      <c r="E1786" s="90">
        <v>1104</v>
      </c>
      <c r="F1786" s="69" t="s">
        <v>4088</v>
      </c>
      <c r="G1786" s="90">
        <v>110463</v>
      </c>
      <c r="H1786" s="69" t="s">
        <v>4089</v>
      </c>
      <c r="I1786" s="69" t="s">
        <v>1549</v>
      </c>
      <c r="J1786" s="144" t="str">
        <f>INDEX(数据元说明!A:F,MATCH(I1786,数据元说明!C:C,0),2)</f>
        <v>010105</v>
      </c>
      <c r="K1786" s="68" t="str">
        <f>INDEX(数据元说明!A:F,MATCH(I1786,数据元说明!C:C,0),5)</f>
        <v>发行机构自定义。</v>
      </c>
      <c r="L1786" s="69" t="str">
        <f>INDEX(数据元说明!A:F,MATCH(I1786,数据元说明!C:C,0),6)</f>
        <v>C..600</v>
      </c>
      <c r="M1786" s="69" t="s">
        <v>4090</v>
      </c>
      <c r="N1786" s="68" t="s">
        <v>1583</v>
      </c>
      <c r="O1786" s="68" t="s">
        <v>322</v>
      </c>
      <c r="P1786" s="69"/>
    </row>
    <row r="1787" ht="39.95" hidden="1" customHeight="1" spans="1:16">
      <c r="A1787" s="89"/>
      <c r="B1787" s="73"/>
      <c r="C1787" s="73" t="s">
        <v>301</v>
      </c>
      <c r="D1787" s="73" t="s">
        <v>3966</v>
      </c>
      <c r="E1787" s="90">
        <v>1104</v>
      </c>
      <c r="F1787" s="69" t="s">
        <v>4091</v>
      </c>
      <c r="G1787" s="90">
        <v>110464</v>
      </c>
      <c r="H1787" s="69" t="s">
        <v>4092</v>
      </c>
      <c r="I1787" s="69" t="s">
        <v>1549</v>
      </c>
      <c r="J1787" s="144" t="str">
        <f>INDEX(数据元说明!A:F,MATCH(I1787,数据元说明!C:C,0),2)</f>
        <v>010105</v>
      </c>
      <c r="K1787" s="68" t="str">
        <f>INDEX(数据元说明!A:F,MATCH(I1787,数据元说明!C:C,0),5)</f>
        <v>发行机构自定义。</v>
      </c>
      <c r="L1787" s="69" t="str">
        <f>INDEX(数据元说明!A:F,MATCH(I1787,数据元说明!C:C,0),6)</f>
        <v>C..600</v>
      </c>
      <c r="M1787" s="69" t="s">
        <v>4093</v>
      </c>
      <c r="N1787" s="68" t="s">
        <v>1583</v>
      </c>
      <c r="O1787" s="68" t="s">
        <v>322</v>
      </c>
      <c r="P1787" s="69"/>
    </row>
    <row r="1788" ht="39.95" hidden="1" customHeight="1" spans="1:16">
      <c r="A1788" s="89"/>
      <c r="B1788" s="73"/>
      <c r="C1788" s="73" t="s">
        <v>301</v>
      </c>
      <c r="D1788" s="73" t="s">
        <v>3966</v>
      </c>
      <c r="E1788" s="90">
        <v>1104</v>
      </c>
      <c r="F1788" s="69" t="s">
        <v>1501</v>
      </c>
      <c r="G1788" s="90">
        <v>110465</v>
      </c>
      <c r="H1788" s="69" t="s">
        <v>3591</v>
      </c>
      <c r="I1788" s="69" t="s">
        <v>1501</v>
      </c>
      <c r="J1788" s="144" t="str">
        <f>INDEX(数据元说明!A:F,MATCH(I1788,数据元说明!C:C,0),2)</f>
        <v>010093</v>
      </c>
      <c r="K1788" s="68" t="str">
        <f>INDEX(数据元说明!A:F,MATCH(I1788,数据元说明!C:C,0),5)</f>
        <v>美式，欧式，百慕大，其他-银行自定义。无法以枚举类型填报的，以“其他-XX”填报，其中“XX”为银行自定义行权方式。</v>
      </c>
      <c r="L1788" s="69" t="str">
        <f>INDEX(数据元说明!A:F,MATCH(I1788,数据元说明!C:C,0),6)</f>
        <v>C..30</v>
      </c>
      <c r="M1788" s="69" t="s">
        <v>4094</v>
      </c>
      <c r="N1788" s="68" t="s">
        <v>1583</v>
      </c>
      <c r="O1788" s="69" t="s">
        <v>484</v>
      </c>
      <c r="P1788" s="69" t="s">
        <v>3981</v>
      </c>
    </row>
    <row r="1789" ht="39.95" hidden="1" customHeight="1" spans="1:16">
      <c r="A1789" s="89"/>
      <c r="B1789" s="73"/>
      <c r="C1789" s="73" t="s">
        <v>301</v>
      </c>
      <c r="D1789" s="73" t="s">
        <v>3966</v>
      </c>
      <c r="E1789" s="90">
        <v>1104</v>
      </c>
      <c r="F1789" s="69" t="s">
        <v>4095</v>
      </c>
      <c r="G1789" s="90">
        <v>110466</v>
      </c>
      <c r="H1789" s="69" t="s">
        <v>4096</v>
      </c>
      <c r="I1789" s="69" t="s">
        <v>345</v>
      </c>
      <c r="J1789" s="67" t="str">
        <f>INDEX(数据元说明!A:F,MATCH(I1789,数据元说明!C:C,0),2)</f>
        <v>001005</v>
      </c>
      <c r="K1789" s="68" t="str">
        <f>INDEX(数据元说明!A:F,MATCH(I1789,数据元说明!C:C,0),5)</f>
        <v>YYYYMMDD，默认值99991231。</v>
      </c>
      <c r="L1789" s="69" t="str">
        <f>INDEX(数据元说明!A:F,MATCH(I1789,数据元说明!C:C,0),6)</f>
        <v>C8</v>
      </c>
      <c r="M1789" s="69" t="s">
        <v>4097</v>
      </c>
      <c r="N1789" s="68" t="s">
        <v>1583</v>
      </c>
      <c r="O1789" s="68" t="s">
        <v>1607</v>
      </c>
      <c r="P1789" s="69" t="s">
        <v>3981</v>
      </c>
    </row>
    <row r="1790" ht="39.95" hidden="1" customHeight="1" spans="1:16">
      <c r="A1790" s="89"/>
      <c r="B1790" s="73"/>
      <c r="C1790" s="73" t="s">
        <v>301</v>
      </c>
      <c r="D1790" s="73" t="s">
        <v>3966</v>
      </c>
      <c r="E1790" s="90">
        <v>1104</v>
      </c>
      <c r="F1790" s="69" t="s">
        <v>4098</v>
      </c>
      <c r="G1790" s="90">
        <v>110467</v>
      </c>
      <c r="H1790" s="69" t="s">
        <v>4099</v>
      </c>
      <c r="I1790" s="69" t="s">
        <v>345</v>
      </c>
      <c r="J1790" s="67" t="str">
        <f>INDEX(数据元说明!A:F,MATCH(I1790,数据元说明!C:C,0),2)</f>
        <v>001005</v>
      </c>
      <c r="K1790" s="68" t="str">
        <f>INDEX(数据元说明!A:F,MATCH(I1790,数据元说明!C:C,0),5)</f>
        <v>YYYYMMDD，默认值99991231。</v>
      </c>
      <c r="L1790" s="69" t="str">
        <f>INDEX(数据元说明!A:F,MATCH(I1790,数据元说明!C:C,0),6)</f>
        <v>C8</v>
      </c>
      <c r="M1790" s="69" t="s">
        <v>4100</v>
      </c>
      <c r="N1790" s="68" t="s">
        <v>1583</v>
      </c>
      <c r="O1790" s="69" t="s">
        <v>484</v>
      </c>
      <c r="P1790" s="69" t="s">
        <v>3981</v>
      </c>
    </row>
    <row r="1791" ht="39.95" hidden="1" customHeight="1" spans="1:16">
      <c r="A1791" s="89"/>
      <c r="B1791" s="73"/>
      <c r="C1791" s="73" t="s">
        <v>301</v>
      </c>
      <c r="D1791" s="73" t="s">
        <v>3966</v>
      </c>
      <c r="E1791" s="90">
        <v>1104</v>
      </c>
      <c r="F1791" s="69" t="s">
        <v>4101</v>
      </c>
      <c r="G1791" s="90">
        <v>110468</v>
      </c>
      <c r="H1791" s="69" t="s">
        <v>4102</v>
      </c>
      <c r="I1791" s="69" t="s">
        <v>1313</v>
      </c>
      <c r="J1791" s="144" t="str">
        <f>INDEX(数据元说明!A:F,MATCH(I1791,数据元说明!C:C,0),2)</f>
        <v>010046</v>
      </c>
      <c r="K1791" s="68" t="str">
        <f>INDEX(数据元说明!A:F,MATCH(I1791,数据元说明!C:C,0),5)</f>
        <v>以天为单位计的时间长度。</v>
      </c>
      <c r="L1791" s="69" t="str">
        <f>INDEX(数据元说明!A:F,MATCH(I1791,数据元说明!C:C,0),6)</f>
        <v>I</v>
      </c>
      <c r="M1791" s="69" t="s">
        <v>4103</v>
      </c>
      <c r="N1791" s="68" t="s">
        <v>1583</v>
      </c>
      <c r="O1791" s="68" t="s">
        <v>1695</v>
      </c>
      <c r="P1791" s="69" t="s">
        <v>3981</v>
      </c>
    </row>
    <row r="1792" ht="39.95" hidden="1" customHeight="1" spans="1:16">
      <c r="A1792" s="89"/>
      <c r="B1792" s="73"/>
      <c r="C1792" s="73" t="s">
        <v>301</v>
      </c>
      <c r="D1792" s="73" t="s">
        <v>3966</v>
      </c>
      <c r="E1792" s="90">
        <v>1104</v>
      </c>
      <c r="F1792" s="69" t="s">
        <v>3593</v>
      </c>
      <c r="G1792" s="90">
        <v>110469</v>
      </c>
      <c r="H1792" s="69" t="s">
        <v>3594</v>
      </c>
      <c r="I1792" s="69" t="s">
        <v>1394</v>
      </c>
      <c r="J1792" s="144" t="str">
        <f>INDEX(数据元说明!A:F,MATCH(I1792,数据元说明!C:C,0),2)</f>
        <v>010066</v>
      </c>
      <c r="K1792" s="68" t="str">
        <f>INDEX(数据元说明!A:F,MATCH(I1792,数据元说明!C:C,0),5)</f>
        <v>单位价格。</v>
      </c>
      <c r="L1792" s="69" t="str">
        <f>INDEX(数据元说明!A:F,MATCH(I1792,数据元说明!C:C,0),6)</f>
        <v>D20.4</v>
      </c>
      <c r="M1792" s="69" t="s">
        <v>4104</v>
      </c>
      <c r="N1792" s="68" t="s">
        <v>1583</v>
      </c>
      <c r="O1792" s="69" t="s">
        <v>484</v>
      </c>
      <c r="P1792" s="69" t="s">
        <v>3981</v>
      </c>
    </row>
    <row r="1793" ht="39.95" hidden="1" customHeight="1" spans="1:16">
      <c r="A1793" s="89"/>
      <c r="B1793" s="73"/>
      <c r="C1793" s="73" t="s">
        <v>301</v>
      </c>
      <c r="D1793" s="73" t="s">
        <v>3966</v>
      </c>
      <c r="E1793" s="90">
        <v>1104</v>
      </c>
      <c r="F1793" s="69" t="s">
        <v>1505</v>
      </c>
      <c r="G1793" s="90">
        <v>110470</v>
      </c>
      <c r="H1793" s="69" t="s">
        <v>4105</v>
      </c>
      <c r="I1793" s="69" t="s">
        <v>1505</v>
      </c>
      <c r="J1793" s="144" t="str">
        <f>INDEX(数据元说明!A:F,MATCH(I1793,数据元说明!C:C,0),2)</f>
        <v>010094</v>
      </c>
      <c r="K1793" s="68" t="str">
        <f>INDEX(数据元说明!A:F,MATCH(I1793,数据元说明!C:C,0),5)</f>
        <v>无，可续期条款，永续条款。</v>
      </c>
      <c r="L1793" s="69" t="str">
        <f>INDEX(数据元说明!A:F,MATCH(I1793,数据元说明!C:C,0),6)</f>
        <v>C..30</v>
      </c>
      <c r="M1793" s="69" t="s">
        <v>4106</v>
      </c>
      <c r="N1793" s="68" t="s">
        <v>1583</v>
      </c>
      <c r="O1793" s="69" t="s">
        <v>484</v>
      </c>
      <c r="P1793" s="69" t="s">
        <v>3981</v>
      </c>
    </row>
    <row r="1794" ht="39.95" hidden="1" customHeight="1" spans="1:16">
      <c r="A1794" s="89"/>
      <c r="B1794" s="73"/>
      <c r="C1794" s="73" t="s">
        <v>301</v>
      </c>
      <c r="D1794" s="73" t="s">
        <v>3966</v>
      </c>
      <c r="E1794" s="90">
        <v>1104</v>
      </c>
      <c r="F1794" s="69" t="s">
        <v>1509</v>
      </c>
      <c r="G1794" s="90">
        <v>110471</v>
      </c>
      <c r="H1794" s="69" t="s">
        <v>4107</v>
      </c>
      <c r="I1794" s="69" t="s">
        <v>1509</v>
      </c>
      <c r="J1794" s="144" t="str">
        <f>INDEX(数据元说明!A:F,MATCH(I1794,数据元说明!C:C,0),2)</f>
        <v>010095</v>
      </c>
      <c r="K1794" s="68" t="str">
        <f>INDEX(数据元说明!A:F,MATCH(I1794,数据元说明!C:C,0),5)</f>
        <v>无利息递延条款，有利息递延条款，非利息递延条款引起的递延。</v>
      </c>
      <c r="L1794" s="69" t="str">
        <f>INDEX(数据元说明!A:F,MATCH(I1794,数据元说明!C:C,0),6)</f>
        <v>C..30</v>
      </c>
      <c r="M1794" s="69" t="s">
        <v>4108</v>
      </c>
      <c r="N1794" s="68" t="s">
        <v>1583</v>
      </c>
      <c r="O1794" s="69" t="s">
        <v>484</v>
      </c>
      <c r="P1794" s="69" t="s">
        <v>3981</v>
      </c>
    </row>
    <row r="1795" ht="39.95" hidden="1" customHeight="1" spans="1:16">
      <c r="A1795" s="89"/>
      <c r="B1795" s="73"/>
      <c r="C1795" s="73" t="s">
        <v>301</v>
      </c>
      <c r="D1795" s="73" t="s">
        <v>3966</v>
      </c>
      <c r="E1795" s="90">
        <v>1104</v>
      </c>
      <c r="F1795" s="69" t="s">
        <v>4109</v>
      </c>
      <c r="G1795" s="90">
        <v>110472</v>
      </c>
      <c r="H1795" s="69" t="s">
        <v>4110</v>
      </c>
      <c r="I1795" s="69" t="s">
        <v>330</v>
      </c>
      <c r="J1795" s="67" t="str">
        <f>INDEX(数据元说明!A:F,MATCH(I1795,数据元说明!C:C,0),2)</f>
        <v>001002</v>
      </c>
      <c r="K1795" s="68" t="str">
        <f>INDEX(数据元说明!A:F,MATCH(I1795,数据元说明!C:C,0),5)</f>
        <v>是，否。</v>
      </c>
      <c r="L1795" s="69" t="str">
        <f>INDEX(数据元说明!A:F,MATCH(I1795,数据元说明!C:C,0),6)</f>
        <v>C3</v>
      </c>
      <c r="M1795" s="69" t="s">
        <v>4111</v>
      </c>
      <c r="N1795" s="68" t="s">
        <v>1583</v>
      </c>
      <c r="O1795" s="69" t="s">
        <v>484</v>
      </c>
      <c r="P1795" s="69" t="s">
        <v>3981</v>
      </c>
    </row>
    <row r="1796" ht="39.95" hidden="1" customHeight="1" spans="1:16">
      <c r="A1796" s="89"/>
      <c r="B1796" s="73"/>
      <c r="C1796" s="73" t="s">
        <v>301</v>
      </c>
      <c r="D1796" s="73" t="s">
        <v>3966</v>
      </c>
      <c r="E1796" s="90">
        <v>1104</v>
      </c>
      <c r="F1796" s="69" t="s">
        <v>4112</v>
      </c>
      <c r="G1796" s="90">
        <v>110473</v>
      </c>
      <c r="H1796" s="69" t="s">
        <v>4113</v>
      </c>
      <c r="I1796" s="69" t="s">
        <v>345</v>
      </c>
      <c r="J1796" s="67" t="str">
        <f>INDEX(数据元说明!A:F,MATCH(I1796,数据元说明!C:C,0),2)</f>
        <v>001005</v>
      </c>
      <c r="K1796" s="68" t="str">
        <f>INDEX(数据元说明!A:F,MATCH(I1796,数据元说明!C:C,0),5)</f>
        <v>YYYYMMDD，默认值99991231。</v>
      </c>
      <c r="L1796" s="69" t="str">
        <f>INDEX(数据元说明!A:F,MATCH(I1796,数据元说明!C:C,0),6)</f>
        <v>C8</v>
      </c>
      <c r="M1796" s="69" t="s">
        <v>4114</v>
      </c>
      <c r="N1796" s="68" t="s">
        <v>1583</v>
      </c>
      <c r="O1796" s="69" t="s">
        <v>484</v>
      </c>
      <c r="P1796" s="69" t="s">
        <v>3981</v>
      </c>
    </row>
    <row r="1797" ht="39.95" hidden="1" customHeight="1" spans="1:16">
      <c r="A1797" s="89"/>
      <c r="B1797" s="73"/>
      <c r="C1797" s="73" t="s">
        <v>301</v>
      </c>
      <c r="D1797" s="73" t="s">
        <v>3966</v>
      </c>
      <c r="E1797" s="90">
        <v>1104</v>
      </c>
      <c r="F1797" s="69" t="s">
        <v>4115</v>
      </c>
      <c r="G1797" s="90">
        <v>110474</v>
      </c>
      <c r="H1797" s="69" t="s">
        <v>4116</v>
      </c>
      <c r="I1797" s="69" t="s">
        <v>1313</v>
      </c>
      <c r="J1797" s="144" t="str">
        <f>INDEX(数据元说明!A:F,MATCH(I1797,数据元说明!C:C,0),2)</f>
        <v>010046</v>
      </c>
      <c r="K1797" s="68" t="str">
        <f>INDEX(数据元说明!A:F,MATCH(I1797,数据元说明!C:C,0),5)</f>
        <v>以天为单位计的时间长度。</v>
      </c>
      <c r="L1797" s="69" t="str">
        <f>INDEX(数据元说明!A:F,MATCH(I1797,数据元说明!C:C,0),6)</f>
        <v>I</v>
      </c>
      <c r="M1797" s="69" t="s">
        <v>4117</v>
      </c>
      <c r="N1797" s="68" t="s">
        <v>1583</v>
      </c>
      <c r="O1797" s="69" t="s">
        <v>484</v>
      </c>
      <c r="P1797" s="69" t="s">
        <v>3981</v>
      </c>
    </row>
    <row r="1798" ht="39.95" hidden="1" customHeight="1" spans="1:16">
      <c r="A1798" s="89"/>
      <c r="B1798" s="73"/>
      <c r="C1798" s="73" t="s">
        <v>301</v>
      </c>
      <c r="D1798" s="73" t="s">
        <v>3966</v>
      </c>
      <c r="E1798" s="90">
        <v>1104</v>
      </c>
      <c r="F1798" s="69" t="s">
        <v>4118</v>
      </c>
      <c r="G1798" s="90">
        <v>110475</v>
      </c>
      <c r="H1798" s="69" t="s">
        <v>4119</v>
      </c>
      <c r="I1798" s="69" t="s">
        <v>330</v>
      </c>
      <c r="J1798" s="67" t="str">
        <f>INDEX(数据元说明!A:F,MATCH(I1798,数据元说明!C:C,0),2)</f>
        <v>001002</v>
      </c>
      <c r="K1798" s="68" t="str">
        <f>INDEX(数据元说明!A:F,MATCH(I1798,数据元说明!C:C,0),5)</f>
        <v>是，否。</v>
      </c>
      <c r="L1798" s="69" t="str">
        <f>INDEX(数据元说明!A:F,MATCH(I1798,数据元说明!C:C,0),6)</f>
        <v>C3</v>
      </c>
      <c r="M1798" s="69" t="s">
        <v>4120</v>
      </c>
      <c r="N1798" s="68" t="s">
        <v>1583</v>
      </c>
      <c r="O1798" s="69" t="s">
        <v>484</v>
      </c>
      <c r="P1798" s="69" t="s">
        <v>3981</v>
      </c>
    </row>
    <row r="1799" ht="39.95" hidden="1" customHeight="1" spans="1:16">
      <c r="A1799" s="89"/>
      <c r="B1799" s="73"/>
      <c r="C1799" s="73" t="s">
        <v>301</v>
      </c>
      <c r="D1799" s="73" t="s">
        <v>3966</v>
      </c>
      <c r="E1799" s="90">
        <v>1104</v>
      </c>
      <c r="F1799" s="69" t="s">
        <v>4121</v>
      </c>
      <c r="G1799" s="90">
        <v>110476</v>
      </c>
      <c r="H1799" s="69" t="s">
        <v>4122</v>
      </c>
      <c r="I1799" s="69" t="s">
        <v>335</v>
      </c>
      <c r="J1799" s="67" t="str">
        <f>INDEX(数据元说明!A:F,MATCH(I1799,数据元说明!C:C,0),2)</f>
        <v>001003</v>
      </c>
      <c r="K1799" s="68" t="str">
        <f>INDEX(数据元说明!A:F,MATCH(I1799,数据元说明!C:C,0),5)</f>
        <v>百分比为单位，即1/100，保留两位小数。如4.5%则填报为4.50。</v>
      </c>
      <c r="L1799" s="69" t="str">
        <f>INDEX(数据元说明!A:F,MATCH(I1799,数据元说明!C:C,0),6)</f>
        <v>D20.2</v>
      </c>
      <c r="M1799" s="69" t="s">
        <v>4123</v>
      </c>
      <c r="N1799" s="68" t="s">
        <v>1583</v>
      </c>
      <c r="O1799" s="68" t="s">
        <v>3788</v>
      </c>
      <c r="P1799" s="69" t="s">
        <v>3981</v>
      </c>
    </row>
    <row r="1800" ht="39.95" hidden="1" customHeight="1" spans="1:16">
      <c r="A1800" s="89"/>
      <c r="B1800" s="73"/>
      <c r="C1800" s="73" t="s">
        <v>301</v>
      </c>
      <c r="D1800" s="73" t="s">
        <v>3966</v>
      </c>
      <c r="E1800" s="90">
        <v>1104</v>
      </c>
      <c r="F1800" s="69" t="s">
        <v>4124</v>
      </c>
      <c r="G1800" s="90">
        <v>110477</v>
      </c>
      <c r="H1800" s="69" t="s">
        <v>4125</v>
      </c>
      <c r="I1800" s="69" t="s">
        <v>1549</v>
      </c>
      <c r="J1800" s="144" t="str">
        <f>INDEX(数据元说明!A:F,MATCH(I1800,数据元说明!C:C,0),2)</f>
        <v>010105</v>
      </c>
      <c r="K1800" s="68" t="str">
        <f>INDEX(数据元说明!A:F,MATCH(I1800,数据元说明!C:C,0),5)</f>
        <v>发行机构自定义。</v>
      </c>
      <c r="L1800" s="69" t="str">
        <f>INDEX(数据元说明!A:F,MATCH(I1800,数据元说明!C:C,0),6)</f>
        <v>C..600</v>
      </c>
      <c r="M1800" s="69" t="s">
        <v>4126</v>
      </c>
      <c r="N1800" s="68" t="s">
        <v>1583</v>
      </c>
      <c r="O1800" s="68" t="s">
        <v>322</v>
      </c>
      <c r="P1800" s="69"/>
    </row>
    <row r="1801" ht="39.95" hidden="1" customHeight="1" outlineLevel="1" spans="1:16">
      <c r="A1801" s="63"/>
      <c r="B1801" s="64"/>
      <c r="C1801" s="73" t="s">
        <v>301</v>
      </c>
      <c r="D1801" s="73" t="s">
        <v>3966</v>
      </c>
      <c r="E1801" s="90">
        <v>1104</v>
      </c>
      <c r="F1801" s="67" t="s">
        <v>484</v>
      </c>
      <c r="G1801" s="90">
        <v>110478</v>
      </c>
      <c r="H1801" s="67" t="s">
        <v>1623</v>
      </c>
      <c r="I1801" s="67" t="s">
        <v>484</v>
      </c>
      <c r="J1801" s="67" t="str">
        <f>INDEX(数据元说明!A:F,MATCH(I1801,数据元说明!C:C,0),2)</f>
        <v>001038</v>
      </c>
      <c r="K1801" s="68" t="str">
        <f>INDEX(数据元说明!A:F,MATCH(I1801,数据元说明!C:C,0),5)</f>
        <v>银行自定义。</v>
      </c>
      <c r="L1801" s="67" t="str">
        <f>INDEX(数据元说明!A:F,MATCH(I1801,数据元说明!C:C,0),6)</f>
        <v>C..600</v>
      </c>
      <c r="M1801" s="68" t="s">
        <v>1624</v>
      </c>
      <c r="N1801" s="68" t="s">
        <v>1601</v>
      </c>
      <c r="O1801" s="68"/>
      <c r="P1801" s="68"/>
    </row>
    <row r="1802" ht="39.95" hidden="1" customHeight="1" collapsed="1" spans="1:16">
      <c r="A1802" s="63"/>
      <c r="B1802" s="64"/>
      <c r="C1802" s="73" t="s">
        <v>301</v>
      </c>
      <c r="D1802" s="73" t="s">
        <v>3966</v>
      </c>
      <c r="E1802" s="90">
        <v>1104</v>
      </c>
      <c r="F1802" s="67" t="s">
        <v>1625</v>
      </c>
      <c r="G1802" s="90">
        <v>110479</v>
      </c>
      <c r="H1802" s="75" t="s">
        <v>1626</v>
      </c>
      <c r="I1802" s="67" t="s">
        <v>345</v>
      </c>
      <c r="J1802" s="67" t="str">
        <f>INDEX(数据元说明!A:F,MATCH(I1802,数据元说明!C:C,0),2)</f>
        <v>001005</v>
      </c>
      <c r="K1802" s="68" t="str">
        <f>INDEX(数据元说明!A:F,MATCH(I1802,数据元说明!C:C,0),5)</f>
        <v>YYYYMMDD，默认值99991231。</v>
      </c>
      <c r="L1802" s="67" t="str">
        <f>INDEX(数据元说明!A:F,MATCH(I1802,数据元说明!C:C,0),6)</f>
        <v>C8</v>
      </c>
      <c r="M1802" s="68" t="s">
        <v>3896</v>
      </c>
      <c r="N1802" s="68" t="s">
        <v>1601</v>
      </c>
      <c r="O1802" s="68"/>
      <c r="P1802" s="69"/>
    </row>
    <row r="1803" ht="39.95" hidden="1" customHeight="1" spans="1:16">
      <c r="A1803" s="63"/>
      <c r="B1803" s="59"/>
      <c r="C1803" s="59" t="s">
        <v>304</v>
      </c>
      <c r="D1803" s="59" t="s">
        <v>4127</v>
      </c>
      <c r="E1803" s="67">
        <v>1105</v>
      </c>
      <c r="F1803" s="67"/>
      <c r="G1803" s="65"/>
      <c r="H1803" s="67" t="s">
        <v>3615</v>
      </c>
      <c r="I1803" s="67"/>
      <c r="J1803" s="67"/>
      <c r="K1803" s="69"/>
      <c r="L1803" s="67"/>
      <c r="M1803" s="68" t="s">
        <v>4128</v>
      </c>
      <c r="N1803" s="68"/>
      <c r="O1803" s="68"/>
      <c r="P1803" s="69" t="s">
        <v>3968</v>
      </c>
    </row>
    <row r="1804" ht="39.95" hidden="1" customHeight="1" spans="1:16">
      <c r="A1804" s="89"/>
      <c r="B1804" s="73"/>
      <c r="C1804" s="74" t="s">
        <v>304</v>
      </c>
      <c r="D1804" s="73" t="s">
        <v>4127</v>
      </c>
      <c r="E1804" s="90">
        <v>1105</v>
      </c>
      <c r="F1804" s="69" t="s">
        <v>3900</v>
      </c>
      <c r="G1804" s="90">
        <v>110501</v>
      </c>
      <c r="H1804" s="69" t="s">
        <v>3901</v>
      </c>
      <c r="I1804" s="69" t="s">
        <v>1414</v>
      </c>
      <c r="J1804" s="144" t="str">
        <f>INDEX(数据元说明!A:F,MATCH(I1804,数据元说明!C:C,0),2)</f>
        <v>010071</v>
      </c>
      <c r="K1804" s="68" t="str">
        <f>INDEX(数据元说明!A:F,MATCH(I1804,数据元说明!C:C,0),5)</f>
        <v>理财中心赋予产品或资产的序号。</v>
      </c>
      <c r="L1804" s="69" t="str">
        <f>INDEX(数据元说明!A:F,MATCH(I1804,数据元说明!C:C,0),6)</f>
        <v>C..30</v>
      </c>
      <c r="M1804" s="69" t="s">
        <v>3628</v>
      </c>
      <c r="N1804" s="68"/>
      <c r="O1804" s="68"/>
      <c r="P1804" s="69"/>
    </row>
    <row r="1805" ht="39.95" hidden="1" customHeight="1" spans="1:16">
      <c r="A1805" s="89"/>
      <c r="B1805" s="73"/>
      <c r="C1805" s="74" t="s">
        <v>304</v>
      </c>
      <c r="D1805" s="73" t="s">
        <v>4127</v>
      </c>
      <c r="E1805" s="90">
        <v>1105</v>
      </c>
      <c r="F1805" s="69" t="s">
        <v>1458</v>
      </c>
      <c r="G1805" s="90">
        <v>110502</v>
      </c>
      <c r="H1805" s="69" t="s">
        <v>3437</v>
      </c>
      <c r="I1805" s="69" t="s">
        <v>1458</v>
      </c>
      <c r="J1805" s="144" t="str">
        <f>INDEX(数据元说明!A:F,MATCH(I1805,数据元说明!C:C,0),2)</f>
        <v>010082</v>
      </c>
      <c r="K1805" s="68" t="str">
        <f>INDEX(数据元说明!A:F,MATCH(I1805,数据元说明!C:C,0),5)</f>
        <v>采用《金融机构编码规范》编发的法人机构代码(即金融机构代码）前6位。</v>
      </c>
      <c r="L1805" s="69" t="str">
        <f>INDEX(数据元说明!A:F,MATCH(I1805,数据元说明!C:C,0),6)</f>
        <v>C..30</v>
      </c>
      <c r="M1805" s="69" t="s">
        <v>1679</v>
      </c>
      <c r="N1805" s="68"/>
      <c r="O1805" s="68"/>
      <c r="P1805" s="69"/>
    </row>
    <row r="1806" ht="39.95" hidden="1" customHeight="1" outlineLevel="1" spans="1:16">
      <c r="A1806" s="63"/>
      <c r="B1806" s="64"/>
      <c r="C1806" s="74" t="s">
        <v>304</v>
      </c>
      <c r="D1806" s="73" t="s">
        <v>4127</v>
      </c>
      <c r="E1806" s="90">
        <v>1105</v>
      </c>
      <c r="F1806" s="67" t="s">
        <v>373</v>
      </c>
      <c r="G1806" s="90">
        <v>110503</v>
      </c>
      <c r="H1806" s="67" t="s">
        <v>1588</v>
      </c>
      <c r="I1806" s="67" t="s">
        <v>373</v>
      </c>
      <c r="J1806" s="67" t="str">
        <f>INDEX(数据元说明!A:F,MATCH(I1806,数据元说明!C:C,0),2)</f>
        <v>001011</v>
      </c>
      <c r="K1806" s="68" t="str">
        <f>INDEX(数据元说明!A:F,MATCH(I1806,数据元说明!C:C,0),5)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806" s="67" t="str">
        <f>INDEX(数据元说明!A:F,MATCH(I1806,数据元说明!C:C,0),6)</f>
        <v>C..30</v>
      </c>
      <c r="M1806" s="68" t="s">
        <v>3624</v>
      </c>
      <c r="N1806" s="68" t="s">
        <v>1601</v>
      </c>
      <c r="O1806" s="68"/>
      <c r="P1806" s="68"/>
    </row>
    <row r="1807" ht="39.95" hidden="1" customHeight="1" collapsed="1" spans="1:16">
      <c r="A1807" s="89"/>
      <c r="B1807" s="73"/>
      <c r="C1807" s="74" t="s">
        <v>304</v>
      </c>
      <c r="D1807" s="73" t="s">
        <v>4127</v>
      </c>
      <c r="E1807" s="90">
        <v>1105</v>
      </c>
      <c r="F1807" s="69" t="s">
        <v>3388</v>
      </c>
      <c r="G1807" s="90">
        <v>110504</v>
      </c>
      <c r="H1807" s="69" t="s">
        <v>3389</v>
      </c>
      <c r="I1807" s="69" t="s">
        <v>325</v>
      </c>
      <c r="J1807" s="67" t="str">
        <f>INDEX(数据元说明!A:F,MATCH(I1807,数据元说明!C:C,0),2)</f>
        <v>001001</v>
      </c>
      <c r="K1807" s="68" t="str">
        <f>INDEX(数据元说明!A:F,MATCH(I1807,数据元说明!C:C,0),5)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807" s="69" t="str">
        <f>INDEX(数据元说明!A:F,MATCH(I1807,数据元说明!C:C,0),6)</f>
        <v>C..450</v>
      </c>
      <c r="M1807" s="69" t="s">
        <v>3625</v>
      </c>
      <c r="N1807" s="68" t="s">
        <v>1583</v>
      </c>
      <c r="O1807" s="68" t="s">
        <v>322</v>
      </c>
      <c r="P1807" s="69"/>
    </row>
    <row r="1808" ht="39.95" hidden="1" customHeight="1" spans="1:16">
      <c r="A1808" s="89"/>
      <c r="B1808" s="73"/>
      <c r="C1808" s="74" t="s">
        <v>304</v>
      </c>
      <c r="D1808" s="73" t="s">
        <v>4127</v>
      </c>
      <c r="E1808" s="90">
        <v>1105</v>
      </c>
      <c r="F1808" s="69" t="s">
        <v>3626</v>
      </c>
      <c r="G1808" s="90">
        <v>110505</v>
      </c>
      <c r="H1808" s="69" t="s">
        <v>3627</v>
      </c>
      <c r="I1808" s="69" t="s">
        <v>1422</v>
      </c>
      <c r="J1808" s="144" t="str">
        <f>INDEX(数据元说明!A:F,MATCH(I1808,数据元说明!C:C,0),2)</f>
        <v>010073</v>
      </c>
      <c r="K1808" s="68" t="str">
        <f>INDEX(数据元说明!A:F,MATCH(I1808,数据元说明!C:C,0),5)</f>
        <v>国有银行，股份制银行，城商行，外资银行，农村合作金融机构，政策性银行，国家开发银行，理财公司，其他。</v>
      </c>
      <c r="L1808" s="69" t="str">
        <f>INDEX(数据元说明!A:F,MATCH(I1808,数据元说明!C:C,0),6)</f>
        <v>C..30</v>
      </c>
      <c r="M1808" s="69" t="s">
        <v>3628</v>
      </c>
      <c r="N1808" s="68"/>
      <c r="O1808" s="68"/>
      <c r="P1808" s="69"/>
    </row>
    <row r="1809" ht="39.95" hidden="1" customHeight="1" spans="1:16">
      <c r="A1809" s="89"/>
      <c r="B1809" s="73"/>
      <c r="C1809" s="74" t="s">
        <v>304</v>
      </c>
      <c r="D1809" s="73" t="s">
        <v>4127</v>
      </c>
      <c r="E1809" s="90">
        <v>1105</v>
      </c>
      <c r="F1809" s="69" t="s">
        <v>3911</v>
      </c>
      <c r="G1809" s="90">
        <v>110506</v>
      </c>
      <c r="H1809" s="69" t="s">
        <v>3912</v>
      </c>
      <c r="I1809" s="69" t="s">
        <v>1341</v>
      </c>
      <c r="J1809" s="144" t="str">
        <f>INDEX(数据元说明!A:F,MATCH(I1809,数据元说明!C:C,0),2)</f>
        <v>010053</v>
      </c>
      <c r="K1809" s="68" t="str">
        <f>INDEX(数据元说明!A:F,MATCH(I1809,数据元说明!C:C,0),5)</f>
        <v>银行自定义的代码。</v>
      </c>
      <c r="L1809" s="69" t="str">
        <f>INDEX(数据元说明!A:F,MATCH(I1809,数据元说明!C:C,0),6)</f>
        <v>C..40</v>
      </c>
      <c r="M1809" s="69" t="s">
        <v>3913</v>
      </c>
      <c r="N1809" s="68"/>
      <c r="O1809" s="68"/>
      <c r="P1809" s="69"/>
    </row>
    <row r="1810" ht="39.95" hidden="1" customHeight="1" spans="1:16">
      <c r="A1810" s="89"/>
      <c r="B1810" s="73"/>
      <c r="C1810" s="74" t="s">
        <v>304</v>
      </c>
      <c r="D1810" s="73" t="s">
        <v>4127</v>
      </c>
      <c r="E1810" s="90">
        <v>1105</v>
      </c>
      <c r="F1810" s="69" t="s">
        <v>3914</v>
      </c>
      <c r="G1810" s="90">
        <v>110507</v>
      </c>
      <c r="H1810" s="69" t="s">
        <v>3915</v>
      </c>
      <c r="I1810" s="69" t="s">
        <v>1406</v>
      </c>
      <c r="J1810" s="144" t="str">
        <f>INDEX(数据元说明!A:F,MATCH(I1810,数据元说明!C:C,0),2)</f>
        <v>010069</v>
      </c>
      <c r="K1810" s="68" t="str">
        <f>INDEX(数据元说明!A:F,MATCH(I1810,数据元说明!C:C,0),5)</f>
        <v>登记机构赋予资产或交易的标识码。</v>
      </c>
      <c r="L1810" s="69" t="str">
        <f>INDEX(数据元说明!A:F,MATCH(I1810,数据元说明!C:C,0),6)</f>
        <v>C..30</v>
      </c>
      <c r="M1810" s="69" t="s">
        <v>3628</v>
      </c>
      <c r="N1810" s="68"/>
      <c r="O1810" s="68"/>
      <c r="P1810" s="69"/>
    </row>
    <row r="1811" ht="39.95" hidden="1" customHeight="1" spans="1:16">
      <c r="A1811" s="89"/>
      <c r="B1811" s="73"/>
      <c r="C1811" s="74" t="s">
        <v>304</v>
      </c>
      <c r="D1811" s="73" t="s">
        <v>4127</v>
      </c>
      <c r="E1811" s="90">
        <v>1105</v>
      </c>
      <c r="F1811" s="69" t="s">
        <v>642</v>
      </c>
      <c r="G1811" s="90">
        <v>110508</v>
      </c>
      <c r="H1811" s="69" t="s">
        <v>1914</v>
      </c>
      <c r="I1811" s="69" t="s">
        <v>642</v>
      </c>
      <c r="J1811" s="67" t="str">
        <f>INDEX(数据元说明!A:F,MATCH(I1811,数据元说明!C:C,0),2)</f>
        <v>003010</v>
      </c>
      <c r="K1811" s="68" t="str">
        <f>INDEX(数据元说明!A:F,MATCH(I1811,数据元说明!C:C,0),5)</f>
        <v>遵循《GB/T 12406 表示货币和资金的代码》的字母代码，如CNY。上述文件所列币种无法涵盖的，允许银行自定义填报。多个币种合计折算为人民币（本外币合计）的，填报为BWB。</v>
      </c>
      <c r="L1811" s="69" t="str">
        <f>INDEX(数据元说明!A:F,MATCH(I1811,数据元说明!C:C,0),6)</f>
        <v>C3</v>
      </c>
      <c r="M1811" s="69" t="s">
        <v>3969</v>
      </c>
      <c r="N1811" s="68"/>
      <c r="O1811" s="68"/>
      <c r="P1811" s="69"/>
    </row>
    <row r="1812" ht="39.95" hidden="1" customHeight="1" spans="1:16">
      <c r="A1812" s="89"/>
      <c r="B1812" s="73"/>
      <c r="C1812" s="74" t="s">
        <v>304</v>
      </c>
      <c r="D1812" s="73" t="s">
        <v>4127</v>
      </c>
      <c r="E1812" s="90">
        <v>1105</v>
      </c>
      <c r="F1812" s="69" t="s">
        <v>3927</v>
      </c>
      <c r="G1812" s="90">
        <v>110509</v>
      </c>
      <c r="H1812" s="69" t="s">
        <v>3928</v>
      </c>
      <c r="I1812" s="69" t="s">
        <v>1349</v>
      </c>
      <c r="J1812" s="144" t="str">
        <f>INDEX(数据元说明!A:F,MATCH(I1812,数据元说明!C:C,0),2)</f>
        <v>010055</v>
      </c>
      <c r="K1812" s="68" t="str">
        <f>INDEX(数据元说明!A:F,MATCH(I1812,数据元说明!C:C,0),5)</f>
        <v>所属资产类别（二级分类）。</v>
      </c>
      <c r="L1812" s="69" t="str">
        <f>INDEX(数据元说明!A:F,MATCH(I1812,数据元说明!C:C,0),6)</f>
        <v>C..120</v>
      </c>
      <c r="M1812" s="69" t="s">
        <v>3926</v>
      </c>
      <c r="N1812" s="68" t="s">
        <v>1583</v>
      </c>
      <c r="O1812" s="68" t="s">
        <v>1695</v>
      </c>
      <c r="P1812" s="69"/>
    </row>
    <row r="1813" ht="39.95" hidden="1" customHeight="1" spans="1:16">
      <c r="A1813" s="89"/>
      <c r="B1813" s="73"/>
      <c r="C1813" s="74" t="s">
        <v>304</v>
      </c>
      <c r="D1813" s="73" t="s">
        <v>4127</v>
      </c>
      <c r="E1813" s="90">
        <v>1105</v>
      </c>
      <c r="F1813" s="69" t="s">
        <v>325</v>
      </c>
      <c r="G1813" s="90">
        <v>110510</v>
      </c>
      <c r="H1813" s="69" t="s">
        <v>3974</v>
      </c>
      <c r="I1813" s="69" t="s">
        <v>1136</v>
      </c>
      <c r="J1813" s="144" t="str">
        <f>INDEX(数据元说明!A:F,MATCH(I1813,数据元说明!C:C,0),2)</f>
        <v>010002</v>
      </c>
      <c r="K1813" s="68" t="str">
        <f>INDEX(数据元说明!A:F,MATCH(I1813,数据元说明!C:C,0),5)</f>
        <v>金融产品名称，包括但不限于标准化或非标准化金融产品。如果不是标准产品，则由银行自定义。</v>
      </c>
      <c r="L1813" s="69" t="str">
        <f>INDEX(数据元说明!A:F,MATCH(I1813,数据元说明!C:C,0),6)</f>
        <v>C..450</v>
      </c>
      <c r="M1813" s="69" t="s">
        <v>3975</v>
      </c>
      <c r="N1813" s="68" t="s">
        <v>1583</v>
      </c>
      <c r="O1813" s="68" t="s">
        <v>322</v>
      </c>
      <c r="P1813" s="69"/>
    </row>
    <row r="1814" ht="39.95" hidden="1" customHeight="1" spans="1:16">
      <c r="A1814" s="89"/>
      <c r="B1814" s="73"/>
      <c r="C1814" s="74" t="s">
        <v>304</v>
      </c>
      <c r="D1814" s="73" t="s">
        <v>4127</v>
      </c>
      <c r="E1814" s="90">
        <v>1105</v>
      </c>
      <c r="F1814" s="69" t="s">
        <v>4023</v>
      </c>
      <c r="G1814" s="90">
        <v>110511</v>
      </c>
      <c r="H1814" s="69" t="s">
        <v>4024</v>
      </c>
      <c r="I1814" s="69" t="s">
        <v>325</v>
      </c>
      <c r="J1814" s="67" t="str">
        <f>INDEX(数据元说明!A:F,MATCH(I1814,数据元说明!C:C,0),2)</f>
        <v>001001</v>
      </c>
      <c r="K1814" s="68" t="str">
        <f>INDEX(数据元说明!A:F,MATCH(I1814,数据元说明!C:C,0),5)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814" s="69" t="str">
        <f>INDEX(数据元说明!A:F,MATCH(I1814,数据元说明!C:C,0),6)</f>
        <v>C..450</v>
      </c>
      <c r="M1814" s="69" t="s">
        <v>4025</v>
      </c>
      <c r="N1814" s="68" t="s">
        <v>1583</v>
      </c>
      <c r="O1814" s="68" t="s">
        <v>322</v>
      </c>
      <c r="P1814" s="69"/>
    </row>
    <row r="1815" ht="39.95" hidden="1" customHeight="1" spans="1:16">
      <c r="A1815" s="89"/>
      <c r="B1815" s="73"/>
      <c r="C1815" s="74" t="s">
        <v>304</v>
      </c>
      <c r="D1815" s="73" t="s">
        <v>4127</v>
      </c>
      <c r="E1815" s="90">
        <v>1105</v>
      </c>
      <c r="F1815" s="69" t="s">
        <v>4026</v>
      </c>
      <c r="G1815" s="90">
        <v>110512</v>
      </c>
      <c r="H1815" s="69" t="s">
        <v>4027</v>
      </c>
      <c r="I1815" s="69" t="s">
        <v>552</v>
      </c>
      <c r="J1815" s="67" t="str">
        <f>INDEX(数据元说明!A:F,MATCH(I1815,数据元说明!C:C,0),2)</f>
        <v>002016</v>
      </c>
      <c r="K1815" s="68" t="str">
        <f>INDEX(数据元说明!A:F,MATCH(I1815,数据元说明!C:C,0),5)</f>
        <v>已登记统一社会信用代码的，填18位统一社会信用代码；未登记统一社会信用代码的，填组织机构代码。境外机构、临时验资户类客户填写默认值0</v>
      </c>
      <c r="L1815" s="69" t="str">
        <f>INDEX(数据元说明!A:F,MATCH(I1815,数据元说明!C:C,0),6)</f>
        <v>C..40</v>
      </c>
      <c r="M1815" s="69" t="s">
        <v>4028</v>
      </c>
      <c r="N1815" s="68" t="s">
        <v>1583</v>
      </c>
      <c r="O1815" s="68" t="s">
        <v>1607</v>
      </c>
      <c r="P1815" s="69"/>
    </row>
    <row r="1816" ht="39.95" hidden="1" customHeight="1" spans="1:16">
      <c r="A1816" s="89"/>
      <c r="B1816" s="73"/>
      <c r="C1816" s="74" t="s">
        <v>304</v>
      </c>
      <c r="D1816" s="73" t="s">
        <v>4127</v>
      </c>
      <c r="E1816" s="90">
        <v>1105</v>
      </c>
      <c r="F1816" s="69" t="s">
        <v>4029</v>
      </c>
      <c r="G1816" s="90">
        <v>110513</v>
      </c>
      <c r="H1816" s="69" t="s">
        <v>4030</v>
      </c>
      <c r="I1816" s="69" t="s">
        <v>1438</v>
      </c>
      <c r="J1816" s="69" t="str">
        <f>INDEX([1]数据元说明!A:F,MATCH(I1816,[1]数据元说明!C:C,0),2)</f>
        <v>010070</v>
      </c>
      <c r="K1816" s="68" t="str">
        <f>INDEX(数据元说明!A:F,MATCH(I1816,数据元说明!C:C,0),5)</f>
        <v>填报机构内部对融资人主体或资产的信用评级结果，银行自定义。</v>
      </c>
      <c r="L1816" s="69" t="str">
        <f>INDEX(数据元说明!A:F,MATCH(I1816,数据元说明!C:C,0),6)</f>
        <v>C..30</v>
      </c>
      <c r="M1816" s="69"/>
      <c r="N1816" s="68" t="s">
        <v>1601</v>
      </c>
      <c r="O1816" s="68"/>
      <c r="P1816" s="69"/>
    </row>
    <row r="1817" ht="39.95" hidden="1" customHeight="1" spans="1:16">
      <c r="A1817" s="89"/>
      <c r="B1817" s="73"/>
      <c r="C1817" s="74" t="s">
        <v>304</v>
      </c>
      <c r="D1817" s="73" t="s">
        <v>4127</v>
      </c>
      <c r="E1817" s="90">
        <v>1105</v>
      </c>
      <c r="F1817" s="69" t="s">
        <v>4036</v>
      </c>
      <c r="G1817" s="90">
        <v>110514</v>
      </c>
      <c r="H1817" s="69" t="s">
        <v>4037</v>
      </c>
      <c r="I1817" s="69" t="s">
        <v>1377</v>
      </c>
      <c r="J1817" s="144" t="str">
        <f>INDEX(数据元说明!A:F,MATCH(I1817,数据元说明!C:C,0),2)</f>
        <v>010062</v>
      </c>
      <c r="K1817" s="68" t="str">
        <f>INDEX(数据元说明!A:F,MATCH(I1817,数据元说明!C:C,0),5)</f>
        <v>中小微企业，大型企业，其他。</v>
      </c>
      <c r="L1817" s="69" t="str">
        <f>INDEX(数据元说明!A:F,MATCH(I1817,数据元说明!C:C,0),6)</f>
        <v>C..30 </v>
      </c>
      <c r="M1817" s="69" t="s">
        <v>4038</v>
      </c>
      <c r="N1817" s="68" t="s">
        <v>1583</v>
      </c>
      <c r="O1817" s="68" t="s">
        <v>4039</v>
      </c>
      <c r="P1817" s="69"/>
    </row>
    <row r="1818" ht="39.95" hidden="1" customHeight="1" spans="1:16">
      <c r="A1818" s="89"/>
      <c r="B1818" s="73"/>
      <c r="C1818" s="74" t="s">
        <v>304</v>
      </c>
      <c r="D1818" s="73" t="s">
        <v>4127</v>
      </c>
      <c r="E1818" s="90">
        <v>1105</v>
      </c>
      <c r="F1818" s="69" t="s">
        <v>4040</v>
      </c>
      <c r="G1818" s="90">
        <v>110515</v>
      </c>
      <c r="H1818" s="69" t="s">
        <v>4041</v>
      </c>
      <c r="I1818" s="69" t="s">
        <v>1382</v>
      </c>
      <c r="J1818" s="144" t="str">
        <f>INDEX(数据元说明!A:F,MATCH(I1818,数据元说明!C:C,0),2)</f>
        <v>010063</v>
      </c>
      <c r="K1818" s="68" t="str">
        <f>INDEX(数据元说明!A:F,MATCH(I1818,数据元说明!C:C,0),5)</f>
        <v>高新技术企业，其他。</v>
      </c>
      <c r="L1818" s="69" t="str">
        <f>INDEX(数据元说明!A:F,MATCH(I1818,数据元说明!C:C,0),6)</f>
        <v>C..30 </v>
      </c>
      <c r="M1818" s="69" t="s">
        <v>4042</v>
      </c>
      <c r="N1818" s="68" t="s">
        <v>1583</v>
      </c>
      <c r="O1818" s="68" t="s">
        <v>484</v>
      </c>
      <c r="P1818" s="69"/>
    </row>
    <row r="1819" ht="39.95" hidden="1" customHeight="1" spans="1:16">
      <c r="A1819" s="89"/>
      <c r="B1819" s="73"/>
      <c r="C1819" s="74" t="s">
        <v>304</v>
      </c>
      <c r="D1819" s="73" t="s">
        <v>4127</v>
      </c>
      <c r="E1819" s="90">
        <v>1105</v>
      </c>
      <c r="F1819" s="69" t="s">
        <v>4043</v>
      </c>
      <c r="G1819" s="90">
        <v>110516</v>
      </c>
      <c r="H1819" s="69" t="s">
        <v>4044</v>
      </c>
      <c r="I1819" s="69" t="s">
        <v>1386</v>
      </c>
      <c r="J1819" s="144" t="str">
        <f>INDEX(数据元说明!A:F,MATCH(I1819,数据元说明!C:C,0),2)</f>
        <v>010064</v>
      </c>
      <c r="K1819" s="68" t="str">
        <f>INDEX(数据元说明!A:F,MATCH(I1819,数据元说明!C:C,0),5)</f>
        <v>国有企业，集体企业，私营企业，其他。</v>
      </c>
      <c r="L1819" s="69" t="str">
        <f>INDEX(数据元说明!A:F,MATCH(I1819,数据元说明!C:C,0),6)</f>
        <v>C..30 </v>
      </c>
      <c r="M1819" s="69" t="s">
        <v>4045</v>
      </c>
      <c r="N1819" s="68" t="s">
        <v>1583</v>
      </c>
      <c r="O1819" s="68" t="s">
        <v>484</v>
      </c>
      <c r="P1819" s="69"/>
    </row>
    <row r="1820" ht="39.95" hidden="1" customHeight="1" spans="1:16">
      <c r="A1820" s="89"/>
      <c r="B1820" s="73"/>
      <c r="C1820" s="74" t="s">
        <v>304</v>
      </c>
      <c r="D1820" s="73" t="s">
        <v>4127</v>
      </c>
      <c r="E1820" s="90">
        <v>1105</v>
      </c>
      <c r="F1820" s="69" t="s">
        <v>4046</v>
      </c>
      <c r="G1820" s="90">
        <v>110517</v>
      </c>
      <c r="H1820" s="69" t="s">
        <v>4047</v>
      </c>
      <c r="I1820" s="69" t="s">
        <v>774</v>
      </c>
      <c r="J1820" s="67" t="str">
        <f>INDEX(数据元说明!A:F,MATCH(I1820,数据元说明!C:C,0),2)</f>
        <v>005008</v>
      </c>
      <c r="K1820" s="68" t="str">
        <f>INDEX(数据元说明!A:F,MATCH(I1820,数据元说明!C:C,0),5)</f>
        <v>项目贷款对应的项目名称。</v>
      </c>
      <c r="L1820" s="69" t="str">
        <f>INDEX(数据元说明!A:F,MATCH(I1820,数据元说明!C:C,0),6)</f>
        <v>C..300</v>
      </c>
      <c r="M1820" s="69" t="s">
        <v>4048</v>
      </c>
      <c r="N1820" s="68"/>
      <c r="O1820" s="68"/>
      <c r="P1820" s="69"/>
    </row>
    <row r="1821" ht="39.95" hidden="1" customHeight="1" spans="1:16">
      <c r="A1821" s="89"/>
      <c r="B1821" s="73"/>
      <c r="C1821" s="74" t="s">
        <v>304</v>
      </c>
      <c r="D1821" s="73" t="s">
        <v>4127</v>
      </c>
      <c r="E1821" s="90">
        <v>1105</v>
      </c>
      <c r="F1821" s="69" t="s">
        <v>3406</v>
      </c>
      <c r="G1821" s="90">
        <v>110518</v>
      </c>
      <c r="H1821" s="69" t="s">
        <v>3407</v>
      </c>
      <c r="I1821" s="69" t="s">
        <v>543</v>
      </c>
      <c r="J1821" s="67" t="str">
        <f>INDEX(数据元说明!A:F,MATCH(I1821,数据元说明!C:C,0),2)</f>
        <v>002014</v>
      </c>
      <c r="K1821" s="68" t="str">
        <f>INDEX(数据元说明!A:F,MATCH(I1821,数据元说明!C:C,0),5)</f>
        <v>行业分类按《GB/T 4754 国民经济行业分类》执行。填报至该客户所属行业的小类代码，如：所属行业为“稻谷种植”填报“A0111”。境外机构按“境外”填报。</v>
      </c>
      <c r="L1821" s="69" t="str">
        <f>INDEX(数据元说明!A:F,MATCH(I1821,数据元说明!C:C,0),6)</f>
        <v>C..90</v>
      </c>
      <c r="M1821" s="69"/>
      <c r="N1821" s="68" t="s">
        <v>1583</v>
      </c>
      <c r="O1821" s="68" t="s">
        <v>1577</v>
      </c>
      <c r="P1821" s="69"/>
    </row>
    <row r="1822" ht="39.95" hidden="1" customHeight="1" spans="1:16">
      <c r="A1822" s="89"/>
      <c r="B1822" s="73"/>
      <c r="C1822" s="74" t="s">
        <v>304</v>
      </c>
      <c r="D1822" s="73" t="s">
        <v>4127</v>
      </c>
      <c r="E1822" s="90">
        <v>1105</v>
      </c>
      <c r="F1822" s="69" t="s">
        <v>4049</v>
      </c>
      <c r="G1822" s="90">
        <v>110519</v>
      </c>
      <c r="H1822" s="69" t="s">
        <v>4050</v>
      </c>
      <c r="I1822" s="69" t="s">
        <v>543</v>
      </c>
      <c r="J1822" s="67" t="str">
        <f>INDEX(数据元说明!A:F,MATCH(I1822,数据元说明!C:C,0),2)</f>
        <v>002014</v>
      </c>
      <c r="K1822" s="68" t="str">
        <f>INDEX(数据元说明!A:F,MATCH(I1822,数据元说明!C:C,0),5)</f>
        <v>行业分类按《GB/T 4754 国民经济行业分类》执行。填报至该客户所属行业的小类代码，如：所属行业为“稻谷种植”填报“A0111”。境外机构按“境外”填报。</v>
      </c>
      <c r="L1822" s="69" t="str">
        <f>INDEX(数据元说明!A:F,MATCH(I1822,数据元说明!C:C,0),6)</f>
        <v>C..90</v>
      </c>
      <c r="M1822" s="69"/>
      <c r="N1822" s="68" t="s">
        <v>1583</v>
      </c>
      <c r="O1822" s="68" t="s">
        <v>321</v>
      </c>
      <c r="P1822" s="69"/>
    </row>
    <row r="1823" ht="39.95" hidden="1" customHeight="1" spans="1:16">
      <c r="A1823" s="89"/>
      <c r="B1823" s="73"/>
      <c r="C1823" s="74" t="s">
        <v>304</v>
      </c>
      <c r="D1823" s="73" t="s">
        <v>4127</v>
      </c>
      <c r="E1823" s="90">
        <v>1105</v>
      </c>
      <c r="F1823" s="69" t="s">
        <v>4051</v>
      </c>
      <c r="G1823" s="90">
        <v>110520</v>
      </c>
      <c r="H1823" s="69" t="s">
        <v>4052</v>
      </c>
      <c r="I1823" s="69" t="s">
        <v>330</v>
      </c>
      <c r="J1823" s="67" t="str">
        <f>INDEX(数据元说明!A:F,MATCH(I1823,数据元说明!C:C,0),2)</f>
        <v>001002</v>
      </c>
      <c r="K1823" s="68" t="str">
        <f>INDEX(数据元说明!A:F,MATCH(I1823,数据元说明!C:C,0),5)</f>
        <v>是，否。</v>
      </c>
      <c r="L1823" s="69" t="str">
        <f>INDEX(数据元说明!A:F,MATCH(I1823,数据元说明!C:C,0),6)</f>
        <v>C3</v>
      </c>
      <c r="M1823" s="69"/>
      <c r="N1823" s="68"/>
      <c r="O1823" s="68"/>
      <c r="P1823" s="69"/>
    </row>
    <row r="1824" ht="39.95" hidden="1" customHeight="1" spans="1:16">
      <c r="A1824" s="89"/>
      <c r="B1824" s="73"/>
      <c r="C1824" s="74" t="s">
        <v>304</v>
      </c>
      <c r="D1824" s="73" t="s">
        <v>4127</v>
      </c>
      <c r="E1824" s="90">
        <v>1105</v>
      </c>
      <c r="F1824" s="69" t="s">
        <v>4053</v>
      </c>
      <c r="G1824" s="90">
        <v>110521</v>
      </c>
      <c r="H1824" s="69" t="s">
        <v>4054</v>
      </c>
      <c r="I1824" s="69" t="s">
        <v>1390</v>
      </c>
      <c r="J1824" s="144" t="str">
        <f>INDEX(数据元说明!A:F,MATCH(I1824,数据元说明!C:C,0),2)</f>
        <v>010065</v>
      </c>
      <c r="K1824" s="68" t="str">
        <f>INDEX(数据元说明!A:F,MATCH(I1824,数据元说明!C:C,0),5)</f>
        <v>房地产（保障房除外），地方政府融资平台，“铁公基”行业，“两高一剩”行业，其他。</v>
      </c>
      <c r="L1824" s="69" t="str">
        <f>INDEX(数据元说明!A:F,MATCH(I1824,数据元说明!C:C,0),6)</f>
        <v>C..60</v>
      </c>
      <c r="M1824" s="69"/>
      <c r="N1824" s="68"/>
      <c r="O1824" s="68"/>
      <c r="P1824" s="69"/>
    </row>
    <row r="1825" ht="39.95" hidden="1" customHeight="1" spans="1:16">
      <c r="A1825" s="89"/>
      <c r="B1825" s="73"/>
      <c r="C1825" s="74" t="s">
        <v>304</v>
      </c>
      <c r="D1825" s="73" t="s">
        <v>4127</v>
      </c>
      <c r="E1825" s="90">
        <v>1105</v>
      </c>
      <c r="F1825" s="69" t="s">
        <v>4055</v>
      </c>
      <c r="G1825" s="90">
        <v>110522</v>
      </c>
      <c r="H1825" s="69" t="s">
        <v>4056</v>
      </c>
      <c r="I1825" s="69" t="s">
        <v>1549</v>
      </c>
      <c r="J1825" s="144" t="str">
        <f>INDEX(数据元说明!A:F,MATCH(I1825,数据元说明!C:C,0),2)</f>
        <v>010105</v>
      </c>
      <c r="K1825" s="68" t="str">
        <f>INDEX(数据元说明!A:F,MATCH(I1825,数据元说明!C:C,0),5)</f>
        <v>发行机构自定义。</v>
      </c>
      <c r="L1825" s="69" t="str">
        <f>INDEX(数据元说明!A:F,MATCH(I1825,数据元说明!C:C,0),6)</f>
        <v>C..600</v>
      </c>
      <c r="M1825" s="69"/>
      <c r="N1825" s="68" t="s">
        <v>1583</v>
      </c>
      <c r="O1825" s="68" t="s">
        <v>322</v>
      </c>
      <c r="P1825" s="69"/>
    </row>
    <row r="1826" ht="39.95" hidden="1" customHeight="1" spans="1:16">
      <c r="A1826" s="89"/>
      <c r="B1826" s="73"/>
      <c r="C1826" s="74" t="s">
        <v>304</v>
      </c>
      <c r="D1826" s="73" t="s">
        <v>4127</v>
      </c>
      <c r="E1826" s="90">
        <v>1105</v>
      </c>
      <c r="F1826" s="69" t="s">
        <v>634</v>
      </c>
      <c r="G1826" s="90">
        <v>110523</v>
      </c>
      <c r="H1826" s="69" t="s">
        <v>4057</v>
      </c>
      <c r="I1826" s="69" t="s">
        <v>634</v>
      </c>
      <c r="J1826" s="67" t="str">
        <f>INDEX(数据元说明!A:F,MATCH(I1826,数据元说明!C:C,0),2)</f>
        <v>003008</v>
      </c>
      <c r="K1826" s="68" t="str">
        <f>INDEX(数据元说明!A:F,MATCH(I1826,数据元说明!C:C,0),5)</f>
        <v>与币种相对应金额。</v>
      </c>
      <c r="L1826" s="69" t="str">
        <f>INDEX(数据元说明!A:F,MATCH(I1826,数据元说明!C:C,0),6)</f>
        <v>D20.2</v>
      </c>
      <c r="M1826" s="69" t="s">
        <v>4129</v>
      </c>
      <c r="N1826" s="68" t="s">
        <v>1583</v>
      </c>
      <c r="O1826" s="68" t="s">
        <v>3836</v>
      </c>
      <c r="P1826" s="69"/>
    </row>
    <row r="1827" ht="39.95" hidden="1" customHeight="1" spans="1:16">
      <c r="A1827" s="89"/>
      <c r="B1827" s="73"/>
      <c r="C1827" s="74" t="s">
        <v>304</v>
      </c>
      <c r="D1827" s="73" t="s">
        <v>4127</v>
      </c>
      <c r="E1827" s="90">
        <v>1105</v>
      </c>
      <c r="F1827" s="69" t="s">
        <v>3953</v>
      </c>
      <c r="G1827" s="90">
        <v>110524</v>
      </c>
      <c r="H1827" s="69" t="s">
        <v>3954</v>
      </c>
      <c r="I1827" s="69" t="s">
        <v>1537</v>
      </c>
      <c r="J1827" s="144" t="str">
        <f>INDEX(数据元说明!A:F,MATCH(I1827,数据元说明!C:C,0),2)</f>
        <v>010102</v>
      </c>
      <c r="K1827" s="68" t="str">
        <f>INDEX(数据元说明!A:F,MATCH(I1827,数据元说明!C:C,0),5)</f>
        <v>折算人民币的金额</v>
      </c>
      <c r="L1827" s="69" t="str">
        <f>INDEX(数据元说明!A:F,MATCH(I1827,数据元说明!C:C,0),6)</f>
        <v>D20.2</v>
      </c>
      <c r="M1827" s="69" t="s">
        <v>3955</v>
      </c>
      <c r="N1827" s="68" t="s">
        <v>1583</v>
      </c>
      <c r="O1827" s="68" t="s">
        <v>3856</v>
      </c>
      <c r="P1827" s="69"/>
    </row>
    <row r="1828" ht="39.95" hidden="1" customHeight="1" spans="1:16">
      <c r="A1828" s="89"/>
      <c r="B1828" s="73"/>
      <c r="C1828" s="74" t="s">
        <v>304</v>
      </c>
      <c r="D1828" s="73" t="s">
        <v>4127</v>
      </c>
      <c r="E1828" s="90">
        <v>1105</v>
      </c>
      <c r="F1828" s="69" t="s">
        <v>3957</v>
      </c>
      <c r="G1828" s="90">
        <v>110525</v>
      </c>
      <c r="H1828" s="69" t="s">
        <v>3958</v>
      </c>
      <c r="I1828" s="69" t="s">
        <v>1537</v>
      </c>
      <c r="J1828" s="144" t="str">
        <f>INDEX(数据元说明!A:F,MATCH(I1828,数据元说明!C:C,0),2)</f>
        <v>010102</v>
      </c>
      <c r="K1828" s="68" t="str">
        <f>INDEX(数据元说明!A:F,MATCH(I1828,数据元说明!C:C,0),5)</f>
        <v>折算人民币的金额</v>
      </c>
      <c r="L1828" s="69" t="str">
        <f>INDEX(数据元说明!A:F,MATCH(I1828,数据元说明!C:C,0),6)</f>
        <v>D20.2</v>
      </c>
      <c r="M1828" s="69" t="s">
        <v>3959</v>
      </c>
      <c r="N1828" s="68" t="s">
        <v>1601</v>
      </c>
      <c r="O1828" s="68"/>
      <c r="P1828" s="69"/>
    </row>
    <row r="1829" ht="39.95" hidden="1" customHeight="1" spans="1:16">
      <c r="A1829" s="89"/>
      <c r="B1829" s="73"/>
      <c r="C1829" s="74" t="s">
        <v>304</v>
      </c>
      <c r="D1829" s="73" t="s">
        <v>4127</v>
      </c>
      <c r="E1829" s="90">
        <v>1105</v>
      </c>
      <c r="F1829" s="69" t="s">
        <v>3960</v>
      </c>
      <c r="G1829" s="90">
        <v>110526</v>
      </c>
      <c r="H1829" s="69" t="s">
        <v>3961</v>
      </c>
      <c r="I1829" s="69" t="s">
        <v>1418</v>
      </c>
      <c r="J1829" s="144" t="str">
        <f>INDEX(数据元说明!A:F,MATCH(I1829,数据元说明!C:C,0),2)</f>
        <v>010072</v>
      </c>
      <c r="K1829" s="68" t="str">
        <f>INDEX(数据元说明!A:F,MATCH(I1829,数据元说明!C:C,0),5)</f>
        <v>产品份额或资产的数量。</v>
      </c>
      <c r="L1829" s="69" t="str">
        <f>INDEX(数据元说明!A:F,MATCH(I1829,数据元说明!C:C,0),6)</f>
        <v>D20.6</v>
      </c>
      <c r="M1829" s="69" t="s">
        <v>3962</v>
      </c>
      <c r="N1829" s="68" t="s">
        <v>1601</v>
      </c>
      <c r="O1829" s="68"/>
      <c r="P1829" s="69"/>
    </row>
    <row r="1830" ht="39.95" hidden="1" customHeight="1" spans="1:16">
      <c r="A1830" s="89"/>
      <c r="B1830" s="73"/>
      <c r="C1830" s="74" t="s">
        <v>304</v>
      </c>
      <c r="D1830" s="73" t="s">
        <v>4127</v>
      </c>
      <c r="E1830" s="90">
        <v>1105</v>
      </c>
      <c r="F1830" s="69" t="s">
        <v>3963</v>
      </c>
      <c r="G1830" s="90">
        <v>110527</v>
      </c>
      <c r="H1830" s="69" t="s">
        <v>3964</v>
      </c>
      <c r="I1830" s="69" t="s">
        <v>1418</v>
      </c>
      <c r="J1830" s="144" t="str">
        <f>INDEX(数据元说明!A:F,MATCH(I1830,数据元说明!C:C,0),2)</f>
        <v>010072</v>
      </c>
      <c r="K1830" s="68" t="str">
        <f>INDEX(数据元说明!A:F,MATCH(I1830,数据元说明!C:C,0),5)</f>
        <v>产品份额或资产的数量。</v>
      </c>
      <c r="L1830" s="69" t="str">
        <f>INDEX(数据元说明!A:F,MATCH(I1830,数据元说明!C:C,0),6)</f>
        <v>D20.6</v>
      </c>
      <c r="M1830" s="69" t="s">
        <v>3965</v>
      </c>
      <c r="N1830" s="68" t="s">
        <v>1601</v>
      </c>
      <c r="O1830" s="68"/>
      <c r="P1830" s="69"/>
    </row>
    <row r="1831" ht="39.95" hidden="1" customHeight="1" spans="1:16">
      <c r="A1831" s="89"/>
      <c r="B1831" s="73"/>
      <c r="C1831" s="74" t="s">
        <v>304</v>
      </c>
      <c r="D1831" s="73" t="s">
        <v>4127</v>
      </c>
      <c r="E1831" s="90">
        <v>1105</v>
      </c>
      <c r="F1831" s="69" t="s">
        <v>4130</v>
      </c>
      <c r="G1831" s="90">
        <v>110528</v>
      </c>
      <c r="H1831" s="69" t="s">
        <v>4131</v>
      </c>
      <c r="I1831" s="69" t="s">
        <v>1549</v>
      </c>
      <c r="J1831" s="144" t="str">
        <f>INDEX(数据元说明!A:F,MATCH(I1831,数据元说明!C:C,0),2)</f>
        <v>010105</v>
      </c>
      <c r="K1831" s="68" t="str">
        <f>INDEX(数据元说明!A:F,MATCH(I1831,数据元说明!C:C,0),5)</f>
        <v>发行机构自定义。</v>
      </c>
      <c r="L1831" s="69" t="str">
        <f>INDEX(数据元说明!A:F,MATCH(I1831,数据元说明!C:C,0),6)</f>
        <v>C..600</v>
      </c>
      <c r="M1831" s="69" t="s">
        <v>4132</v>
      </c>
      <c r="N1831" s="68" t="s">
        <v>1583</v>
      </c>
      <c r="O1831" s="68" t="s">
        <v>322</v>
      </c>
      <c r="P1831" s="69"/>
    </row>
    <row r="1832" ht="39.95" hidden="1" customHeight="1" spans="1:16">
      <c r="A1832" s="89"/>
      <c r="B1832" s="73"/>
      <c r="C1832" s="74" t="s">
        <v>304</v>
      </c>
      <c r="D1832" s="73" t="s">
        <v>4127</v>
      </c>
      <c r="E1832" s="90">
        <v>1105</v>
      </c>
      <c r="F1832" s="69" t="s">
        <v>3544</v>
      </c>
      <c r="G1832" s="90">
        <v>110529</v>
      </c>
      <c r="H1832" s="69" t="s">
        <v>2064</v>
      </c>
      <c r="I1832" s="69" t="s">
        <v>345</v>
      </c>
      <c r="J1832" s="67" t="str">
        <f>INDEX(数据元说明!A:F,MATCH(I1832,数据元说明!C:C,0),2)</f>
        <v>001005</v>
      </c>
      <c r="K1832" s="68" t="str">
        <f>INDEX(数据元说明!A:F,MATCH(I1832,数据元说明!C:C,0),5)</f>
        <v>YYYYMMDD，默认值99991231。</v>
      </c>
      <c r="L1832" s="69" t="str">
        <f>INDEX(数据元说明!A:F,MATCH(I1832,数据元说明!C:C,0),6)</f>
        <v>C8</v>
      </c>
      <c r="M1832" s="69" t="s">
        <v>3976</v>
      </c>
      <c r="N1832" s="68" t="s">
        <v>1583</v>
      </c>
      <c r="O1832" s="68" t="s">
        <v>1745</v>
      </c>
      <c r="P1832" s="69"/>
    </row>
    <row r="1833" ht="39.95" hidden="1" customHeight="1" spans="1:16">
      <c r="A1833" s="89"/>
      <c r="B1833" s="73"/>
      <c r="C1833" s="74" t="s">
        <v>304</v>
      </c>
      <c r="D1833" s="73" t="s">
        <v>4127</v>
      </c>
      <c r="E1833" s="90">
        <v>1105</v>
      </c>
      <c r="F1833" s="69" t="s">
        <v>2275</v>
      </c>
      <c r="G1833" s="90">
        <v>110530</v>
      </c>
      <c r="H1833" s="69" t="s">
        <v>2276</v>
      </c>
      <c r="I1833" s="69" t="s">
        <v>345</v>
      </c>
      <c r="J1833" s="67" t="str">
        <f>INDEX(数据元说明!A:F,MATCH(I1833,数据元说明!C:C,0),2)</f>
        <v>001005</v>
      </c>
      <c r="K1833" s="68" t="str">
        <f>INDEX(数据元说明!A:F,MATCH(I1833,数据元说明!C:C,0),5)</f>
        <v>YYYYMMDD，默认值99991231。</v>
      </c>
      <c r="L1833" s="69" t="str">
        <f>INDEX(数据元说明!A:F,MATCH(I1833,数据元说明!C:C,0),6)</f>
        <v>C8</v>
      </c>
      <c r="M1833" s="69" t="s">
        <v>3977</v>
      </c>
      <c r="N1833" s="68" t="s">
        <v>1583</v>
      </c>
      <c r="O1833" s="68" t="s">
        <v>1745</v>
      </c>
      <c r="P1833" s="69"/>
    </row>
    <row r="1834" ht="39.95" hidden="1" customHeight="1" spans="1:16">
      <c r="A1834" s="89"/>
      <c r="B1834" s="73"/>
      <c r="C1834" s="74" t="s">
        <v>304</v>
      </c>
      <c r="D1834" s="73" t="s">
        <v>4127</v>
      </c>
      <c r="E1834" s="90">
        <v>1105</v>
      </c>
      <c r="F1834" s="69" t="s">
        <v>4133</v>
      </c>
      <c r="G1834" s="90">
        <v>110531</v>
      </c>
      <c r="H1834" s="69" t="s">
        <v>4134</v>
      </c>
      <c r="I1834" s="69" t="s">
        <v>1148</v>
      </c>
      <c r="J1834" s="144" t="str">
        <f>INDEX(数据元说明!A:F,MATCH(I1834,数据元说明!C:C,0),2)</f>
        <v>010005</v>
      </c>
      <c r="K1834" s="68" t="str">
        <f>INDEX(数据元说明!A:F,MATCH(I1834,数据元说明!C:C,0),5)</f>
        <v>《GB/T 2659 世界各国和地区名称代码》定义的三字符代码，如CHN。</v>
      </c>
      <c r="L1834" s="69" t="str">
        <f>INDEX(数据元说明!A:F,MATCH(I1834,数据元说明!C:C,0),6)</f>
        <v>C3</v>
      </c>
      <c r="M1834" s="69" t="s">
        <v>4135</v>
      </c>
      <c r="N1834" s="68" t="s">
        <v>1583</v>
      </c>
      <c r="O1834" s="68" t="s">
        <v>322</v>
      </c>
      <c r="P1834" s="69"/>
    </row>
    <row r="1835" ht="39.95" hidden="1" customHeight="1" spans="1:16">
      <c r="A1835" s="89"/>
      <c r="B1835" s="73"/>
      <c r="C1835" s="74" t="s">
        <v>304</v>
      </c>
      <c r="D1835" s="73" t="s">
        <v>4127</v>
      </c>
      <c r="E1835" s="90">
        <v>1105</v>
      </c>
      <c r="F1835" s="69" t="s">
        <v>3987</v>
      </c>
      <c r="G1835" s="90">
        <v>110532</v>
      </c>
      <c r="H1835" s="69" t="s">
        <v>3988</v>
      </c>
      <c r="I1835" s="69" t="s">
        <v>1365</v>
      </c>
      <c r="J1835" s="144" t="str">
        <f>INDEX(数据元说明!A:F,MATCH(I1835,数据元说明!C:C,0),2)</f>
        <v>010059</v>
      </c>
      <c r="K1835" s="68" t="str">
        <f>INDEX(数据元说明!A:F,MATCH(I1835,数据元说明!C:C,0),5)</f>
        <v>以月为单位计的时间长度。</v>
      </c>
      <c r="L1835" s="69" t="str">
        <f>INDEX(数据元说明!A:F,MATCH(I1835,数据元说明!C:C,0),6)</f>
        <v>I</v>
      </c>
      <c r="M1835" s="69" t="s">
        <v>3989</v>
      </c>
      <c r="N1835" s="68"/>
      <c r="O1835" s="68"/>
      <c r="P1835" s="69"/>
    </row>
    <row r="1836" ht="39.95" hidden="1" customHeight="1" spans="1:16">
      <c r="A1836" s="89"/>
      <c r="B1836" s="73"/>
      <c r="C1836" s="74" t="s">
        <v>304</v>
      </c>
      <c r="D1836" s="73" t="s">
        <v>4127</v>
      </c>
      <c r="E1836" s="90">
        <v>1105</v>
      </c>
      <c r="F1836" s="69" t="s">
        <v>4083</v>
      </c>
      <c r="G1836" s="90">
        <v>110533</v>
      </c>
      <c r="H1836" s="69" t="s">
        <v>4084</v>
      </c>
      <c r="I1836" s="69" t="s">
        <v>1434</v>
      </c>
      <c r="J1836" s="144" t="str">
        <f>INDEX(数据元说明!A:F,MATCH(I1836,数据元说明!C:C,0),2)</f>
        <v>010076</v>
      </c>
      <c r="K1836" s="68" t="str">
        <f>INDEX(数据元说明!A:F,MATCH(I1836,数据元说明!C:C,0),5)</f>
        <v>外部专业性的评级公司对融资人主体或资产的信用评级结果，以如下枚举值填报：AAA+，AAA，AAA-，AA+，AA，AA-，A+，A，A-，A-1，A-2，A-3，BBB+，BBB，BBB-，BB+，BB，BB-，B+，B，B-，CCC+，CCC，CCC-，CC+，CC，CC-，C+，C，C-，D，无评级。</v>
      </c>
      <c r="L1836" s="69" t="str">
        <f>INDEX(数据元说明!A:F,MATCH(I1836,数据元说明!C:C,0),6)</f>
        <v>C..30</v>
      </c>
      <c r="M1836" s="69" t="s">
        <v>4085</v>
      </c>
      <c r="N1836" s="68" t="s">
        <v>1583</v>
      </c>
      <c r="O1836" s="68" t="s">
        <v>4079</v>
      </c>
      <c r="P1836" s="69"/>
    </row>
    <row r="1837" ht="39.95" hidden="1" customHeight="1" spans="1:16">
      <c r="A1837" s="89"/>
      <c r="B1837" s="73"/>
      <c r="C1837" s="74" t="s">
        <v>304</v>
      </c>
      <c r="D1837" s="73" t="s">
        <v>4127</v>
      </c>
      <c r="E1837" s="90">
        <v>1105</v>
      </c>
      <c r="F1837" s="69" t="s">
        <v>1474</v>
      </c>
      <c r="G1837" s="90">
        <v>110534</v>
      </c>
      <c r="H1837" s="69" t="s">
        <v>4059</v>
      </c>
      <c r="I1837" s="69" t="s">
        <v>1474</v>
      </c>
      <c r="J1837" s="144" t="str">
        <f>INDEX(数据元说明!A:F,MATCH(I1837,数据元说明!C:C,0),2)</f>
        <v>010086</v>
      </c>
      <c r="K1837" s="68" t="str">
        <f>INDEX(数据元说明!A:F,MATCH(I1837,数据元说明!C:C,0),5)</f>
        <v>信用担保，第三方保证，抵押，质押，信用增级，其他。</v>
      </c>
      <c r="L1837" s="69" t="str">
        <f>INDEX(数据元说明!A:F,MATCH(I1837,数据元说明!C:C,0),6)</f>
        <v>C..30</v>
      </c>
      <c r="M1837" s="69" t="s">
        <v>4060</v>
      </c>
      <c r="N1837" s="68" t="s">
        <v>1583</v>
      </c>
      <c r="O1837" s="69" t="s">
        <v>484</v>
      </c>
      <c r="P1837" s="69" t="s">
        <v>3981</v>
      </c>
    </row>
    <row r="1838" ht="39.95" hidden="1" customHeight="1" spans="1:16">
      <c r="A1838" s="89"/>
      <c r="B1838" s="73"/>
      <c r="C1838" s="74" t="s">
        <v>304</v>
      </c>
      <c r="D1838" s="73" t="s">
        <v>4127</v>
      </c>
      <c r="E1838" s="90">
        <v>1105</v>
      </c>
      <c r="F1838" s="69" t="s">
        <v>868</v>
      </c>
      <c r="G1838" s="90">
        <v>110535</v>
      </c>
      <c r="H1838" s="69" t="s">
        <v>4064</v>
      </c>
      <c r="I1838" s="69" t="s">
        <v>1517</v>
      </c>
      <c r="J1838" s="144" t="str">
        <f>INDEX(数据元说明!A:F,MATCH(I1838,数据元说明!C:C,0),2)</f>
        <v>010097</v>
      </c>
      <c r="K1838" s="68" t="str">
        <f>INDEX(数据元说明!A:F,MATCH(I1838,数据元说明!C:C,0),5)</f>
        <v>现金及其等价物，贵金属，有价凭证，应收账款，房地产及土地使用权，存货，收费(益)权，其他。</v>
      </c>
      <c r="L1838" s="69" t="str">
        <f>INDEX(数据元说明!A:F,MATCH(I1838,数据元说明!C:C,0),6)</f>
        <v>C..30</v>
      </c>
      <c r="M1838" s="69"/>
      <c r="N1838" s="68" t="s">
        <v>1583</v>
      </c>
      <c r="O1838" s="68" t="s">
        <v>1597</v>
      </c>
      <c r="P1838" s="69" t="s">
        <v>4136</v>
      </c>
    </row>
    <row r="1839" ht="39.95" hidden="1" customHeight="1" spans="1:16">
      <c r="A1839" s="89"/>
      <c r="B1839" s="73"/>
      <c r="C1839" s="74" t="s">
        <v>304</v>
      </c>
      <c r="D1839" s="73" t="s">
        <v>4127</v>
      </c>
      <c r="E1839" s="90">
        <v>1105</v>
      </c>
      <c r="F1839" s="69" t="s">
        <v>4066</v>
      </c>
      <c r="G1839" s="90">
        <v>110536</v>
      </c>
      <c r="H1839" s="69" t="s">
        <v>4067</v>
      </c>
      <c r="I1839" s="69" t="s">
        <v>634</v>
      </c>
      <c r="J1839" s="67" t="str">
        <f>INDEX(数据元说明!A:F,MATCH(I1839,数据元说明!C:C,0),2)</f>
        <v>003008</v>
      </c>
      <c r="K1839" s="68" t="str">
        <f>INDEX(数据元说明!A:F,MATCH(I1839,数据元说明!C:C,0),5)</f>
        <v>与币种相对应金额。</v>
      </c>
      <c r="L1839" s="69" t="str">
        <f>INDEX(数据元说明!A:F,MATCH(I1839,数据元说明!C:C,0),6)</f>
        <v>D20.2</v>
      </c>
      <c r="M1839" s="69"/>
      <c r="N1839" s="68" t="s">
        <v>1583</v>
      </c>
      <c r="O1839" s="68" t="s">
        <v>2359</v>
      </c>
      <c r="P1839" s="69" t="s">
        <v>3981</v>
      </c>
    </row>
    <row r="1840" ht="39.95" hidden="1" customHeight="1" spans="1:16">
      <c r="A1840" s="89"/>
      <c r="B1840" s="73"/>
      <c r="C1840" s="74" t="s">
        <v>304</v>
      </c>
      <c r="D1840" s="73" t="s">
        <v>4127</v>
      </c>
      <c r="E1840" s="90">
        <v>1105</v>
      </c>
      <c r="F1840" s="69" t="s">
        <v>1521</v>
      </c>
      <c r="G1840" s="90">
        <v>110537</v>
      </c>
      <c r="H1840" s="69" t="s">
        <v>4068</v>
      </c>
      <c r="I1840" s="69" t="s">
        <v>1521</v>
      </c>
      <c r="J1840" s="144" t="str">
        <f>INDEX(数据元说明!A:F,MATCH(I1840,数据元说明!C:C,0),2)</f>
        <v>010098</v>
      </c>
      <c r="K1840" s="68" t="str">
        <f>INDEX(数据元说明!A:F,MATCH(I1840,数据元说明!C:C,0),5)</f>
        <v>有限责任，无限责任。</v>
      </c>
      <c r="L1840" s="69" t="str">
        <f>INDEX(数据元说明!A:F,MATCH(I1840,数据元说明!C:C,0),6)</f>
        <v>C..30</v>
      </c>
      <c r="M1840" s="69"/>
      <c r="N1840" s="68" t="s">
        <v>1583</v>
      </c>
      <c r="O1840" s="69" t="s">
        <v>484</v>
      </c>
      <c r="P1840" s="69" t="s">
        <v>3981</v>
      </c>
    </row>
    <row r="1841" ht="39.95" hidden="1" customHeight="1" spans="1:16">
      <c r="A1841" s="89"/>
      <c r="B1841" s="73"/>
      <c r="C1841" s="74" t="s">
        <v>304</v>
      </c>
      <c r="D1841" s="73" t="s">
        <v>4127</v>
      </c>
      <c r="E1841" s="90">
        <v>1105</v>
      </c>
      <c r="F1841" s="69" t="s">
        <v>1525</v>
      </c>
      <c r="G1841" s="90">
        <v>110538</v>
      </c>
      <c r="H1841" s="69" t="s">
        <v>4069</v>
      </c>
      <c r="I1841" s="69" t="s">
        <v>1525</v>
      </c>
      <c r="J1841" s="144" t="str">
        <f>INDEX(数据元说明!A:F,MATCH(I1841,数据元说明!C:C,0),2)</f>
        <v>010099</v>
      </c>
      <c r="K1841" s="68" t="str">
        <f>INDEX(数据元说明!A:F,MATCH(I1841,数据元说明!C:C,0),5)</f>
        <v>主要股东，控股股东，实际控制人，一致行动人，最终受益人，其他-银行自定义。无法以枚举类型填报的，以“其他-XX”填报，其中“XX”为银行自定义类型。。</v>
      </c>
      <c r="L1841" s="69" t="str">
        <f>INDEX(数据元说明!A:F,MATCH(I1841,数据元说明!C:C,0),6)</f>
        <v>C..30</v>
      </c>
      <c r="M1841" s="69"/>
      <c r="N1841" s="68" t="s">
        <v>1583</v>
      </c>
      <c r="O1841" s="69" t="s">
        <v>484</v>
      </c>
      <c r="P1841" s="69" t="s">
        <v>3981</v>
      </c>
    </row>
    <row r="1842" ht="39.95" hidden="1" customHeight="1" spans="1:16">
      <c r="A1842" s="89"/>
      <c r="B1842" s="73"/>
      <c r="C1842" s="74" t="s">
        <v>304</v>
      </c>
      <c r="D1842" s="73" t="s">
        <v>4127</v>
      </c>
      <c r="E1842" s="90">
        <v>1105</v>
      </c>
      <c r="F1842" s="69" t="s">
        <v>4137</v>
      </c>
      <c r="G1842" s="90">
        <v>110539</v>
      </c>
      <c r="H1842" s="69" t="s">
        <v>4138</v>
      </c>
      <c r="I1842" s="69" t="s">
        <v>335</v>
      </c>
      <c r="J1842" s="67" t="str">
        <f>INDEX(数据元说明!A:F,MATCH(I1842,数据元说明!C:C,0),2)</f>
        <v>001003</v>
      </c>
      <c r="K1842" s="68" t="str">
        <f>INDEX(数据元说明!A:F,MATCH(I1842,数据元说明!C:C,0),5)</f>
        <v>百分比为单位，即1/100，保留两位小数。如4.5%则填报为4.50。</v>
      </c>
      <c r="L1842" s="69" t="str">
        <f>INDEX(数据元说明!A:F,MATCH(I1842,数据元说明!C:C,0),6)</f>
        <v>D20.2</v>
      </c>
      <c r="M1842" s="69" t="s">
        <v>4022</v>
      </c>
      <c r="N1842" s="68" t="s">
        <v>1583</v>
      </c>
      <c r="O1842" s="68" t="s">
        <v>3799</v>
      </c>
      <c r="P1842" s="69"/>
    </row>
    <row r="1843" ht="39.95" hidden="1" customHeight="1" outlineLevel="1" spans="1:16">
      <c r="A1843" s="63"/>
      <c r="B1843" s="64"/>
      <c r="C1843" s="74" t="s">
        <v>304</v>
      </c>
      <c r="D1843" s="73" t="s">
        <v>4127</v>
      </c>
      <c r="E1843" s="90">
        <v>1105</v>
      </c>
      <c r="F1843" s="67" t="s">
        <v>484</v>
      </c>
      <c r="G1843" s="90">
        <v>110540</v>
      </c>
      <c r="H1843" s="67" t="s">
        <v>1623</v>
      </c>
      <c r="I1843" s="67" t="s">
        <v>484</v>
      </c>
      <c r="J1843" s="67" t="str">
        <f>INDEX(数据元说明!A:F,MATCH(I1843,数据元说明!C:C,0),2)</f>
        <v>001038</v>
      </c>
      <c r="K1843" s="68" t="str">
        <f>INDEX(数据元说明!A:F,MATCH(I1843,数据元说明!C:C,0),5)</f>
        <v>银行自定义。</v>
      </c>
      <c r="L1843" s="67" t="str">
        <f>INDEX(数据元说明!A:F,MATCH(I1843,数据元说明!C:C,0),6)</f>
        <v>C..600</v>
      </c>
      <c r="M1843" s="68" t="s">
        <v>1624</v>
      </c>
      <c r="N1843" s="68" t="s">
        <v>1601</v>
      </c>
      <c r="O1843" s="68"/>
      <c r="P1843" s="68"/>
    </row>
    <row r="1844" ht="39.95" hidden="1" customHeight="1" collapsed="1" spans="1:16">
      <c r="A1844" s="63"/>
      <c r="B1844" s="64"/>
      <c r="C1844" s="74" t="s">
        <v>304</v>
      </c>
      <c r="D1844" s="73" t="s">
        <v>4127</v>
      </c>
      <c r="E1844" s="90">
        <v>1105</v>
      </c>
      <c r="F1844" s="67" t="s">
        <v>1625</v>
      </c>
      <c r="G1844" s="90">
        <v>110541</v>
      </c>
      <c r="H1844" s="75" t="s">
        <v>1626</v>
      </c>
      <c r="I1844" s="67" t="s">
        <v>345</v>
      </c>
      <c r="J1844" s="67" t="str">
        <f>INDEX(数据元说明!A:F,MATCH(I1844,数据元说明!C:C,0),2)</f>
        <v>001005</v>
      </c>
      <c r="K1844" s="68" t="str">
        <f>INDEX(数据元说明!A:F,MATCH(I1844,数据元说明!C:C,0),5)</f>
        <v>YYYYMMDD，默认值99991231。</v>
      </c>
      <c r="L1844" s="67" t="str">
        <f>INDEX(数据元说明!A:F,MATCH(I1844,数据元说明!C:C,0),6)</f>
        <v>C8</v>
      </c>
      <c r="M1844" s="68" t="s">
        <v>3896</v>
      </c>
      <c r="N1844" s="68" t="s">
        <v>1601</v>
      </c>
      <c r="O1844" s="68"/>
      <c r="P1844" s="69"/>
    </row>
    <row r="1845" ht="39.95" hidden="1" customHeight="1" spans="1:16">
      <c r="A1845" s="63"/>
      <c r="B1845" s="59"/>
      <c r="C1845" s="59" t="s">
        <v>307</v>
      </c>
      <c r="D1845" s="59" t="s">
        <v>4139</v>
      </c>
      <c r="E1845" s="67">
        <v>1106</v>
      </c>
      <c r="F1845" s="67"/>
      <c r="G1845" s="65"/>
      <c r="H1845" s="67" t="s">
        <v>3615</v>
      </c>
      <c r="I1845" s="67"/>
      <c r="J1845" s="67"/>
      <c r="K1845" s="69"/>
      <c r="L1845" s="67"/>
      <c r="M1845" s="68" t="s">
        <v>4140</v>
      </c>
      <c r="N1845" s="68"/>
      <c r="O1845" s="68"/>
      <c r="P1845" s="69" t="s">
        <v>4141</v>
      </c>
    </row>
    <row r="1846" ht="39.95" hidden="1" customHeight="1" spans="1:16">
      <c r="A1846" s="89"/>
      <c r="B1846" s="73"/>
      <c r="C1846" s="73" t="s">
        <v>307</v>
      </c>
      <c r="D1846" s="73" t="s">
        <v>4139</v>
      </c>
      <c r="E1846" s="90">
        <v>1106</v>
      </c>
      <c r="F1846" s="69" t="s">
        <v>3384</v>
      </c>
      <c r="G1846" s="90">
        <v>110601</v>
      </c>
      <c r="H1846" s="69" t="s">
        <v>3385</v>
      </c>
      <c r="I1846" s="69" t="s">
        <v>345</v>
      </c>
      <c r="J1846" s="67" t="str">
        <f>INDEX(数据元说明!A:F,MATCH(I1846,数据元说明!C:C,0),2)</f>
        <v>001005</v>
      </c>
      <c r="K1846" s="68" t="str">
        <f>INDEX(数据元说明!A:F,MATCH(I1846,数据元说明!C:C,0),5)</f>
        <v>YYYYMMDD，默认值99991231。</v>
      </c>
      <c r="L1846" s="69" t="str">
        <f>INDEX(数据元说明!A:F,MATCH(I1846,数据元说明!C:C,0),6)</f>
        <v>C8</v>
      </c>
      <c r="M1846" s="69" t="s">
        <v>4142</v>
      </c>
      <c r="N1846" s="68" t="s">
        <v>1583</v>
      </c>
      <c r="O1846" s="68" t="s">
        <v>1607</v>
      </c>
      <c r="P1846" s="74"/>
    </row>
    <row r="1847" ht="39.95" hidden="1" customHeight="1" spans="1:16">
      <c r="A1847" s="70"/>
      <c r="B1847" s="71"/>
      <c r="C1847" s="73" t="s">
        <v>307</v>
      </c>
      <c r="D1847" s="73" t="s">
        <v>4139</v>
      </c>
      <c r="E1847" s="90">
        <v>1106</v>
      </c>
      <c r="F1847" s="69" t="s">
        <v>4143</v>
      </c>
      <c r="G1847" s="90">
        <v>110602</v>
      </c>
      <c r="H1847" s="67" t="s">
        <v>4144</v>
      </c>
      <c r="I1847" s="67" t="s">
        <v>355</v>
      </c>
      <c r="J1847" s="144" t="s">
        <v>349</v>
      </c>
      <c r="K1847" s="68" t="str">
        <f>INDEX(数据元说明!A:F,MATCH(I1847,数据元说明!C:C,0),5)</f>
        <v>24小时制时间，精确到秒。hhmmss，默认值000000。</v>
      </c>
      <c r="L1847" s="69" t="str">
        <f>INDEX(数据元说明!A:F,MATCH(I1847,数据元说明!C:C,0),6)</f>
        <v>C6</v>
      </c>
      <c r="M1847" s="69" t="s">
        <v>4145</v>
      </c>
      <c r="N1847" s="68" t="s">
        <v>1601</v>
      </c>
      <c r="O1847" s="80"/>
      <c r="P1847" s="68"/>
    </row>
    <row r="1848" ht="39.95" hidden="1" customHeight="1" spans="1:16">
      <c r="A1848" s="89"/>
      <c r="B1848" s="73"/>
      <c r="C1848" s="73" t="s">
        <v>307</v>
      </c>
      <c r="D1848" s="73" t="s">
        <v>4139</v>
      </c>
      <c r="E1848" s="90">
        <v>1106</v>
      </c>
      <c r="F1848" s="69" t="s">
        <v>1176</v>
      </c>
      <c r="G1848" s="90">
        <v>110603</v>
      </c>
      <c r="H1848" s="69" t="s">
        <v>3618</v>
      </c>
      <c r="I1848" s="69" t="s">
        <v>1176</v>
      </c>
      <c r="J1848" s="144" t="str">
        <f>INDEX(数据元说明!A:F,MATCH(I1848,数据元说明!C:C,0),2)</f>
        <v>010012</v>
      </c>
      <c r="K1848" s="68" t="str">
        <f>INDEX(数据元说明!A:F,MATCH(I1848,数据元说明!C:C,0),5)</f>
        <v>登记机构赋予理财产品的标识码，该码具有唯一性。</v>
      </c>
      <c r="L1848" s="69" t="str">
        <f>INDEX(数据元说明!A:F,MATCH(I1848,数据元说明!C:C,0),6)</f>
        <v>C..30</v>
      </c>
      <c r="M1848" s="69" t="s">
        <v>3619</v>
      </c>
      <c r="N1848" s="68"/>
      <c r="O1848" s="68"/>
      <c r="P1848" s="69"/>
    </row>
    <row r="1849" ht="39.95" hidden="1" customHeight="1" spans="1:16">
      <c r="A1849" s="89"/>
      <c r="B1849" s="73"/>
      <c r="C1849" s="73" t="s">
        <v>307</v>
      </c>
      <c r="D1849" s="73" t="s">
        <v>4139</v>
      </c>
      <c r="E1849" s="90">
        <v>1106</v>
      </c>
      <c r="F1849" s="69" t="s">
        <v>746</v>
      </c>
      <c r="G1849" s="90">
        <v>110604</v>
      </c>
      <c r="H1849" s="69" t="s">
        <v>3489</v>
      </c>
      <c r="I1849" s="69" t="s">
        <v>1136</v>
      </c>
      <c r="J1849" s="144" t="str">
        <f>INDEX(数据元说明!A:F,MATCH(I1849,数据元说明!C:C,0),2)</f>
        <v>010002</v>
      </c>
      <c r="K1849" s="68" t="str">
        <f>INDEX(数据元说明!A:F,MATCH(I1849,数据元说明!C:C,0),5)</f>
        <v>金融产品名称，包括但不限于标准化或非标准化金融产品。如果不是标准产品，则由银行自定义。</v>
      </c>
      <c r="L1849" s="69" t="str">
        <f>INDEX(数据元说明!A:F,MATCH(I1849,数据元说明!C:C,0),6)</f>
        <v>C..450</v>
      </c>
      <c r="M1849" s="69" t="s">
        <v>3623</v>
      </c>
      <c r="N1849" s="68" t="s">
        <v>1583</v>
      </c>
      <c r="O1849" s="68" t="s">
        <v>322</v>
      </c>
      <c r="P1849" s="69"/>
    </row>
    <row r="1850" ht="39.95" hidden="1" customHeight="1" spans="1:16">
      <c r="A1850" s="89"/>
      <c r="B1850" s="73"/>
      <c r="C1850" s="73" t="s">
        <v>307</v>
      </c>
      <c r="D1850" s="73" t="s">
        <v>4139</v>
      </c>
      <c r="E1850" s="90">
        <v>1106</v>
      </c>
      <c r="F1850" s="69" t="s">
        <v>1458</v>
      </c>
      <c r="G1850" s="90">
        <v>110605</v>
      </c>
      <c r="H1850" s="69" t="s">
        <v>3437</v>
      </c>
      <c r="I1850" s="69" t="s">
        <v>1458</v>
      </c>
      <c r="J1850" s="144" t="str">
        <f>INDEX(数据元说明!A:F,MATCH(I1850,数据元说明!C:C,0),2)</f>
        <v>010082</v>
      </c>
      <c r="K1850" s="68" t="str">
        <f>INDEX(数据元说明!A:F,MATCH(I1850,数据元说明!C:C,0),5)</f>
        <v>采用《金融机构编码规范》编发的法人机构代码(即金融机构代码）前6位。</v>
      </c>
      <c r="L1850" s="69" t="str">
        <f>INDEX(数据元说明!A:F,MATCH(I1850,数据元说明!C:C,0),6)</f>
        <v>C..30</v>
      </c>
      <c r="M1850" s="69" t="s">
        <v>1679</v>
      </c>
      <c r="N1850" s="68"/>
      <c r="O1850" s="68"/>
      <c r="P1850" s="69"/>
    </row>
    <row r="1851" ht="39.95" hidden="1" customHeight="1" outlineLevel="1" spans="1:16">
      <c r="A1851" s="63"/>
      <c r="B1851" s="64"/>
      <c r="C1851" s="73" t="s">
        <v>307</v>
      </c>
      <c r="D1851" s="73" t="s">
        <v>4139</v>
      </c>
      <c r="E1851" s="90">
        <v>1106</v>
      </c>
      <c r="F1851" s="67" t="s">
        <v>373</v>
      </c>
      <c r="G1851" s="90">
        <v>110606</v>
      </c>
      <c r="H1851" s="67" t="s">
        <v>1588</v>
      </c>
      <c r="I1851" s="67" t="s">
        <v>373</v>
      </c>
      <c r="J1851" s="67" t="str">
        <f>INDEX(数据元说明!A:F,MATCH(I1851,数据元说明!C:C,0),2)</f>
        <v>001011</v>
      </c>
      <c r="K1851" s="68" t="str">
        <f>INDEX(数据元说明!A:F,MATCH(I1851,数据元说明!C:C,0),5)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851" s="67" t="str">
        <f>INDEX(数据元说明!A:F,MATCH(I1851,数据元说明!C:C,0),6)</f>
        <v>C..30</v>
      </c>
      <c r="M1851" s="68" t="s">
        <v>3624</v>
      </c>
      <c r="N1851" s="68" t="s">
        <v>1601</v>
      </c>
      <c r="O1851" s="68"/>
      <c r="P1851" s="68"/>
    </row>
    <row r="1852" ht="39.95" hidden="1" customHeight="1" collapsed="1" spans="1:16">
      <c r="A1852" s="89"/>
      <c r="B1852" s="73"/>
      <c r="C1852" s="73" t="s">
        <v>307</v>
      </c>
      <c r="D1852" s="73" t="s">
        <v>4139</v>
      </c>
      <c r="E1852" s="90">
        <v>1106</v>
      </c>
      <c r="F1852" s="69" t="s">
        <v>3388</v>
      </c>
      <c r="G1852" s="90">
        <v>110607</v>
      </c>
      <c r="H1852" s="69" t="s">
        <v>3389</v>
      </c>
      <c r="I1852" s="69" t="s">
        <v>325</v>
      </c>
      <c r="J1852" s="67" t="str">
        <f>INDEX(数据元说明!A:F,MATCH(I1852,数据元说明!C:C,0),2)</f>
        <v>001001</v>
      </c>
      <c r="K1852" s="68" t="str">
        <f>INDEX(数据元说明!A:F,MATCH(I1852,数据元说明!C:C,0),5)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852" s="69" t="str">
        <f>INDEX(数据元说明!A:F,MATCH(I1852,数据元说明!C:C,0),6)</f>
        <v>C..450</v>
      </c>
      <c r="M1852" s="69" t="s">
        <v>3625</v>
      </c>
      <c r="N1852" s="68" t="s">
        <v>1583</v>
      </c>
      <c r="O1852" s="68" t="s">
        <v>322</v>
      </c>
      <c r="P1852" s="69"/>
    </row>
    <row r="1853" ht="39.95" hidden="1" customHeight="1" spans="1:16">
      <c r="A1853" s="89"/>
      <c r="B1853" s="73"/>
      <c r="C1853" s="73" t="s">
        <v>307</v>
      </c>
      <c r="D1853" s="73" t="s">
        <v>4139</v>
      </c>
      <c r="E1853" s="90">
        <v>1106</v>
      </c>
      <c r="F1853" s="69" t="s">
        <v>3626</v>
      </c>
      <c r="G1853" s="90">
        <v>110608</v>
      </c>
      <c r="H1853" s="69" t="s">
        <v>3627</v>
      </c>
      <c r="I1853" s="69" t="s">
        <v>1422</v>
      </c>
      <c r="J1853" s="144" t="str">
        <f>INDEX(数据元说明!A:F,MATCH(I1853,数据元说明!C:C,0),2)</f>
        <v>010073</v>
      </c>
      <c r="K1853" s="68" t="str">
        <f>INDEX(数据元说明!A:F,MATCH(I1853,数据元说明!C:C,0),5)</f>
        <v>国有银行，股份制银行，城商行，外资银行，农村合作金融机构，政策性银行，国家开发银行，理财公司，其他。</v>
      </c>
      <c r="L1853" s="69" t="str">
        <f>INDEX(数据元说明!A:F,MATCH(I1853,数据元说明!C:C,0),6)</f>
        <v>C..30</v>
      </c>
      <c r="M1853" s="69" t="s">
        <v>3628</v>
      </c>
      <c r="N1853" s="68"/>
      <c r="O1853" s="68"/>
      <c r="P1853" s="69"/>
    </row>
    <row r="1854" ht="39.95" hidden="1" customHeight="1" spans="1:16">
      <c r="A1854" s="89"/>
      <c r="B1854" s="73"/>
      <c r="C1854" s="73" t="s">
        <v>307</v>
      </c>
      <c r="D1854" s="73" t="s">
        <v>4139</v>
      </c>
      <c r="E1854" s="90">
        <v>1106</v>
      </c>
      <c r="F1854" s="69" t="s">
        <v>4146</v>
      </c>
      <c r="G1854" s="90">
        <v>110609</v>
      </c>
      <c r="H1854" s="69" t="s">
        <v>4147</v>
      </c>
      <c r="I1854" s="69" t="s">
        <v>1406</v>
      </c>
      <c r="J1854" s="144" t="str">
        <f>INDEX(数据元说明!A:F,MATCH(I1854,数据元说明!C:C,0),2)</f>
        <v>010069</v>
      </c>
      <c r="K1854" s="68" t="str">
        <f>INDEX(数据元说明!A:F,MATCH(I1854,数据元说明!C:C,0),5)</f>
        <v>登记机构赋予资产或交易的标识码。</v>
      </c>
      <c r="L1854" s="69" t="str">
        <f>INDEX(数据元说明!A:F,MATCH(I1854,数据元说明!C:C,0),6)</f>
        <v>C..30</v>
      </c>
      <c r="M1854" s="69" t="s">
        <v>3628</v>
      </c>
      <c r="N1854" s="68"/>
      <c r="O1854" s="68"/>
      <c r="P1854" s="69"/>
    </row>
    <row r="1855" ht="39.95" hidden="1" customHeight="1" spans="1:16">
      <c r="A1855" s="89"/>
      <c r="B1855" s="73"/>
      <c r="C1855" s="73" t="s">
        <v>307</v>
      </c>
      <c r="D1855" s="73" t="s">
        <v>4139</v>
      </c>
      <c r="E1855" s="90">
        <v>1106</v>
      </c>
      <c r="F1855" s="69" t="s">
        <v>4148</v>
      </c>
      <c r="G1855" s="90">
        <v>110610</v>
      </c>
      <c r="H1855" s="69" t="s">
        <v>4149</v>
      </c>
      <c r="I1855" s="69" t="s">
        <v>1341</v>
      </c>
      <c r="J1855" s="144" t="str">
        <f>INDEX(数据元说明!A:F,MATCH(I1855,数据元说明!C:C,0),2)</f>
        <v>010053</v>
      </c>
      <c r="K1855" s="68" t="str">
        <f>INDEX(数据元说明!A:F,MATCH(I1855,数据元说明!C:C,0),5)</f>
        <v>银行自定义的代码。</v>
      </c>
      <c r="L1855" s="69" t="str">
        <f>INDEX(数据元说明!A:F,MATCH(I1855,数据元说明!C:C,0),6)</f>
        <v>C..40</v>
      </c>
      <c r="M1855" s="69" t="s">
        <v>4150</v>
      </c>
      <c r="N1855" s="68"/>
      <c r="O1855" s="68"/>
      <c r="P1855" s="69"/>
    </row>
    <row r="1856" ht="39.95" hidden="1" customHeight="1" spans="1:16">
      <c r="A1856" s="89"/>
      <c r="B1856" s="73"/>
      <c r="C1856" s="73" t="s">
        <v>307</v>
      </c>
      <c r="D1856" s="73" t="s">
        <v>4139</v>
      </c>
      <c r="E1856" s="90">
        <v>1106</v>
      </c>
      <c r="F1856" s="69" t="s">
        <v>1442</v>
      </c>
      <c r="G1856" s="90">
        <v>110611</v>
      </c>
      <c r="H1856" s="69" t="s">
        <v>4151</v>
      </c>
      <c r="I1856" s="69" t="s">
        <v>1442</v>
      </c>
      <c r="J1856" s="144" t="str">
        <f>INDEX(数据元说明!A:F,MATCH(I1856,数据元说明!C:C,0),2)</f>
        <v>010078</v>
      </c>
      <c r="K1856" s="68" t="str">
        <f>INDEX(数据元说明!A:F,MATCH(I1856,数据元说明!C:C,0),5)</f>
        <v>资产买入，资产卖出或到期，存入银行存款，银行存款到期，拆放同业和买入返售首期，同业拆入和卖出回购首期，拆放同业和买入返售到期，同业拆入和卖出回购到期，投资资产所得收益，投资资产支出，其他收入，其他支出。</v>
      </c>
      <c r="L1856" s="69" t="str">
        <f>INDEX(数据元说明!A:F,MATCH(I1856,数据元说明!C:C,0),6)</f>
        <v>C..120</v>
      </c>
      <c r="M1856" s="69" t="s">
        <v>4152</v>
      </c>
      <c r="N1856" s="68" t="s">
        <v>1583</v>
      </c>
      <c r="O1856" s="68" t="s">
        <v>1745</v>
      </c>
      <c r="P1856" s="69"/>
    </row>
    <row r="1857" ht="39.95" hidden="1" customHeight="1" spans="1:16">
      <c r="A1857" s="89"/>
      <c r="B1857" s="73"/>
      <c r="C1857" s="73" t="s">
        <v>307</v>
      </c>
      <c r="D1857" s="73" t="s">
        <v>4139</v>
      </c>
      <c r="E1857" s="90">
        <v>1106</v>
      </c>
      <c r="F1857" s="69" t="s">
        <v>4153</v>
      </c>
      <c r="G1857" s="90">
        <v>110612</v>
      </c>
      <c r="H1857" s="69" t="s">
        <v>4154</v>
      </c>
      <c r="I1857" s="69" t="s">
        <v>325</v>
      </c>
      <c r="J1857" s="67" t="str">
        <f>INDEX(数据元说明!A:F,MATCH(I1857,数据元说明!C:C,0),2)</f>
        <v>001001</v>
      </c>
      <c r="K1857" s="68" t="str">
        <f>INDEX(数据元说明!A:F,MATCH(I1857,数据元说明!C:C,0),5)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857" s="69" t="str">
        <f>INDEX(数据元说明!A:F,MATCH(I1857,数据元说明!C:C,0),6)</f>
        <v>C..450</v>
      </c>
      <c r="M1857" s="69" t="s">
        <v>4155</v>
      </c>
      <c r="N1857" s="68" t="s">
        <v>1583</v>
      </c>
      <c r="O1857" s="68" t="s">
        <v>4156</v>
      </c>
      <c r="P1857" s="69"/>
    </row>
    <row r="1858" ht="39.95" hidden="1" customHeight="1" spans="1:16">
      <c r="A1858" s="89"/>
      <c r="B1858" s="73"/>
      <c r="C1858" s="73" t="s">
        <v>307</v>
      </c>
      <c r="D1858" s="73" t="s">
        <v>4139</v>
      </c>
      <c r="E1858" s="90">
        <v>1106</v>
      </c>
      <c r="F1858" s="69" t="s">
        <v>4157</v>
      </c>
      <c r="G1858" s="90">
        <v>110613</v>
      </c>
      <c r="H1858" s="69" t="s">
        <v>4158</v>
      </c>
      <c r="I1858" s="69" t="s">
        <v>330</v>
      </c>
      <c r="J1858" s="67" t="str">
        <f>INDEX(数据元说明!A:F,MATCH(I1858,数据元说明!C:C,0),2)</f>
        <v>001002</v>
      </c>
      <c r="K1858" s="68" t="str">
        <f>INDEX(数据元说明!A:F,MATCH(I1858,数据元说明!C:C,0),5)</f>
        <v>是，否。</v>
      </c>
      <c r="L1858" s="69" t="str">
        <f>INDEX(数据元说明!A:F,MATCH(I1858,数据元说明!C:C,0),6)</f>
        <v>C3</v>
      </c>
      <c r="M1858" s="69" t="s">
        <v>4159</v>
      </c>
      <c r="N1858" s="68" t="s">
        <v>1601</v>
      </c>
      <c r="O1858" s="68"/>
      <c r="P1858" s="69"/>
    </row>
    <row r="1859" ht="39.95" hidden="1" customHeight="1" spans="1:16">
      <c r="A1859" s="89"/>
      <c r="B1859" s="73"/>
      <c r="C1859" s="73" t="s">
        <v>307</v>
      </c>
      <c r="D1859" s="73" t="s">
        <v>4139</v>
      </c>
      <c r="E1859" s="90">
        <v>1106</v>
      </c>
      <c r="F1859" s="69" t="s">
        <v>4160</v>
      </c>
      <c r="G1859" s="90">
        <v>110614</v>
      </c>
      <c r="H1859" s="69" t="s">
        <v>4161</v>
      </c>
      <c r="I1859" s="69" t="s">
        <v>1529</v>
      </c>
      <c r="J1859" s="144" t="str">
        <f>INDEX(数据元说明!A:F,MATCH(I1859,数据元说明!C:C,0),2)</f>
        <v>010100</v>
      </c>
      <c r="K1859" s="68" t="str">
        <f>INDEX(数据元说明!A:F,MATCH(I1859,数据元说明!C:C,0),5)</f>
        <v>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v>
      </c>
      <c r="L1859" s="69" t="str">
        <f>INDEX(数据元说明!A:F,MATCH(I1859,数据元说明!C:C,0),6)</f>
        <v>C..120</v>
      </c>
      <c r="M1859" s="69"/>
      <c r="N1859" s="68" t="s">
        <v>1583</v>
      </c>
      <c r="O1859" s="69" t="s">
        <v>484</v>
      </c>
      <c r="P1859" s="69" t="s">
        <v>3981</v>
      </c>
    </row>
    <row r="1860" ht="39.95" hidden="1" customHeight="1" spans="1:16">
      <c r="A1860" s="89"/>
      <c r="B1860" s="73"/>
      <c r="C1860" s="73" t="s">
        <v>307</v>
      </c>
      <c r="D1860" s="73" t="s">
        <v>4139</v>
      </c>
      <c r="E1860" s="90">
        <v>1106</v>
      </c>
      <c r="F1860" s="69" t="s">
        <v>642</v>
      </c>
      <c r="G1860" s="90">
        <v>110615</v>
      </c>
      <c r="H1860" s="69" t="s">
        <v>1914</v>
      </c>
      <c r="I1860" s="69" t="s">
        <v>642</v>
      </c>
      <c r="J1860" s="67" t="str">
        <f>INDEX(数据元说明!A:F,MATCH(I1860,数据元说明!C:C,0),2)</f>
        <v>003010</v>
      </c>
      <c r="K1860" s="68" t="str">
        <f>INDEX(数据元说明!A:F,MATCH(I1860,数据元说明!C:C,0),5)</f>
        <v>遵循《GB/T 12406 表示货币和资金的代码》的字母代码，如CNY。上述文件所列币种无法涵盖的，允许银行自定义填报。多个币种合计折算为人民币（本外币合计）的，填报为BWB。</v>
      </c>
      <c r="L1860" s="69" t="str">
        <f>INDEX(数据元说明!A:F,MATCH(I1860,数据元说明!C:C,0),6)</f>
        <v>C3</v>
      </c>
      <c r="M1860" s="69" t="s">
        <v>4162</v>
      </c>
      <c r="N1860" s="68"/>
      <c r="O1860" s="68"/>
      <c r="P1860" s="69"/>
    </row>
    <row r="1861" ht="39.95" hidden="1" customHeight="1" spans="1:16">
      <c r="A1861" s="89"/>
      <c r="B1861" s="73"/>
      <c r="C1861" s="73" t="s">
        <v>307</v>
      </c>
      <c r="D1861" s="73" t="s">
        <v>4139</v>
      </c>
      <c r="E1861" s="90">
        <v>1106</v>
      </c>
      <c r="F1861" s="69" t="s">
        <v>3900</v>
      </c>
      <c r="G1861" s="90">
        <v>110616</v>
      </c>
      <c r="H1861" s="69" t="s">
        <v>3901</v>
      </c>
      <c r="I1861" s="69" t="s">
        <v>1414</v>
      </c>
      <c r="J1861" s="144" t="str">
        <f>INDEX(数据元说明!A:F,MATCH(I1861,数据元说明!C:C,0),2)</f>
        <v>010071</v>
      </c>
      <c r="K1861" s="68" t="str">
        <f>INDEX(数据元说明!A:F,MATCH(I1861,数据元说明!C:C,0),5)</f>
        <v>理财中心赋予产品或资产的序号。</v>
      </c>
      <c r="L1861" s="69" t="str">
        <f>INDEX(数据元说明!A:F,MATCH(I1861,数据元说明!C:C,0),6)</f>
        <v>C..30</v>
      </c>
      <c r="M1861" s="69" t="s">
        <v>3628</v>
      </c>
      <c r="N1861" s="68"/>
      <c r="O1861" s="68"/>
      <c r="P1861" s="69"/>
    </row>
    <row r="1862" ht="39.95" hidden="1" customHeight="1" spans="1:16">
      <c r="A1862" s="89"/>
      <c r="B1862" s="73"/>
      <c r="C1862" s="73" t="s">
        <v>307</v>
      </c>
      <c r="D1862" s="73" t="s">
        <v>4139</v>
      </c>
      <c r="E1862" s="90">
        <v>1106</v>
      </c>
      <c r="F1862" s="69" t="s">
        <v>3911</v>
      </c>
      <c r="G1862" s="90">
        <v>110617</v>
      </c>
      <c r="H1862" s="69" t="s">
        <v>3912</v>
      </c>
      <c r="I1862" s="69" t="s">
        <v>1341</v>
      </c>
      <c r="J1862" s="144" t="str">
        <f>INDEX(数据元说明!A:F,MATCH(I1862,数据元说明!C:C,0),2)</f>
        <v>010053</v>
      </c>
      <c r="K1862" s="68" t="str">
        <f>INDEX(数据元说明!A:F,MATCH(I1862,数据元说明!C:C,0),5)</f>
        <v>银行自定义的代码。</v>
      </c>
      <c r="L1862" s="69" t="str">
        <f>INDEX(数据元说明!A:F,MATCH(I1862,数据元说明!C:C,0),6)</f>
        <v>C..40</v>
      </c>
      <c r="M1862" s="69" t="s">
        <v>4163</v>
      </c>
      <c r="N1862" s="68"/>
      <c r="O1862" s="68"/>
      <c r="P1862" s="69"/>
    </row>
    <row r="1863" ht="39.95" hidden="1" customHeight="1" spans="1:16">
      <c r="A1863" s="89"/>
      <c r="B1863" s="73"/>
      <c r="C1863" s="73" t="s">
        <v>307</v>
      </c>
      <c r="D1863" s="73" t="s">
        <v>4139</v>
      </c>
      <c r="E1863" s="90">
        <v>1106</v>
      </c>
      <c r="F1863" s="69" t="s">
        <v>3914</v>
      </c>
      <c r="G1863" s="90">
        <v>110618</v>
      </c>
      <c r="H1863" s="69" t="s">
        <v>3915</v>
      </c>
      <c r="I1863" s="69" t="s">
        <v>1406</v>
      </c>
      <c r="J1863" s="144" t="str">
        <f>INDEX(数据元说明!A:F,MATCH(I1863,数据元说明!C:C,0),2)</f>
        <v>010069</v>
      </c>
      <c r="K1863" s="68" t="str">
        <f>INDEX(数据元说明!A:F,MATCH(I1863,数据元说明!C:C,0),5)</f>
        <v>登记机构赋予资产或交易的标识码。</v>
      </c>
      <c r="L1863" s="69" t="str">
        <f>INDEX(数据元说明!A:F,MATCH(I1863,数据元说明!C:C,0),6)</f>
        <v>C..30</v>
      </c>
      <c r="M1863" s="69" t="s">
        <v>3628</v>
      </c>
      <c r="N1863" s="68"/>
      <c r="O1863" s="68"/>
      <c r="P1863" s="69"/>
    </row>
    <row r="1864" ht="39.95" hidden="1" customHeight="1" spans="1:16">
      <c r="A1864" s="89"/>
      <c r="B1864" s="73"/>
      <c r="C1864" s="73" t="s">
        <v>307</v>
      </c>
      <c r="D1864" s="73" t="s">
        <v>4139</v>
      </c>
      <c r="E1864" s="90">
        <v>1106</v>
      </c>
      <c r="F1864" s="69" t="s">
        <v>3924</v>
      </c>
      <c r="G1864" s="90">
        <v>110619</v>
      </c>
      <c r="H1864" s="69" t="s">
        <v>3925</v>
      </c>
      <c r="I1864" s="69" t="s">
        <v>1345</v>
      </c>
      <c r="J1864" s="144" t="str">
        <f>INDEX(数据元说明!A:F,MATCH(I1864,数据元说明!C:C,0),2)</f>
        <v>010054</v>
      </c>
      <c r="K1864" s="68" t="str">
        <f>INDEX(数据元说明!A:F,MATCH(I1864,数据元说明!C:C,0),5)</f>
        <v>所属资产类别（一级分类）。</v>
      </c>
      <c r="L1864" s="69" t="str">
        <f>INDEX(数据元说明!A:F,MATCH(I1864,数据元说明!C:C,0),6)</f>
        <v>C..120</v>
      </c>
      <c r="M1864" s="69" t="s">
        <v>3926</v>
      </c>
      <c r="N1864" s="68" t="s">
        <v>1583</v>
      </c>
      <c r="O1864" s="68" t="s">
        <v>1695</v>
      </c>
      <c r="P1864" s="69"/>
    </row>
    <row r="1865" ht="39.95" hidden="1" customHeight="1" spans="1:16">
      <c r="A1865" s="89"/>
      <c r="B1865" s="73"/>
      <c r="C1865" s="73" t="s">
        <v>307</v>
      </c>
      <c r="D1865" s="73" t="s">
        <v>4139</v>
      </c>
      <c r="E1865" s="90">
        <v>1106</v>
      </c>
      <c r="F1865" s="69" t="s">
        <v>3927</v>
      </c>
      <c r="G1865" s="90">
        <v>110620</v>
      </c>
      <c r="H1865" s="69" t="s">
        <v>3928</v>
      </c>
      <c r="I1865" s="69" t="s">
        <v>1349</v>
      </c>
      <c r="J1865" s="144" t="str">
        <f>INDEX(数据元说明!A:F,MATCH(I1865,数据元说明!C:C,0),2)</f>
        <v>010055</v>
      </c>
      <c r="K1865" s="68" t="str">
        <f>INDEX(数据元说明!A:F,MATCH(I1865,数据元说明!C:C,0),5)</f>
        <v>所属资产类别（二级分类）。</v>
      </c>
      <c r="L1865" s="69" t="str">
        <f>INDEX(数据元说明!A:F,MATCH(I1865,数据元说明!C:C,0),6)</f>
        <v>C..120</v>
      </c>
      <c r="M1865" s="69" t="s">
        <v>3929</v>
      </c>
      <c r="N1865" s="68" t="s">
        <v>1583</v>
      </c>
      <c r="O1865" s="68" t="s">
        <v>1695</v>
      </c>
      <c r="P1865" s="69"/>
    </row>
    <row r="1866" ht="39.95" hidden="1" customHeight="1" spans="1:16">
      <c r="A1866" s="89"/>
      <c r="B1866" s="73"/>
      <c r="C1866" s="73" t="s">
        <v>307</v>
      </c>
      <c r="D1866" s="73" t="s">
        <v>4139</v>
      </c>
      <c r="E1866" s="90">
        <v>1106</v>
      </c>
      <c r="F1866" s="69" t="s">
        <v>3938</v>
      </c>
      <c r="G1866" s="90">
        <v>110621</v>
      </c>
      <c r="H1866" s="69" t="s">
        <v>3939</v>
      </c>
      <c r="I1866" s="69" t="s">
        <v>1357</v>
      </c>
      <c r="J1866" s="144" t="str">
        <f>INDEX(数据元说明!A:F,MATCH(I1866,数据元说明!C:C,0),2)</f>
        <v>010057</v>
      </c>
      <c r="K1866" s="68" t="str">
        <f>INDEX(数据元说明!A:F,MATCH(I1866,数据元说明!C:C,0),5)</f>
        <v>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v>
      </c>
      <c r="L1866" s="69" t="str">
        <f>INDEX(数据元说明!A:F,MATCH(I1866,数据元说明!C:C,0),6)</f>
        <v>C..60</v>
      </c>
      <c r="M1866" s="69" t="s">
        <v>4164</v>
      </c>
      <c r="N1866" s="68"/>
      <c r="O1866" s="68"/>
      <c r="P1866" s="69"/>
    </row>
    <row r="1867" ht="39.95" hidden="1" customHeight="1" spans="1:16">
      <c r="A1867" s="89"/>
      <c r="B1867" s="73"/>
      <c r="C1867" s="73" t="s">
        <v>307</v>
      </c>
      <c r="D1867" s="73" t="s">
        <v>4139</v>
      </c>
      <c r="E1867" s="90">
        <v>1106</v>
      </c>
      <c r="F1867" s="69" t="s">
        <v>1145</v>
      </c>
      <c r="G1867" s="90">
        <v>110622</v>
      </c>
      <c r="H1867" s="69" t="s">
        <v>3930</v>
      </c>
      <c r="I1867" s="69" t="s">
        <v>1136</v>
      </c>
      <c r="J1867" s="144" t="str">
        <f>INDEX(数据元说明!A:F,MATCH(I1867,数据元说明!C:C,0),2)</f>
        <v>010002</v>
      </c>
      <c r="K1867" s="68" t="str">
        <f>INDEX(数据元说明!A:F,MATCH(I1867,数据元说明!C:C,0),5)</f>
        <v>金融产品名称，包括但不限于标准化或非标准化金融产品。如果不是标准产品，则由银行自定义。</v>
      </c>
      <c r="L1867" s="69" t="str">
        <f>INDEX(数据元说明!A:F,MATCH(I1867,数据元说明!C:C,0),6)</f>
        <v>C..450</v>
      </c>
      <c r="M1867" s="69" t="s">
        <v>4165</v>
      </c>
      <c r="N1867" s="68" t="s">
        <v>1583</v>
      </c>
      <c r="O1867" s="68" t="s">
        <v>322</v>
      </c>
      <c r="P1867" s="69"/>
    </row>
    <row r="1868" ht="39.95" hidden="1" customHeight="1" spans="1:16">
      <c r="A1868" s="89"/>
      <c r="B1868" s="73"/>
      <c r="C1868" s="73" t="s">
        <v>307</v>
      </c>
      <c r="D1868" s="73" t="s">
        <v>4139</v>
      </c>
      <c r="E1868" s="90">
        <v>1106</v>
      </c>
      <c r="F1868" s="69" t="s">
        <v>3935</v>
      </c>
      <c r="G1868" s="90">
        <v>110623</v>
      </c>
      <c r="H1868" s="69" t="s">
        <v>3936</v>
      </c>
      <c r="I1868" s="69" t="s">
        <v>543</v>
      </c>
      <c r="J1868" s="67" t="str">
        <f>INDEX(数据元说明!A:F,MATCH(I1868,数据元说明!C:C,0),2)</f>
        <v>002014</v>
      </c>
      <c r="K1868" s="68" t="str">
        <f>INDEX(数据元说明!A:F,MATCH(I1868,数据元说明!C:C,0),5)</f>
        <v>行业分类按《GB/T 4754 国民经济行业分类》执行。填报至该客户所属行业的小类代码，如：所属行业为“稻谷种植”填报“A0111”。境外机构按“境外”填报。</v>
      </c>
      <c r="L1868" s="69" t="str">
        <f>INDEX(数据元说明!A:F,MATCH(I1868,数据元说明!C:C,0),6)</f>
        <v>C..90</v>
      </c>
      <c r="M1868" s="69" t="s">
        <v>4166</v>
      </c>
      <c r="N1868" s="68"/>
      <c r="O1868" s="68"/>
      <c r="P1868" s="69"/>
    </row>
    <row r="1869" ht="39.95" hidden="1" customHeight="1" spans="1:16">
      <c r="A1869" s="89"/>
      <c r="B1869" s="73"/>
      <c r="C1869" s="73" t="s">
        <v>307</v>
      </c>
      <c r="D1869" s="73" t="s">
        <v>4139</v>
      </c>
      <c r="E1869" s="90">
        <v>1106</v>
      </c>
      <c r="F1869" s="69" t="s">
        <v>4167</v>
      </c>
      <c r="G1869" s="90">
        <v>110624</v>
      </c>
      <c r="H1869" s="69" t="s">
        <v>4168</v>
      </c>
      <c r="I1869" s="69" t="s">
        <v>634</v>
      </c>
      <c r="J1869" s="67" t="str">
        <f>INDEX(数据元说明!A:F,MATCH(I1869,数据元说明!C:C,0),2)</f>
        <v>003008</v>
      </c>
      <c r="K1869" s="68" t="str">
        <f>INDEX(数据元说明!A:F,MATCH(I1869,数据元说明!C:C,0),5)</f>
        <v>与币种相对应金额。</v>
      </c>
      <c r="L1869" s="69" t="str">
        <f>INDEX(数据元说明!A:F,MATCH(I1869,数据元说明!C:C,0),6)</f>
        <v>D20.2</v>
      </c>
      <c r="M1869" s="69" t="s">
        <v>4169</v>
      </c>
      <c r="N1869" s="68" t="s">
        <v>1583</v>
      </c>
      <c r="O1869" s="68" t="s">
        <v>1577</v>
      </c>
      <c r="P1869" s="69"/>
    </row>
    <row r="1870" ht="39.95" hidden="1" customHeight="1" spans="1:16">
      <c r="A1870" s="89"/>
      <c r="B1870" s="73"/>
      <c r="C1870" s="73" t="s">
        <v>307</v>
      </c>
      <c r="D1870" s="73" t="s">
        <v>4139</v>
      </c>
      <c r="E1870" s="90">
        <v>1106</v>
      </c>
      <c r="F1870" s="69" t="s">
        <v>4170</v>
      </c>
      <c r="G1870" s="90">
        <v>110625</v>
      </c>
      <c r="H1870" s="69" t="s">
        <v>4171</v>
      </c>
      <c r="I1870" s="69" t="s">
        <v>1537</v>
      </c>
      <c r="J1870" s="144" t="str">
        <f>INDEX(数据元说明!A:F,MATCH(I1870,数据元说明!C:C,0),2)</f>
        <v>010102</v>
      </c>
      <c r="K1870" s="68" t="str">
        <f>INDEX(数据元说明!A:F,MATCH(I1870,数据元说明!C:C,0),5)</f>
        <v>折算人民币的金额</v>
      </c>
      <c r="L1870" s="69" t="str">
        <f>INDEX(数据元说明!A:F,MATCH(I1870,数据元说明!C:C,0),6)</f>
        <v>D20.2</v>
      </c>
      <c r="M1870" s="69" t="s">
        <v>4172</v>
      </c>
      <c r="N1870" s="68" t="s">
        <v>1583</v>
      </c>
      <c r="O1870" s="68" t="s">
        <v>3856</v>
      </c>
      <c r="P1870" s="69"/>
    </row>
    <row r="1871" ht="39.95" hidden="1" customHeight="1" spans="1:16">
      <c r="A1871" s="89"/>
      <c r="B1871" s="73"/>
      <c r="C1871" s="73" t="s">
        <v>307</v>
      </c>
      <c r="D1871" s="73" t="s">
        <v>4139</v>
      </c>
      <c r="E1871" s="90">
        <v>1106</v>
      </c>
      <c r="F1871" s="69" t="s">
        <v>445</v>
      </c>
      <c r="G1871" s="90">
        <v>110626</v>
      </c>
      <c r="H1871" s="69" t="s">
        <v>4173</v>
      </c>
      <c r="I1871" s="69" t="s">
        <v>1418</v>
      </c>
      <c r="J1871" s="144" t="str">
        <f>INDEX(数据元说明!A:F,MATCH(I1871,数据元说明!C:C,0),2)</f>
        <v>010072</v>
      </c>
      <c r="K1871" s="68" t="str">
        <f>INDEX(数据元说明!A:F,MATCH(I1871,数据元说明!C:C,0),5)</f>
        <v>产品份额或资产的数量。</v>
      </c>
      <c r="L1871" s="69" t="str">
        <f>INDEX(数据元说明!A:F,MATCH(I1871,数据元说明!C:C,0),6)</f>
        <v>D20.6</v>
      </c>
      <c r="M1871" s="69" t="s">
        <v>4174</v>
      </c>
      <c r="N1871" s="68" t="s">
        <v>1583</v>
      </c>
      <c r="O1871" s="68" t="s">
        <v>322</v>
      </c>
      <c r="P1871" s="69"/>
    </row>
    <row r="1872" ht="39.95" hidden="1" customHeight="1" spans="1:16">
      <c r="A1872" s="89"/>
      <c r="B1872" s="73"/>
      <c r="C1872" s="73" t="s">
        <v>307</v>
      </c>
      <c r="D1872" s="73" t="s">
        <v>4139</v>
      </c>
      <c r="E1872" s="90">
        <v>1106</v>
      </c>
      <c r="F1872" s="69" t="s">
        <v>4175</v>
      </c>
      <c r="G1872" s="90">
        <v>110627</v>
      </c>
      <c r="H1872" s="69" t="s">
        <v>4176</v>
      </c>
      <c r="I1872" s="69" t="s">
        <v>1394</v>
      </c>
      <c r="J1872" s="144" t="str">
        <f>INDEX(数据元说明!A:F,MATCH(I1872,数据元说明!C:C,0),2)</f>
        <v>010066</v>
      </c>
      <c r="K1872" s="68" t="str">
        <f>INDEX(数据元说明!A:F,MATCH(I1872,数据元说明!C:C,0),5)</f>
        <v>单位价格。</v>
      </c>
      <c r="L1872" s="69" t="str">
        <f>INDEX(数据元说明!A:F,MATCH(I1872,数据元说明!C:C,0),6)</f>
        <v>D20.4</v>
      </c>
      <c r="M1872" s="69" t="s">
        <v>4177</v>
      </c>
      <c r="N1872" s="68"/>
      <c r="O1872" s="68"/>
      <c r="P1872" s="69"/>
    </row>
    <row r="1873" ht="39.95" hidden="1" customHeight="1" spans="1:16">
      <c r="A1873" s="89"/>
      <c r="B1873" s="73"/>
      <c r="C1873" s="73" t="s">
        <v>307</v>
      </c>
      <c r="D1873" s="73" t="s">
        <v>4139</v>
      </c>
      <c r="E1873" s="90">
        <v>1106</v>
      </c>
      <c r="F1873" s="69" t="s">
        <v>4178</v>
      </c>
      <c r="G1873" s="90">
        <v>110628</v>
      </c>
      <c r="H1873" s="69" t="s">
        <v>4179</v>
      </c>
      <c r="I1873" s="69" t="s">
        <v>1394</v>
      </c>
      <c r="J1873" s="144" t="str">
        <f>INDEX(数据元说明!A:F,MATCH(I1873,数据元说明!C:C,0),2)</f>
        <v>010066</v>
      </c>
      <c r="K1873" s="68" t="str">
        <f>INDEX(数据元说明!A:F,MATCH(I1873,数据元说明!C:C,0),5)</f>
        <v>单位价格。</v>
      </c>
      <c r="L1873" s="69" t="str">
        <f>INDEX(数据元说明!A:F,MATCH(I1873,数据元说明!C:C,0),6)</f>
        <v>D20.4</v>
      </c>
      <c r="M1873" s="69" t="s">
        <v>4180</v>
      </c>
      <c r="N1873" s="68"/>
      <c r="O1873" s="68"/>
      <c r="P1873" s="69"/>
    </row>
    <row r="1874" ht="39.95" hidden="1" customHeight="1" spans="1:16">
      <c r="A1874" s="89"/>
      <c r="B1874" s="73"/>
      <c r="C1874" s="73" t="s">
        <v>307</v>
      </c>
      <c r="D1874" s="73" t="s">
        <v>4139</v>
      </c>
      <c r="E1874" s="90">
        <v>1106</v>
      </c>
      <c r="F1874" s="69" t="s">
        <v>4181</v>
      </c>
      <c r="G1874" s="90">
        <v>110629</v>
      </c>
      <c r="H1874" s="69" t="s">
        <v>4182</v>
      </c>
      <c r="I1874" s="69" t="s">
        <v>335</v>
      </c>
      <c r="J1874" s="67" t="str">
        <f>INDEX(数据元说明!A:F,MATCH(I1874,数据元说明!C:C,0),2)</f>
        <v>001003</v>
      </c>
      <c r="K1874" s="68" t="str">
        <f>INDEX(数据元说明!A:F,MATCH(I1874,数据元说明!C:C,0),5)</f>
        <v>百分比为单位，即1/100，保留两位小数。如4.5%则填报为4.50。</v>
      </c>
      <c r="L1874" s="69" t="str">
        <f>INDEX(数据元说明!A:F,MATCH(I1874,数据元说明!C:C,0),6)</f>
        <v>D20.2</v>
      </c>
      <c r="M1874" s="69" t="s">
        <v>4183</v>
      </c>
      <c r="N1874" s="68" t="s">
        <v>1583</v>
      </c>
      <c r="O1874" s="68" t="s">
        <v>3799</v>
      </c>
      <c r="P1874" s="69"/>
    </row>
    <row r="1875" ht="39.95" hidden="1" customHeight="1" spans="1:16">
      <c r="A1875" s="89"/>
      <c r="B1875" s="73"/>
      <c r="C1875" s="73" t="s">
        <v>307</v>
      </c>
      <c r="D1875" s="73" t="s">
        <v>4139</v>
      </c>
      <c r="E1875" s="90">
        <v>1106</v>
      </c>
      <c r="F1875" s="69" t="s">
        <v>1470</v>
      </c>
      <c r="G1875" s="90">
        <v>110630</v>
      </c>
      <c r="H1875" s="69" t="s">
        <v>4184</v>
      </c>
      <c r="I1875" s="69" t="s">
        <v>1470</v>
      </c>
      <c r="J1875" s="144" t="str">
        <f>INDEX(数据元说明!A:F,MATCH(I1875,数据元说明!C:C,0),2)</f>
        <v>010085</v>
      </c>
      <c r="K1875" s="68" t="str">
        <f>INDEX(数据元说明!A:F,MATCH(I1875,数据元说明!C:C,0),5)</f>
        <v>公允价值，摊余成本。</v>
      </c>
      <c r="L1875" s="69" t="str">
        <f>INDEX(数据元说明!A:F,MATCH(I1875,数据元说明!C:C,0),6)</f>
        <v>C..30</v>
      </c>
      <c r="M1875" s="69" t="s">
        <v>4185</v>
      </c>
      <c r="N1875" s="68" t="s">
        <v>1583</v>
      </c>
      <c r="O1875" s="68" t="s">
        <v>484</v>
      </c>
      <c r="P1875" s="69"/>
    </row>
    <row r="1876" ht="39.95" hidden="1" customHeight="1" outlineLevel="1" spans="1:16">
      <c r="A1876" s="63"/>
      <c r="B1876" s="64"/>
      <c r="C1876" s="73" t="s">
        <v>307</v>
      </c>
      <c r="D1876" s="73" t="s">
        <v>4139</v>
      </c>
      <c r="E1876" s="90">
        <v>1106</v>
      </c>
      <c r="F1876" s="67" t="s">
        <v>484</v>
      </c>
      <c r="G1876" s="90">
        <v>110631</v>
      </c>
      <c r="H1876" s="67" t="s">
        <v>1623</v>
      </c>
      <c r="I1876" s="67" t="s">
        <v>484</v>
      </c>
      <c r="J1876" s="67" t="str">
        <f>INDEX(数据元说明!A:F,MATCH(I1876,数据元说明!C:C,0),2)</f>
        <v>001038</v>
      </c>
      <c r="K1876" s="68" t="str">
        <f>INDEX(数据元说明!A:F,MATCH(I1876,数据元说明!C:C,0),5)</f>
        <v>银行自定义。</v>
      </c>
      <c r="L1876" s="67" t="str">
        <f>INDEX(数据元说明!A:F,MATCH(I1876,数据元说明!C:C,0),6)</f>
        <v>C..600</v>
      </c>
      <c r="M1876" s="68" t="s">
        <v>1624</v>
      </c>
      <c r="N1876" s="68" t="s">
        <v>1583</v>
      </c>
      <c r="O1876" s="68" t="s">
        <v>4186</v>
      </c>
      <c r="P1876" s="68"/>
    </row>
    <row r="1877" ht="39.95" hidden="1" customHeight="1" collapsed="1" spans="1:16">
      <c r="A1877" s="63"/>
      <c r="B1877" s="64"/>
      <c r="C1877" s="73" t="s">
        <v>307</v>
      </c>
      <c r="D1877" s="73" t="s">
        <v>4139</v>
      </c>
      <c r="E1877" s="90">
        <v>1106</v>
      </c>
      <c r="F1877" s="67" t="s">
        <v>1625</v>
      </c>
      <c r="G1877" s="90">
        <v>110632</v>
      </c>
      <c r="H1877" s="75" t="s">
        <v>1626</v>
      </c>
      <c r="I1877" s="67" t="s">
        <v>345</v>
      </c>
      <c r="J1877" s="67" t="str">
        <f>INDEX(数据元说明!A:F,MATCH(I1877,数据元说明!C:C,0),2)</f>
        <v>001005</v>
      </c>
      <c r="K1877" s="68" t="str">
        <f>INDEX(数据元说明!A:F,MATCH(I1877,数据元说明!C:C,0),5)</f>
        <v>YYYYMMDD，默认值99991231。</v>
      </c>
      <c r="L1877" s="67" t="str">
        <f>INDEX(数据元说明!A:F,MATCH(I1877,数据元说明!C:C,0),6)</f>
        <v>C8</v>
      </c>
      <c r="M1877" s="68" t="s">
        <v>3896</v>
      </c>
      <c r="N1877" s="68" t="s">
        <v>1601</v>
      </c>
      <c r="O1877" s="68"/>
      <c r="P1877" s="69"/>
    </row>
    <row r="1878" ht="39.95" hidden="1" customHeight="1" spans="1:16">
      <c r="A1878" s="63"/>
      <c r="B1878" s="59"/>
      <c r="C1878" s="59" t="s">
        <v>310</v>
      </c>
      <c r="D1878" s="59" t="s">
        <v>4187</v>
      </c>
      <c r="E1878" s="67">
        <v>1107</v>
      </c>
      <c r="F1878" s="67"/>
      <c r="G1878" s="65"/>
      <c r="H1878" s="67" t="s">
        <v>3615</v>
      </c>
      <c r="I1878" s="67"/>
      <c r="J1878" s="67"/>
      <c r="K1878" s="69"/>
      <c r="L1878" s="67"/>
      <c r="M1878" s="68" t="s">
        <v>4188</v>
      </c>
      <c r="N1878" s="68"/>
      <c r="O1878" s="68"/>
      <c r="P1878" s="69" t="s">
        <v>4189</v>
      </c>
    </row>
    <row r="1879" ht="39.95" hidden="1" customHeight="1" spans="1:16">
      <c r="A1879" s="89"/>
      <c r="B1879" s="73"/>
      <c r="C1879" s="73" t="s">
        <v>310</v>
      </c>
      <c r="D1879" s="73" t="s">
        <v>4187</v>
      </c>
      <c r="E1879" s="90">
        <v>1107</v>
      </c>
      <c r="F1879" s="69" t="s">
        <v>3287</v>
      </c>
      <c r="G1879" s="90">
        <v>110701</v>
      </c>
      <c r="H1879" s="69" t="s">
        <v>3288</v>
      </c>
      <c r="I1879" s="69" t="s">
        <v>683</v>
      </c>
      <c r="J1879" s="67" t="str">
        <f>INDEX(数据元说明!A:F,MATCH(I1879,数据元说明!C:C,0),2)</f>
        <v>003020</v>
      </c>
      <c r="K1879" s="68" t="str">
        <f>INDEX(数据元说明!A:F,MATCH(I1879,数据元说明!C:C,0),5)</f>
        <v>合同号。</v>
      </c>
      <c r="L1879" s="69" t="str">
        <f>INDEX(数据元说明!A:F,MATCH(I1879,数据元说明!C:C,0),6)</f>
        <v>C..100</v>
      </c>
      <c r="M1879" s="69" t="s">
        <v>4190</v>
      </c>
      <c r="N1879" s="68" t="s">
        <v>1583</v>
      </c>
      <c r="O1879" s="73" t="s">
        <v>1745</v>
      </c>
      <c r="P1879" s="69"/>
    </row>
    <row r="1880" ht="39.95" hidden="1" customHeight="1" spans="1:16">
      <c r="A1880" s="70"/>
      <c r="B1880" s="71"/>
      <c r="C1880" s="73" t="s">
        <v>310</v>
      </c>
      <c r="D1880" s="73" t="s">
        <v>4187</v>
      </c>
      <c r="E1880" s="90">
        <v>1107</v>
      </c>
      <c r="F1880" s="69" t="s">
        <v>709</v>
      </c>
      <c r="G1880" s="90">
        <v>110702</v>
      </c>
      <c r="H1880" s="67" t="s">
        <v>2157</v>
      </c>
      <c r="I1880" s="67" t="s">
        <v>709</v>
      </c>
      <c r="J1880" s="67" t="str">
        <f>INDEX(数据元说明!A:F,MATCH(I1880,数据元说明!C:C,0),2)</f>
        <v>004001</v>
      </c>
      <c r="K1880" s="68" t="str">
        <f>INDEX(数据元说明!A:F,MATCH(I1880,数据元说明!C:C,0),5)</f>
        <v>唯一标识该笔交易的编号，银行自定义。可以是业务编号，也可以是交易系统中使用的时间戳，需能够体现交易次序，如：时间戳(纳秒)：1530027865231834600。</v>
      </c>
      <c r="L1880" s="67" t="str">
        <f>INDEX(数据元说明!A:F,MATCH(I1880,数据元说明!C:C,0),6)</f>
        <v>C..100</v>
      </c>
      <c r="M1880" s="68" t="s">
        <v>4191</v>
      </c>
      <c r="N1880" s="68" t="s">
        <v>1601</v>
      </c>
      <c r="O1880" s="80"/>
      <c r="P1880" s="68"/>
    </row>
    <row r="1881" ht="39.95" hidden="1" customHeight="1" spans="1:16">
      <c r="A1881" s="89"/>
      <c r="B1881" s="73"/>
      <c r="C1881" s="73" t="s">
        <v>310</v>
      </c>
      <c r="D1881" s="73" t="s">
        <v>4187</v>
      </c>
      <c r="E1881" s="90">
        <v>1107</v>
      </c>
      <c r="F1881" s="69" t="s">
        <v>1458</v>
      </c>
      <c r="G1881" s="90">
        <v>110703</v>
      </c>
      <c r="H1881" s="69" t="s">
        <v>3437</v>
      </c>
      <c r="I1881" s="69" t="s">
        <v>1458</v>
      </c>
      <c r="J1881" s="144" t="str">
        <f>INDEX(数据元说明!A:F,MATCH(I1881,数据元说明!C:C,0),2)</f>
        <v>010082</v>
      </c>
      <c r="K1881" s="68" t="str">
        <f>INDEX(数据元说明!A:F,MATCH(I1881,数据元说明!C:C,0),5)</f>
        <v>采用《金融机构编码规范》编发的法人机构代码(即金融机构代码）前6位。</v>
      </c>
      <c r="L1881" s="69" t="str">
        <f>INDEX(数据元说明!A:F,MATCH(I1881,数据元说明!C:C,0),6)</f>
        <v>C..30</v>
      </c>
      <c r="M1881" s="94"/>
      <c r="N1881" s="68"/>
      <c r="O1881" s="68"/>
      <c r="P1881" s="69"/>
    </row>
    <row r="1882" ht="39.95" hidden="1" customHeight="1" outlineLevel="1" spans="1:16">
      <c r="A1882" s="63"/>
      <c r="B1882" s="64"/>
      <c r="C1882" s="73" t="s">
        <v>310</v>
      </c>
      <c r="D1882" s="73" t="s">
        <v>4187</v>
      </c>
      <c r="E1882" s="90">
        <v>1107</v>
      </c>
      <c r="F1882" s="67" t="s">
        <v>373</v>
      </c>
      <c r="G1882" s="90">
        <v>110704</v>
      </c>
      <c r="H1882" s="67" t="s">
        <v>1588</v>
      </c>
      <c r="I1882" s="67" t="s">
        <v>373</v>
      </c>
      <c r="J1882" s="67" t="str">
        <f>INDEX(数据元说明!A:F,MATCH(I1882,数据元说明!C:C,0),2)</f>
        <v>001011</v>
      </c>
      <c r="K1882" s="68" t="str">
        <f>INDEX(数据元说明!A:F,MATCH(I1882,数据元说明!C:C,0),5)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882" s="67" t="str">
        <f>INDEX(数据元说明!A:F,MATCH(I1882,数据元说明!C:C,0),6)</f>
        <v>C..30</v>
      </c>
      <c r="M1882" s="68" t="s">
        <v>3624</v>
      </c>
      <c r="N1882" s="68" t="s">
        <v>1601</v>
      </c>
      <c r="O1882" s="68"/>
      <c r="P1882" s="68"/>
    </row>
    <row r="1883" ht="39.95" hidden="1" customHeight="1" collapsed="1" spans="1:16">
      <c r="A1883" s="89"/>
      <c r="B1883" s="73"/>
      <c r="C1883" s="73" t="s">
        <v>310</v>
      </c>
      <c r="D1883" s="73" t="s">
        <v>4187</v>
      </c>
      <c r="E1883" s="90">
        <v>1107</v>
      </c>
      <c r="F1883" s="69" t="s">
        <v>3388</v>
      </c>
      <c r="G1883" s="90">
        <v>110705</v>
      </c>
      <c r="H1883" s="69" t="s">
        <v>3389</v>
      </c>
      <c r="I1883" s="69" t="s">
        <v>325</v>
      </c>
      <c r="J1883" s="67" t="str">
        <f>INDEX(数据元说明!A:F,MATCH(I1883,数据元说明!C:C,0),2)</f>
        <v>001001</v>
      </c>
      <c r="K1883" s="68" t="str">
        <f>INDEX(数据元说明!A:F,MATCH(I1883,数据元说明!C:C,0),5)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883" s="69" t="str">
        <f>INDEX(数据元说明!A:F,MATCH(I1883,数据元说明!C:C,0),6)</f>
        <v>C..450</v>
      </c>
      <c r="M1883" s="69" t="s">
        <v>3625</v>
      </c>
      <c r="N1883" s="68" t="s">
        <v>1583</v>
      </c>
      <c r="O1883" s="68" t="s">
        <v>322</v>
      </c>
      <c r="P1883" s="69"/>
    </row>
    <row r="1884" ht="39.95" hidden="1" customHeight="1" spans="1:16">
      <c r="A1884" s="89"/>
      <c r="B1884" s="73"/>
      <c r="C1884" s="73" t="s">
        <v>310</v>
      </c>
      <c r="D1884" s="73" t="s">
        <v>4187</v>
      </c>
      <c r="E1884" s="90">
        <v>1107</v>
      </c>
      <c r="F1884" s="69" t="s">
        <v>1837</v>
      </c>
      <c r="G1884" s="90">
        <v>110706</v>
      </c>
      <c r="H1884" s="69" t="s">
        <v>1838</v>
      </c>
      <c r="I1884" s="69" t="s">
        <v>393</v>
      </c>
      <c r="J1884" s="67" t="str">
        <f>INDEX(数据元说明!A:F,MATCH(I1884,数据元说明!C:C,0),2)</f>
        <v>001016</v>
      </c>
      <c r="K1884" s="68" t="str">
        <f>INDEX(数据元说明!A:F,MATCH(I1884,数据元说明!C:C,0),5)</f>
        <v>姓名。</v>
      </c>
      <c r="L1884" s="69" t="str">
        <f>INDEX(数据元说明!A:F,MATCH(I1884,数据元说明!C:C,0),6)</f>
        <v>C..150</v>
      </c>
      <c r="M1884" s="68" t="s">
        <v>4192</v>
      </c>
      <c r="N1884" s="68" t="s">
        <v>1583</v>
      </c>
      <c r="O1884" s="68" t="s">
        <v>3097</v>
      </c>
      <c r="P1884" s="69"/>
    </row>
    <row r="1885" ht="39.95" hidden="1" customHeight="1" spans="1:16">
      <c r="A1885" s="89"/>
      <c r="B1885" s="73"/>
      <c r="C1885" s="73" t="s">
        <v>310</v>
      </c>
      <c r="D1885" s="73" t="s">
        <v>4187</v>
      </c>
      <c r="E1885" s="90">
        <v>1107</v>
      </c>
      <c r="F1885" s="69" t="s">
        <v>1972</v>
      </c>
      <c r="G1885" s="90">
        <v>110707</v>
      </c>
      <c r="H1885" s="69" t="s">
        <v>1973</v>
      </c>
      <c r="I1885" s="69" t="s">
        <v>1554</v>
      </c>
      <c r="J1885" s="144" t="str">
        <f>INDEX(数据元说明!A:F,MATCH(I1885,数据元说明!C:C,0),2)</f>
        <v>010107</v>
      </c>
      <c r="K1885" s="68" t="str">
        <f>INDEX(数据元说明!A:F,MATCH(I1885,数据元说明!C:C,0),5)</f>
        <v>1.个人客户：居民身份证，临时居民身份证，户口簿， 军官证，警官证，文职干部证，士兵证，军事院校学员证，离休干部荣誉证，军官退休证，文职干部退休证，中华人民共和国护照，外国护照，港澳往来内地通行证，台湾往来内地通行证，外国人永久居留证，其他。
2.机构客户：法人和其他组织统一社会信用代码，全国组织机构代码，企业法人营业执照号码，国税登记证号码，金融许可证号码，基本存款账户开户登记证号码，政府人事部门批文号码，编制委员会批文号码，政府人事部门登记证书号码，编制委员会登记证书号码，军队、武警财务部门开户证明号码，社会团体登记证书号码，民办非企业登记证书号码，外地常设机构住在地政府主管部门批文号码，国家主管部门颁外国驻华机构批文号码，国家登记机关颁外资企业驻华代表、办事处登记证号码，主管部门颁居民、村民、社区委员会批文号码，独立核算的附属机构批文号码，主管部门批文号码，财政部门证明号码，证券投资业务许可证号码，临时经营地工商行政管理部门批文号码，企业名称预先核准通知书号码，企业营业执照号码，个体工商户营业执照号码，地税登记证号码，宗教事务管理部门的批文或证明号码，借款合同号码，国家外汇管理部门的批复文件号码，主管部门许可证号码，建筑施工及安装合同号码，组织机构占位号码，分支机构替代号码，SPV登记编码，其他。
3.其他客户： XX。
无法以枚举类型填报的，以“XX”报送，其中“XX”为银行自定义类型。
原则上，中国境内公民的“证件类别”应选择居民身份证。中国境内机构的“证件类别”应优先选择“法人和其他组织统一社会信用代码”。</v>
      </c>
      <c r="L1885" s="69" t="str">
        <f>INDEX(数据元说明!A:F,MATCH(I1885,数据元说明!C:C,0),6)</f>
        <v>C..60</v>
      </c>
      <c r="M1885" s="68" t="s">
        <v>4193</v>
      </c>
      <c r="N1885" s="68" t="s">
        <v>1601</v>
      </c>
      <c r="O1885" s="68"/>
      <c r="P1885" s="69"/>
    </row>
    <row r="1886" ht="39.95" hidden="1" customHeight="1" spans="1:16">
      <c r="A1886" s="89"/>
      <c r="B1886" s="73"/>
      <c r="C1886" s="73" t="s">
        <v>310</v>
      </c>
      <c r="D1886" s="73" t="s">
        <v>4187</v>
      </c>
      <c r="E1886" s="90">
        <v>1107</v>
      </c>
      <c r="F1886" s="69" t="s">
        <v>1974</v>
      </c>
      <c r="G1886" s="90">
        <v>110708</v>
      </c>
      <c r="H1886" s="69" t="s">
        <v>1975</v>
      </c>
      <c r="I1886" s="69" t="s">
        <v>496</v>
      </c>
      <c r="J1886" s="67" t="str">
        <f>INDEX(数据元说明!A:F,MATCH(I1886,数据元说明!C:C,0),2)</f>
        <v>002003</v>
      </c>
      <c r="K1886" s="68" t="str">
        <f>INDEX(数据元说明!A:F,MATCH(I1886,数据元说明!C:C,0),5)</f>
        <v>与证件类别对应的证件号码。涉及个人身份证件时需按照本规范给定规则进行脱敏处理。</v>
      </c>
      <c r="L1886" s="69" t="str">
        <f>INDEX(数据元说明!A:F,MATCH(I1886,数据元说明!C:C,0),6)</f>
        <v>C..70</v>
      </c>
      <c r="M1886" s="68" t="s">
        <v>4194</v>
      </c>
      <c r="N1886" s="68" t="s">
        <v>1601</v>
      </c>
      <c r="O1886" s="68"/>
      <c r="P1886" s="69"/>
    </row>
    <row r="1887" ht="39.95" hidden="1" customHeight="1" spans="1:16">
      <c r="A1887" s="89"/>
      <c r="B1887" s="73"/>
      <c r="C1887" s="73" t="s">
        <v>310</v>
      </c>
      <c r="D1887" s="73" t="s">
        <v>4187</v>
      </c>
      <c r="E1887" s="90">
        <v>1107</v>
      </c>
      <c r="F1887" s="69" t="s">
        <v>4195</v>
      </c>
      <c r="G1887" s="90">
        <v>110709</v>
      </c>
      <c r="H1887" s="69" t="s">
        <v>4196</v>
      </c>
      <c r="I1887" s="69" t="s">
        <v>704</v>
      </c>
      <c r="J1887" s="67" t="str">
        <f>INDEX(数据元说明!A:F,MATCH(I1887,数据元说明!C:C,0),2)</f>
        <v>003025</v>
      </c>
      <c r="K1887" s="68" t="str">
        <f>INDEX(数据元说明!A:F,MATCH(I1887,数据元说明!C:C,0),5)</f>
        <v>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v>
      </c>
      <c r="L1887" s="69" t="str">
        <f>INDEX(数据元说明!A:F,MATCH(I1887,数据元说明!C:C,0),6)</f>
        <v>C..60</v>
      </c>
      <c r="M1887" s="69" t="s">
        <v>4197</v>
      </c>
      <c r="N1887" s="68" t="s">
        <v>1583</v>
      </c>
      <c r="O1887" s="68" t="s">
        <v>4198</v>
      </c>
      <c r="P1887" s="69" t="s">
        <v>4199</v>
      </c>
    </row>
    <row r="1888" ht="39.95" hidden="1" customHeight="1" spans="1:16">
      <c r="A1888" s="89"/>
      <c r="B1888" s="73"/>
      <c r="C1888" s="73" t="s">
        <v>310</v>
      </c>
      <c r="D1888" s="73" t="s">
        <v>4187</v>
      </c>
      <c r="E1888" s="90">
        <v>1107</v>
      </c>
      <c r="F1888" s="69" t="s">
        <v>4200</v>
      </c>
      <c r="G1888" s="90">
        <v>110710</v>
      </c>
      <c r="H1888" s="69" t="s">
        <v>4201</v>
      </c>
      <c r="I1888" s="69" t="s">
        <v>325</v>
      </c>
      <c r="J1888" s="67" t="str">
        <f>INDEX(数据元说明!A:F,MATCH(I1888,数据元说明!C:C,0),2)</f>
        <v>001001</v>
      </c>
      <c r="K1888" s="68" t="str">
        <f>INDEX(数据元说明!A:F,MATCH(I1888,数据元说明!C:C,0),5)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888" s="69" t="str">
        <f>INDEX(数据元说明!A:F,MATCH(I1888,数据元说明!C:C,0),6)</f>
        <v>C..450</v>
      </c>
      <c r="M1888" s="69" t="s">
        <v>4202</v>
      </c>
      <c r="N1888" s="68" t="s">
        <v>1601</v>
      </c>
      <c r="O1888" s="68"/>
      <c r="P1888" s="69"/>
    </row>
    <row r="1889" ht="39.95" hidden="1" customHeight="1" spans="1:16">
      <c r="A1889" s="89"/>
      <c r="B1889" s="73"/>
      <c r="C1889" s="73" t="s">
        <v>310</v>
      </c>
      <c r="D1889" s="73" t="s">
        <v>4187</v>
      </c>
      <c r="E1889" s="90">
        <v>1107</v>
      </c>
      <c r="F1889" s="69" t="s">
        <v>4203</v>
      </c>
      <c r="G1889" s="90">
        <v>110711</v>
      </c>
      <c r="H1889" s="69" t="s">
        <v>4204</v>
      </c>
      <c r="I1889" s="69" t="s">
        <v>1222</v>
      </c>
      <c r="J1889" s="144" t="str">
        <f>INDEX(数据元说明!A:F,MATCH(I1889,数据元说明!C:C,0),2)</f>
        <v>010023</v>
      </c>
      <c r="K1889" s="68" t="str">
        <f>INDEX(数据元说明!A:F,MATCH(I1889,数据元说明!C:C,0),5)</f>
        <v>全国，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
      <c r="L1889" s="69" t="str">
        <f>INDEX(数据元说明!A:F,MATCH(I1889,数据元说明!C:C,0),6)</f>
        <v>C..2000</v>
      </c>
      <c r="M1889" s="69" t="s">
        <v>4205</v>
      </c>
      <c r="N1889" s="68"/>
      <c r="O1889" s="68"/>
      <c r="P1889" s="69"/>
    </row>
    <row r="1890" ht="39.95" hidden="1" customHeight="1" spans="1:16">
      <c r="A1890" s="89"/>
      <c r="B1890" s="73"/>
      <c r="C1890" s="73" t="s">
        <v>310</v>
      </c>
      <c r="D1890" s="73" t="s">
        <v>4187</v>
      </c>
      <c r="E1890" s="90">
        <v>1107</v>
      </c>
      <c r="F1890" s="69" t="s">
        <v>4206</v>
      </c>
      <c r="G1890" s="90">
        <v>110712</v>
      </c>
      <c r="H1890" s="69" t="s">
        <v>4207</v>
      </c>
      <c r="I1890" s="69" t="s">
        <v>330</v>
      </c>
      <c r="J1890" s="67" t="str">
        <f>INDEX(数据元说明!A:F,MATCH(I1890,数据元说明!C:C,0),2)</f>
        <v>001002</v>
      </c>
      <c r="K1890" s="68" t="str">
        <f>INDEX(数据元说明!A:F,MATCH(I1890,数据元说明!C:C,0),5)</f>
        <v>是，否。</v>
      </c>
      <c r="L1890" s="69" t="str">
        <f>INDEX(数据元说明!A:F,MATCH(I1890,数据元说明!C:C,0),6)</f>
        <v>C3</v>
      </c>
      <c r="M1890" s="69"/>
      <c r="N1890" s="68" t="s">
        <v>1583</v>
      </c>
      <c r="O1890" s="68" t="s">
        <v>484</v>
      </c>
      <c r="P1890" s="69" t="s">
        <v>4208</v>
      </c>
    </row>
    <row r="1891" ht="39.95" hidden="1" customHeight="1" spans="1:16">
      <c r="A1891" s="89"/>
      <c r="B1891" s="73"/>
      <c r="C1891" s="73" t="s">
        <v>310</v>
      </c>
      <c r="D1891" s="73" t="s">
        <v>4187</v>
      </c>
      <c r="E1891" s="90">
        <v>1107</v>
      </c>
      <c r="F1891" s="69" t="s">
        <v>4209</v>
      </c>
      <c r="G1891" s="90">
        <v>110713</v>
      </c>
      <c r="H1891" s="69" t="s">
        <v>4210</v>
      </c>
      <c r="I1891" s="69" t="s">
        <v>325</v>
      </c>
      <c r="J1891" s="67" t="str">
        <f>INDEX(数据元说明!A:F,MATCH(I1891,数据元说明!C:C,0),2)</f>
        <v>001001</v>
      </c>
      <c r="K1891" s="68" t="str">
        <f>INDEX(数据元说明!A:F,MATCH(I1891,数据元说明!C:C,0),5)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891" s="69" t="str">
        <f>INDEX(数据元说明!A:F,MATCH(I1891,数据元说明!C:C,0),6)</f>
        <v>C..450</v>
      </c>
      <c r="M1891" s="69"/>
      <c r="N1891" s="68" t="s">
        <v>1583</v>
      </c>
      <c r="O1891" s="68" t="s">
        <v>1695</v>
      </c>
      <c r="P1891" s="69" t="s">
        <v>4208</v>
      </c>
    </row>
    <row r="1892" ht="39.95" hidden="1" customHeight="1" spans="1:16">
      <c r="A1892" s="89"/>
      <c r="B1892" s="73"/>
      <c r="C1892" s="73" t="s">
        <v>310</v>
      </c>
      <c r="D1892" s="73" t="s">
        <v>4187</v>
      </c>
      <c r="E1892" s="90">
        <v>1107</v>
      </c>
      <c r="F1892" s="69" t="s">
        <v>4211</v>
      </c>
      <c r="G1892" s="90">
        <v>110714</v>
      </c>
      <c r="H1892" s="69" t="s">
        <v>4212</v>
      </c>
      <c r="I1892" s="69" t="s">
        <v>1458</v>
      </c>
      <c r="J1892" s="144" t="str">
        <f>INDEX(数据元说明!A:F,MATCH(I1892,数据元说明!C:C,0),2)</f>
        <v>010082</v>
      </c>
      <c r="K1892" s="68" t="str">
        <f>INDEX(数据元说明!A:F,MATCH(I1892,数据元说明!C:C,0),5)</f>
        <v>采用《金融机构编码规范》编发的法人机构代码(即金融机构代码）前6位。</v>
      </c>
      <c r="L1892" s="69" t="str">
        <f>INDEX(数据元说明!A:F,MATCH(I1892,数据元说明!C:C,0),6)</f>
        <v>C..30</v>
      </c>
      <c r="M1892" s="69" t="s">
        <v>4213</v>
      </c>
      <c r="N1892" s="68"/>
      <c r="O1892" s="68"/>
      <c r="P1892" s="69"/>
    </row>
    <row r="1893" ht="39.95" hidden="1" customHeight="1" spans="1:16">
      <c r="A1893" s="89"/>
      <c r="B1893" s="73"/>
      <c r="C1893" s="73" t="s">
        <v>310</v>
      </c>
      <c r="D1893" s="73" t="s">
        <v>4187</v>
      </c>
      <c r="E1893" s="90">
        <v>1107</v>
      </c>
      <c r="F1893" s="69" t="s">
        <v>4214</v>
      </c>
      <c r="G1893" s="90">
        <v>110715</v>
      </c>
      <c r="H1893" s="69" t="s">
        <v>4215</v>
      </c>
      <c r="I1893" s="69" t="s">
        <v>1533</v>
      </c>
      <c r="J1893" s="144" t="str">
        <f>INDEX(数据元说明!A:F,MATCH(I1893,数据元说明!C:C,0),2)</f>
        <v>010101</v>
      </c>
      <c r="K1893" s="68" t="str">
        <f>INDEX(数据元说明!A:F,MATCH(I1893,数据元说明!C:C,0),5)</f>
        <v>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v>
      </c>
      <c r="L1893" s="69" t="str">
        <f>INDEX(数据元说明!A:F,MATCH(I1893,数据元说明!C:C,0),6)</f>
        <v>C..30</v>
      </c>
      <c r="M1893" s="69"/>
      <c r="N1893" s="68"/>
      <c r="O1893" s="68"/>
      <c r="P1893" s="69"/>
    </row>
    <row r="1894" ht="39.95" hidden="1" customHeight="1" spans="1:16">
      <c r="A1894" s="89"/>
      <c r="B1894" s="73"/>
      <c r="C1894" s="73" t="s">
        <v>310</v>
      </c>
      <c r="D1894" s="73" t="s">
        <v>4187</v>
      </c>
      <c r="E1894" s="90">
        <v>1107</v>
      </c>
      <c r="F1894" s="69" t="s">
        <v>3620</v>
      </c>
      <c r="G1894" s="90">
        <v>110716</v>
      </c>
      <c r="H1894" s="69" t="s">
        <v>3621</v>
      </c>
      <c r="I1894" s="69" t="s">
        <v>1160</v>
      </c>
      <c r="J1894" s="144" t="str">
        <f>INDEX(数据元说明!A:F,MATCH(I1894,数据元说明!C:C,0),2)</f>
        <v>010008</v>
      </c>
      <c r="K1894" s="68" t="str">
        <f>INDEX(数据元说明!A:F,MATCH(I1894,数据元说明!C:C,0),5)</f>
        <v>发行机构在发行登记时赋予理财产品的代码，该代码在发行机构内部具有唯一性。</v>
      </c>
      <c r="L1894" s="69" t="str">
        <f>INDEX(数据元说明!A:F,MATCH(I1894,数据元说明!C:C,0),6)</f>
        <v>C..200</v>
      </c>
      <c r="M1894" s="69"/>
      <c r="N1894" s="68" t="s">
        <v>1583</v>
      </c>
      <c r="O1894" s="68" t="s">
        <v>322</v>
      </c>
      <c r="P1894" s="69"/>
    </row>
    <row r="1895" ht="39.95" hidden="1" customHeight="1" spans="1:16">
      <c r="A1895" s="89"/>
      <c r="B1895" s="73"/>
      <c r="C1895" s="73" t="s">
        <v>310</v>
      </c>
      <c r="D1895" s="73" t="s">
        <v>4187</v>
      </c>
      <c r="E1895" s="90">
        <v>1107</v>
      </c>
      <c r="F1895" s="69" t="s">
        <v>4216</v>
      </c>
      <c r="G1895" s="90">
        <v>110717</v>
      </c>
      <c r="H1895" s="69" t="s">
        <v>4217</v>
      </c>
      <c r="I1895" s="69" t="s">
        <v>746</v>
      </c>
      <c r="J1895" s="67" t="str">
        <f>INDEX(数据元说明!A:F,MATCH(I1895,数据元说明!C:C,0),2)</f>
        <v>005001</v>
      </c>
      <c r="K1895" s="68" t="str">
        <f>INDEX(数据元说明!A:F,MATCH(I1895,数据元说明!C:C,0),5)</f>
        <v>银行内部产品中文名称，银行自定义。</v>
      </c>
      <c r="L1895" s="69" t="str">
        <f>INDEX(数据元说明!A:F,MATCH(I1895,数据元说明!C:C,0),6)</f>
        <v>C..300</v>
      </c>
      <c r="M1895" s="69" t="s">
        <v>3623</v>
      </c>
      <c r="N1895" s="68"/>
      <c r="O1895" s="68"/>
      <c r="P1895" s="69"/>
    </row>
    <row r="1896" ht="39.95" hidden="1" customHeight="1" spans="1:16">
      <c r="A1896" s="89"/>
      <c r="B1896" s="73"/>
      <c r="C1896" s="73" t="s">
        <v>310</v>
      </c>
      <c r="D1896" s="73" t="s">
        <v>4187</v>
      </c>
      <c r="E1896" s="90">
        <v>1107</v>
      </c>
      <c r="F1896" s="73" t="s">
        <v>1176</v>
      </c>
      <c r="G1896" s="90">
        <v>110718</v>
      </c>
      <c r="H1896" s="73" t="s">
        <v>3618</v>
      </c>
      <c r="I1896" s="73" t="s">
        <v>1176</v>
      </c>
      <c r="J1896" s="144" t="str">
        <f>INDEX(数据元说明!A:F,MATCH(I1896,数据元说明!C:C,0),2)</f>
        <v>010012</v>
      </c>
      <c r="K1896" s="68" t="str">
        <f>INDEX(数据元说明!A:F,MATCH(I1896,数据元说明!C:C,0),5)</f>
        <v>登记机构赋予理财产品的标识码，该码具有唯一性。</v>
      </c>
      <c r="L1896" s="69" t="str">
        <f>INDEX(数据元说明!A:F,MATCH(I1896,数据元说明!C:C,0),6)</f>
        <v>C..30</v>
      </c>
      <c r="M1896" s="69"/>
      <c r="N1896" s="68"/>
      <c r="O1896" s="68"/>
      <c r="P1896" s="69"/>
    </row>
    <row r="1897" ht="39.95" hidden="1" customHeight="1" spans="1:16">
      <c r="A1897" s="89"/>
      <c r="B1897" s="73"/>
      <c r="C1897" s="73" t="s">
        <v>310</v>
      </c>
      <c r="D1897" s="73" t="s">
        <v>4187</v>
      </c>
      <c r="E1897" s="90">
        <v>1107</v>
      </c>
      <c r="F1897" s="69" t="s">
        <v>3290</v>
      </c>
      <c r="G1897" s="90">
        <v>110719</v>
      </c>
      <c r="H1897" s="69" t="s">
        <v>3291</v>
      </c>
      <c r="I1897" s="69" t="s">
        <v>1462</v>
      </c>
      <c r="J1897" s="144" t="str">
        <f>INDEX(数据元说明!A:F,MATCH(I1897,数据元说明!C:C,0),2)</f>
        <v>010083</v>
      </c>
      <c r="K1897" s="68" t="str">
        <f>INDEX(数据元说明!A:F,MATCH(I1897,数据元说明!C:C,0),5)</f>
        <v>募集期认购，存续期申购，存续期赎回，分红，红利再投资，质押融资首期，质押融资到期，冻结，解冻，交易过户转入，交易过户转出，非交易过户转入，非交易过户转出，份额强增，份额强减，到期兑付。</v>
      </c>
      <c r="L1897" s="69" t="str">
        <f>INDEX(数据元说明!A:F,MATCH(I1897,数据元说明!C:C,0),6)</f>
        <v>C..60</v>
      </c>
      <c r="M1897" s="69"/>
      <c r="N1897" s="68"/>
      <c r="O1897" s="68"/>
      <c r="P1897" s="69"/>
    </row>
    <row r="1898" ht="39.95" hidden="1" customHeight="1" spans="1:16">
      <c r="A1898" s="89"/>
      <c r="B1898" s="73"/>
      <c r="C1898" s="73" t="s">
        <v>310</v>
      </c>
      <c r="D1898" s="73" t="s">
        <v>4187</v>
      </c>
      <c r="E1898" s="90">
        <v>1107</v>
      </c>
      <c r="F1898" s="69" t="s">
        <v>642</v>
      </c>
      <c r="G1898" s="90">
        <v>110720</v>
      </c>
      <c r="H1898" s="69" t="s">
        <v>1914</v>
      </c>
      <c r="I1898" s="69" t="s">
        <v>642</v>
      </c>
      <c r="J1898" s="67" t="str">
        <f>INDEX(数据元说明!A:F,MATCH(I1898,数据元说明!C:C,0),2)</f>
        <v>003010</v>
      </c>
      <c r="K1898" s="68" t="str">
        <f>INDEX(数据元说明!A:F,MATCH(I1898,数据元说明!C:C,0),5)</f>
        <v>遵循《GB/T 12406 表示货币和资金的代码》的字母代码，如CNY。上述文件所列币种无法涵盖的，允许银行自定义填报。多个币种合计折算为人民币（本外币合计）的，填报为BWB。</v>
      </c>
      <c r="L1898" s="69" t="str">
        <f>INDEX(数据元说明!A:F,MATCH(I1898,数据元说明!C:C,0),6)</f>
        <v>C3</v>
      </c>
      <c r="M1898" s="69"/>
      <c r="N1898" s="68"/>
      <c r="O1898" s="68"/>
      <c r="P1898" s="69"/>
    </row>
    <row r="1899" ht="39.95" hidden="1" customHeight="1" spans="1:16">
      <c r="A1899" s="89"/>
      <c r="B1899" s="73"/>
      <c r="C1899" s="73" t="s">
        <v>310</v>
      </c>
      <c r="D1899" s="73" t="s">
        <v>4187</v>
      </c>
      <c r="E1899" s="90">
        <v>1107</v>
      </c>
      <c r="F1899" s="69" t="s">
        <v>4218</v>
      </c>
      <c r="G1899" s="90">
        <v>110721</v>
      </c>
      <c r="H1899" s="69" t="s">
        <v>4219</v>
      </c>
      <c r="I1899" s="69" t="s">
        <v>345</v>
      </c>
      <c r="J1899" s="67" t="str">
        <f>INDEX(数据元说明!A:F,MATCH(I1899,数据元说明!C:C,0),2)</f>
        <v>001005</v>
      </c>
      <c r="K1899" s="68" t="str">
        <f>INDEX(数据元说明!A:F,MATCH(I1899,数据元说明!C:C,0),5)</f>
        <v>YYYYMMDD，默认值99991231。</v>
      </c>
      <c r="L1899" s="69" t="str">
        <f>INDEX(数据元说明!A:F,MATCH(I1899,数据元说明!C:C,0),6)</f>
        <v>C8</v>
      </c>
      <c r="M1899" s="69" t="s">
        <v>4220</v>
      </c>
      <c r="N1899" s="68"/>
      <c r="O1899" s="68"/>
      <c r="P1899" s="69"/>
    </row>
    <row r="1900" ht="39.95" hidden="1" customHeight="1" spans="1:16">
      <c r="A1900" s="89"/>
      <c r="B1900" s="73"/>
      <c r="C1900" s="73" t="s">
        <v>310</v>
      </c>
      <c r="D1900" s="73" t="s">
        <v>4187</v>
      </c>
      <c r="E1900" s="90">
        <v>1107</v>
      </c>
      <c r="F1900" s="69" t="s">
        <v>4221</v>
      </c>
      <c r="G1900" s="90">
        <v>110722</v>
      </c>
      <c r="H1900" s="69" t="s">
        <v>4222</v>
      </c>
      <c r="I1900" s="69" t="s">
        <v>355</v>
      </c>
      <c r="J1900" s="67" t="str">
        <f>INDEX(数据元说明!A:F,MATCH(I1900,数据元说明!C:C,0),2)</f>
        <v>001007</v>
      </c>
      <c r="K1900" s="68" t="str">
        <f>INDEX(数据元说明!A:F,MATCH(I1900,数据元说明!C:C,0),5)</f>
        <v>24小时制时间，精确到秒。hhmmss，默认值000000。</v>
      </c>
      <c r="L1900" s="69" t="str">
        <f>INDEX(数据元说明!A:F,MATCH(I1900,数据元说明!C:C,0),6)</f>
        <v>C6</v>
      </c>
      <c r="M1900" s="69" t="s">
        <v>4223</v>
      </c>
      <c r="N1900" s="68"/>
      <c r="O1900" s="68"/>
      <c r="P1900" s="69"/>
    </row>
    <row r="1901" ht="39.95" hidden="1" customHeight="1" spans="1:16">
      <c r="A1901" s="89"/>
      <c r="B1901" s="73"/>
      <c r="C1901" s="73" t="s">
        <v>310</v>
      </c>
      <c r="D1901" s="73" t="s">
        <v>4187</v>
      </c>
      <c r="E1901" s="90">
        <v>1107</v>
      </c>
      <c r="F1901" s="91" t="s">
        <v>4224</v>
      </c>
      <c r="G1901" s="90">
        <v>110723</v>
      </c>
      <c r="H1901" s="69" t="s">
        <v>4225</v>
      </c>
      <c r="I1901" s="69" t="s">
        <v>1301</v>
      </c>
      <c r="J1901" s="144" t="str">
        <f>INDEX(数据元说明!A:F,MATCH(I1901,数据元说明!C:C,0),2)</f>
        <v>010043</v>
      </c>
      <c r="K1901" s="68" t="str">
        <f>INDEX(数据元说明!A:F,MATCH(I1901,数据元说明!C:C,0),5)</f>
        <v>理财产品份额的单位价值。</v>
      </c>
      <c r="L1901" s="69" t="str">
        <f>INDEX(数据元说明!A:F,MATCH(I1901,数据元说明!C:C,0),6)</f>
        <v>D20.6</v>
      </c>
      <c r="M1901" s="69"/>
      <c r="N1901" s="68" t="s">
        <v>1583</v>
      </c>
      <c r="O1901" s="68" t="s">
        <v>322</v>
      </c>
      <c r="P1901" s="69"/>
    </row>
    <row r="1902" ht="39.95" hidden="1" customHeight="1" spans="1:16">
      <c r="A1902" s="89"/>
      <c r="B1902" s="73"/>
      <c r="C1902" s="73" t="s">
        <v>310</v>
      </c>
      <c r="D1902" s="73" t="s">
        <v>4187</v>
      </c>
      <c r="E1902" s="90">
        <v>1107</v>
      </c>
      <c r="F1902" s="69" t="s">
        <v>4226</v>
      </c>
      <c r="G1902" s="90">
        <v>110724</v>
      </c>
      <c r="H1902" s="69" t="s">
        <v>4227</v>
      </c>
      <c r="I1902" s="69" t="s">
        <v>634</v>
      </c>
      <c r="J1902" s="67" t="str">
        <f>INDEX(数据元说明!A:F,MATCH(I1902,数据元说明!C:C,0),2)</f>
        <v>003008</v>
      </c>
      <c r="K1902" s="68" t="str">
        <f>INDEX(数据元说明!A:F,MATCH(I1902,数据元说明!C:C,0),5)</f>
        <v>与币种相对应金额。</v>
      </c>
      <c r="L1902" s="69" t="str">
        <f>INDEX(数据元说明!A:F,MATCH(I1902,数据元说明!C:C,0),6)</f>
        <v>D20.2</v>
      </c>
      <c r="M1902" s="69" t="s">
        <v>4228</v>
      </c>
      <c r="N1902" s="68" t="s">
        <v>1583</v>
      </c>
      <c r="O1902" s="68" t="s">
        <v>2888</v>
      </c>
      <c r="P1902" s="69"/>
    </row>
    <row r="1903" ht="39.95" hidden="1" customHeight="1" spans="1:16">
      <c r="A1903" s="89"/>
      <c r="B1903" s="73"/>
      <c r="C1903" s="73" t="s">
        <v>310</v>
      </c>
      <c r="D1903" s="73" t="s">
        <v>4187</v>
      </c>
      <c r="E1903" s="90">
        <v>1107</v>
      </c>
      <c r="F1903" s="69" t="s">
        <v>4170</v>
      </c>
      <c r="G1903" s="90">
        <v>110725</v>
      </c>
      <c r="H1903" s="69" t="s">
        <v>4171</v>
      </c>
      <c r="I1903" s="69" t="s">
        <v>1537</v>
      </c>
      <c r="J1903" s="144" t="str">
        <f>INDEX(数据元说明!A:F,MATCH(I1903,数据元说明!C:C,0),2)</f>
        <v>010102</v>
      </c>
      <c r="K1903" s="68" t="str">
        <f>INDEX(数据元说明!A:F,MATCH(I1903,数据元说明!C:C,0),5)</f>
        <v>折算人民币的金额</v>
      </c>
      <c r="L1903" s="69" t="str">
        <f>INDEX(数据元说明!A:F,MATCH(I1903,数据元说明!C:C,0),6)</f>
        <v>D20.2</v>
      </c>
      <c r="M1903" s="69" t="s">
        <v>4229</v>
      </c>
      <c r="N1903" s="68" t="s">
        <v>1583</v>
      </c>
      <c r="O1903" s="68" t="s">
        <v>3856</v>
      </c>
      <c r="P1903" s="69"/>
    </row>
    <row r="1904" ht="39.95" hidden="1" customHeight="1" spans="1:16">
      <c r="A1904" s="89"/>
      <c r="B1904" s="73"/>
      <c r="C1904" s="73" t="s">
        <v>310</v>
      </c>
      <c r="D1904" s="73" t="s">
        <v>4187</v>
      </c>
      <c r="E1904" s="90">
        <v>1107</v>
      </c>
      <c r="F1904" s="69" t="s">
        <v>4230</v>
      </c>
      <c r="G1904" s="90">
        <v>110726</v>
      </c>
      <c r="H1904" s="69" t="s">
        <v>4231</v>
      </c>
      <c r="I1904" s="69" t="s">
        <v>1418</v>
      </c>
      <c r="J1904" s="144" t="str">
        <f>INDEX(数据元说明!A:F,MATCH(I1904,数据元说明!C:C,0),2)</f>
        <v>010072</v>
      </c>
      <c r="K1904" s="68" t="str">
        <f>INDEX(数据元说明!A:F,MATCH(I1904,数据元说明!C:C,0),5)</f>
        <v>产品份额或资产的数量。</v>
      </c>
      <c r="L1904" s="69" t="str">
        <f>INDEX(数据元说明!A:F,MATCH(I1904,数据元说明!C:C,0),6)</f>
        <v>D20.6</v>
      </c>
      <c r="M1904" s="69"/>
      <c r="N1904" s="68" t="s">
        <v>1583</v>
      </c>
      <c r="O1904" s="68" t="s">
        <v>3097</v>
      </c>
      <c r="P1904" s="69"/>
    </row>
    <row r="1905" ht="39.95" hidden="1" customHeight="1" spans="1:16">
      <c r="A1905" s="89"/>
      <c r="B1905" s="73"/>
      <c r="C1905" s="73" t="s">
        <v>310</v>
      </c>
      <c r="D1905" s="73" t="s">
        <v>4187</v>
      </c>
      <c r="E1905" s="90">
        <v>1107</v>
      </c>
      <c r="F1905" s="69" t="s">
        <v>2692</v>
      </c>
      <c r="G1905" s="90">
        <v>110727</v>
      </c>
      <c r="H1905" s="69" t="s">
        <v>2693</v>
      </c>
      <c r="I1905" s="69" t="s">
        <v>634</v>
      </c>
      <c r="J1905" s="67" t="str">
        <f>INDEX(数据元说明!A:F,MATCH(I1905,数据元说明!C:C,0),2)</f>
        <v>003008</v>
      </c>
      <c r="K1905" s="68" t="str">
        <f>INDEX(数据元说明!A:F,MATCH(I1905,数据元说明!C:C,0),5)</f>
        <v>与币种相对应金额。</v>
      </c>
      <c r="L1905" s="69" t="str">
        <f>INDEX(数据元说明!A:F,MATCH(I1905,数据元说明!C:C,0),6)</f>
        <v>D20.2</v>
      </c>
      <c r="M1905" s="69"/>
      <c r="N1905" s="68" t="s">
        <v>1583</v>
      </c>
      <c r="O1905" s="68" t="s">
        <v>2888</v>
      </c>
      <c r="P1905" s="69"/>
    </row>
    <row r="1906" ht="39.95" hidden="1" customHeight="1" spans="1:16">
      <c r="A1906" s="89"/>
      <c r="B1906" s="73"/>
      <c r="C1906" s="73" t="s">
        <v>310</v>
      </c>
      <c r="D1906" s="73" t="s">
        <v>4187</v>
      </c>
      <c r="E1906" s="90">
        <v>1107</v>
      </c>
      <c r="F1906" s="69" t="s">
        <v>717</v>
      </c>
      <c r="G1906" s="90">
        <v>110728</v>
      </c>
      <c r="H1906" s="69" t="s">
        <v>2191</v>
      </c>
      <c r="I1906" s="69" t="s">
        <v>717</v>
      </c>
      <c r="J1906" s="67" t="str">
        <f>INDEX(数据元说明!A:F,MATCH(I1906,数据元说明!C:C,0),2)</f>
        <v>004003</v>
      </c>
      <c r="K1906" s="68" t="str">
        <f>INDEX(数据元说明!A:F,MATCH(I1906,数据元说明!C:C,0),5)</f>
        <v>柜面，ATM，VTM，POS，网银，手机银行，银联交易，第三方支付-银行自定义，其他-银行自定义。交易类型为第三方支付的，以“第三方支付-XX”填报，其中“XX”为第三方支付平台名称。如无法以枚举类型填报，则以“其他-XX”填报，其中“XX”为银行自定义类型。</v>
      </c>
      <c r="L1906" s="69" t="str">
        <f>INDEX(数据元说明!A:F,MATCH(I1906,数据元说明!C:C,0),6)</f>
        <v>C..60</v>
      </c>
      <c r="M1906" s="69" t="s">
        <v>4232</v>
      </c>
      <c r="N1906" s="68" t="s">
        <v>1583</v>
      </c>
      <c r="O1906" s="68" t="s">
        <v>4233</v>
      </c>
      <c r="P1906" s="69"/>
    </row>
    <row r="1907" ht="39.95" hidden="1" customHeight="1" spans="1:16">
      <c r="A1907" s="89"/>
      <c r="B1907" s="73"/>
      <c r="C1907" s="73" t="s">
        <v>310</v>
      </c>
      <c r="D1907" s="73" t="s">
        <v>4187</v>
      </c>
      <c r="E1907" s="90">
        <v>1107</v>
      </c>
      <c r="F1907" s="69" t="s">
        <v>2207</v>
      </c>
      <c r="G1907" s="90">
        <v>110729</v>
      </c>
      <c r="H1907" s="69" t="s">
        <v>2208</v>
      </c>
      <c r="I1907" s="69" t="s">
        <v>409</v>
      </c>
      <c r="J1907" s="67" t="str">
        <f>INDEX(数据元说明!A:F,MATCH(I1907,数据元说明!C:C,0),2)</f>
        <v>001020</v>
      </c>
      <c r="K1907" s="68" t="str">
        <f>INDEX(数据元说明!A:F,MATCH(I1907,数据元说明!C:C,0),5)</f>
        <v>柜员编号，银行自定义。</v>
      </c>
      <c r="L1907" s="69" t="str">
        <f>INDEX(数据元说明!A:F,MATCH(I1907,数据元说明!C:C,0),6)</f>
        <v>C..30</v>
      </c>
      <c r="M1907" s="69" t="s">
        <v>4234</v>
      </c>
      <c r="N1907" s="68" t="s">
        <v>1583</v>
      </c>
      <c r="O1907" s="68" t="s">
        <v>1695</v>
      </c>
      <c r="P1907" s="69"/>
    </row>
    <row r="1908" ht="39.95" hidden="1" customHeight="1" outlineLevel="1" spans="1:16">
      <c r="A1908" s="63"/>
      <c r="B1908" s="64"/>
      <c r="C1908" s="73" t="s">
        <v>310</v>
      </c>
      <c r="D1908" s="73" t="s">
        <v>4187</v>
      </c>
      <c r="E1908" s="90">
        <v>1107</v>
      </c>
      <c r="F1908" s="67" t="s">
        <v>484</v>
      </c>
      <c r="G1908" s="90">
        <v>110730</v>
      </c>
      <c r="H1908" s="67" t="s">
        <v>1623</v>
      </c>
      <c r="I1908" s="67" t="s">
        <v>484</v>
      </c>
      <c r="J1908" s="67" t="str">
        <f>INDEX(数据元说明!A:F,MATCH(I1908,数据元说明!C:C,0),2)</f>
        <v>001038</v>
      </c>
      <c r="K1908" s="68" t="str">
        <f>INDEX(数据元说明!A:F,MATCH(I1908,数据元说明!C:C,0),5)</f>
        <v>银行自定义。</v>
      </c>
      <c r="L1908" s="67" t="str">
        <f>INDEX(数据元说明!A:F,MATCH(I1908,数据元说明!C:C,0),6)</f>
        <v>C..600</v>
      </c>
      <c r="M1908" s="68" t="s">
        <v>1624</v>
      </c>
      <c r="N1908" s="68" t="s">
        <v>1583</v>
      </c>
      <c r="O1908" s="68" t="s">
        <v>4186</v>
      </c>
      <c r="P1908" s="68"/>
    </row>
    <row r="1909" ht="39.95" hidden="1" customHeight="1" collapsed="1" spans="1:16">
      <c r="A1909" s="89"/>
      <c r="B1909" s="73"/>
      <c r="C1909" s="73" t="s">
        <v>310</v>
      </c>
      <c r="D1909" s="73" t="s">
        <v>4187</v>
      </c>
      <c r="E1909" s="90">
        <v>1107</v>
      </c>
      <c r="F1909" s="69" t="s">
        <v>1625</v>
      </c>
      <c r="G1909" s="90">
        <v>110731</v>
      </c>
      <c r="H1909" s="69" t="s">
        <v>1626</v>
      </c>
      <c r="I1909" s="69" t="s">
        <v>345</v>
      </c>
      <c r="J1909" s="67" t="str">
        <f>INDEX(数据元说明!A:F,MATCH(I1909,数据元说明!C:C,0),2)</f>
        <v>001005</v>
      </c>
      <c r="K1909" s="68" t="str">
        <f>INDEX(数据元说明!A:F,MATCH(I1909,数据元说明!C:C,0),5)</f>
        <v>YYYYMMDD，默认值99991231。</v>
      </c>
      <c r="L1909" s="69" t="str">
        <f>INDEX(数据元说明!A:F,MATCH(I1909,数据元说明!C:C,0),6)</f>
        <v>C8</v>
      </c>
      <c r="M1909" s="69" t="s">
        <v>2071</v>
      </c>
      <c r="N1909" s="68"/>
      <c r="O1909" s="68"/>
      <c r="P1909" s="69"/>
    </row>
    <row r="1910" ht="39.95" hidden="1" customHeight="1" spans="1:16">
      <c r="A1910" s="63"/>
      <c r="B1910" s="59"/>
      <c r="C1910" s="59" t="s">
        <v>313</v>
      </c>
      <c r="D1910" s="59" t="s">
        <v>4235</v>
      </c>
      <c r="E1910" s="67">
        <v>1108</v>
      </c>
      <c r="F1910" s="67"/>
      <c r="G1910" s="65"/>
      <c r="H1910" s="67" t="s">
        <v>3615</v>
      </c>
      <c r="I1910" s="67"/>
      <c r="J1910" s="67"/>
      <c r="K1910" s="69"/>
      <c r="L1910" s="67"/>
      <c r="M1910" s="68" t="s">
        <v>4236</v>
      </c>
      <c r="N1910" s="68" t="s">
        <v>1601</v>
      </c>
      <c r="O1910" s="68"/>
      <c r="P1910" s="69"/>
    </row>
    <row r="1911" ht="39.95" hidden="1" customHeight="1" spans="1:16">
      <c r="A1911" s="89"/>
      <c r="B1911" s="73"/>
      <c r="C1911" s="73" t="s">
        <v>313</v>
      </c>
      <c r="D1911" s="73" t="s">
        <v>4235</v>
      </c>
      <c r="E1911" s="90">
        <v>1108</v>
      </c>
      <c r="F1911" s="69" t="s">
        <v>1458</v>
      </c>
      <c r="G1911" s="90">
        <v>110801</v>
      </c>
      <c r="H1911" s="69" t="s">
        <v>1584</v>
      </c>
      <c r="I1911" s="69" t="s">
        <v>1458</v>
      </c>
      <c r="J1911" s="144" t="str">
        <f>INDEX(数据元说明!A:F,MATCH(I1911,数据元说明!C:C,0),2)</f>
        <v>010082</v>
      </c>
      <c r="K1911" s="68" t="str">
        <f>INDEX(数据元说明!A:F,MATCH(I1911,数据元说明!C:C,0),5)</f>
        <v>采用《金融机构编码规范》编发的法人机构代码(即金融机构代码）前6位。</v>
      </c>
      <c r="L1911" s="69" t="str">
        <f>INDEX(数据元说明!A:F,MATCH(I1911,数据元说明!C:C,0),6)</f>
        <v>C..30</v>
      </c>
      <c r="M1911" s="69"/>
      <c r="N1911" s="68"/>
      <c r="O1911" s="68"/>
      <c r="P1911" s="69"/>
    </row>
    <row r="1912" ht="39.95" hidden="1" customHeight="1" outlineLevel="1" spans="1:16">
      <c r="A1912" s="63"/>
      <c r="B1912" s="64"/>
      <c r="C1912" s="73" t="s">
        <v>313</v>
      </c>
      <c r="D1912" s="73" t="s">
        <v>4235</v>
      </c>
      <c r="E1912" s="90">
        <v>1108</v>
      </c>
      <c r="F1912" s="67" t="s">
        <v>373</v>
      </c>
      <c r="G1912" s="90">
        <v>110802</v>
      </c>
      <c r="H1912" s="67" t="s">
        <v>1588</v>
      </c>
      <c r="I1912" s="67" t="s">
        <v>373</v>
      </c>
      <c r="J1912" s="67" t="str">
        <f>INDEX(数据元说明!A:F,MATCH(I1912,数据元说明!C:C,0),2)</f>
        <v>001011</v>
      </c>
      <c r="K1912" s="68" t="str">
        <f>INDEX(数据元说明!A:F,MATCH(I1912,数据元说明!C:C,0),5)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912" s="67" t="str">
        <f>INDEX(数据元说明!A:F,MATCH(I1912,数据元说明!C:C,0),6)</f>
        <v>C..30</v>
      </c>
      <c r="M1912" s="68" t="s">
        <v>3624</v>
      </c>
      <c r="N1912" s="68" t="s">
        <v>1601</v>
      </c>
      <c r="O1912" s="68"/>
      <c r="P1912" s="68"/>
    </row>
    <row r="1913" ht="39.95" hidden="1" customHeight="1" collapsed="1" spans="1:16">
      <c r="A1913" s="89"/>
      <c r="B1913" s="73"/>
      <c r="C1913" s="73" t="s">
        <v>313</v>
      </c>
      <c r="D1913" s="73" t="s">
        <v>4235</v>
      </c>
      <c r="E1913" s="90">
        <v>1108</v>
      </c>
      <c r="F1913" s="69" t="s">
        <v>3388</v>
      </c>
      <c r="G1913" s="90">
        <v>110803</v>
      </c>
      <c r="H1913" s="69" t="s">
        <v>1593</v>
      </c>
      <c r="I1913" s="69" t="s">
        <v>325</v>
      </c>
      <c r="J1913" s="67" t="str">
        <f>INDEX(数据元说明!A:F,MATCH(I1913,数据元说明!C:C,0),2)</f>
        <v>001001</v>
      </c>
      <c r="K1913" s="68" t="str">
        <f>INDEX(数据元说明!A:F,MATCH(I1913,数据元说明!C:C,0),5)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v>
      </c>
      <c r="L1913" s="69" t="str">
        <f>INDEX(数据元说明!A:F,MATCH(I1913,数据元说明!C:C,0),6)</f>
        <v>C..450</v>
      </c>
      <c r="M1913" s="69" t="s">
        <v>3625</v>
      </c>
      <c r="N1913" s="68"/>
      <c r="O1913" s="68"/>
      <c r="P1913" s="69"/>
    </row>
    <row r="1914" ht="39.95" hidden="1" customHeight="1" spans="1:16">
      <c r="A1914" s="89"/>
      <c r="B1914" s="73"/>
      <c r="C1914" s="73" t="s">
        <v>313</v>
      </c>
      <c r="D1914" s="73" t="s">
        <v>4235</v>
      </c>
      <c r="E1914" s="90">
        <v>1108</v>
      </c>
      <c r="F1914" s="69" t="s">
        <v>642</v>
      </c>
      <c r="G1914" s="90">
        <v>110804</v>
      </c>
      <c r="H1914" s="69" t="s">
        <v>1914</v>
      </c>
      <c r="I1914" s="69" t="s">
        <v>642</v>
      </c>
      <c r="J1914" s="67" t="str">
        <f>INDEX(数据元说明!A:F,MATCH(I1914,数据元说明!C:C,0),2)</f>
        <v>003010</v>
      </c>
      <c r="K1914" s="68" t="str">
        <f>INDEX(数据元说明!A:F,MATCH(I1914,数据元说明!C:C,0),5)</f>
        <v>遵循《GB/T 12406 表示货币和资金的代码》的字母代码，如CNY。上述文件所列币种无法涵盖的，允许银行自定义填报。多个币种合计折算为人民币（本外币合计）的，填报为BWB。</v>
      </c>
      <c r="L1914" s="69" t="str">
        <f>INDEX(数据元说明!A:F,MATCH(I1914,数据元说明!C:C,0),6)</f>
        <v>C3</v>
      </c>
      <c r="M1914" s="69" t="s">
        <v>4237</v>
      </c>
      <c r="N1914" s="68"/>
      <c r="O1914" s="68"/>
      <c r="P1914" s="69"/>
    </row>
    <row r="1915" ht="39.95" hidden="1" customHeight="1" spans="1:16">
      <c r="A1915" s="89"/>
      <c r="B1915" s="73"/>
      <c r="C1915" s="73" t="s">
        <v>313</v>
      </c>
      <c r="D1915" s="73" t="s">
        <v>4235</v>
      </c>
      <c r="E1915" s="90">
        <v>1108</v>
      </c>
      <c r="F1915" s="69" t="s">
        <v>1837</v>
      </c>
      <c r="G1915" s="90">
        <v>110805</v>
      </c>
      <c r="H1915" s="69" t="s">
        <v>1838</v>
      </c>
      <c r="I1915" s="69" t="s">
        <v>393</v>
      </c>
      <c r="J1915" s="67" t="str">
        <f>INDEX(数据元说明!A:F,MATCH(I1915,数据元说明!C:C,0),2)</f>
        <v>001016</v>
      </c>
      <c r="K1915" s="68" t="str">
        <f>INDEX(数据元说明!A:F,MATCH(I1915,数据元说明!C:C,0),5)</f>
        <v>姓名。</v>
      </c>
      <c r="L1915" s="69" t="str">
        <f>INDEX(数据元说明!A:F,MATCH(I1915,数据元说明!C:C,0),6)</f>
        <v>C..150</v>
      </c>
      <c r="M1915" s="69" t="s">
        <v>4238</v>
      </c>
      <c r="N1915" s="68"/>
      <c r="O1915" s="68"/>
      <c r="P1915" s="69"/>
    </row>
    <row r="1916" ht="39.95" hidden="1" customHeight="1" spans="1:16">
      <c r="A1916" s="89"/>
      <c r="B1916" s="73"/>
      <c r="C1916" s="73" t="s">
        <v>313</v>
      </c>
      <c r="D1916" s="73" t="s">
        <v>4235</v>
      </c>
      <c r="E1916" s="90">
        <v>1108</v>
      </c>
      <c r="F1916" s="69" t="s">
        <v>1972</v>
      </c>
      <c r="G1916" s="90">
        <v>110806</v>
      </c>
      <c r="H1916" s="69" t="s">
        <v>1973</v>
      </c>
      <c r="I1916" s="69" t="s">
        <v>1554</v>
      </c>
      <c r="J1916" s="144" t="str">
        <f>INDEX(数据元说明!A:F,MATCH(I1916,数据元说明!C:C,0),2)</f>
        <v>010107</v>
      </c>
      <c r="K1916" s="68" t="str">
        <f>INDEX(数据元说明!A:F,MATCH(I1916,数据元说明!C:C,0),5)</f>
        <v>1.个人客户：居民身份证，临时居民身份证，户口簿， 军官证，警官证，文职干部证，士兵证，军事院校学员证，离休干部荣誉证，军官退休证，文职干部退休证，中华人民共和国护照，外国护照，港澳往来内地通行证，台湾往来内地通行证，外国人永久居留证，其他。
2.机构客户：法人和其他组织统一社会信用代码，全国组织机构代码，企业法人营业执照号码，国税登记证号码，金融许可证号码，基本存款账户开户登记证号码，政府人事部门批文号码，编制委员会批文号码，政府人事部门登记证书号码，编制委员会登记证书号码，军队、武警财务部门开户证明号码，社会团体登记证书号码，民办非企业登记证书号码，外地常设机构住在地政府主管部门批文号码，国家主管部门颁外国驻华机构批文号码，国家登记机关颁外资企业驻华代表、办事处登记证号码，主管部门颁居民、村民、社区委员会批文号码，独立核算的附属机构批文号码，主管部门批文号码，财政部门证明号码，证券投资业务许可证号码，临时经营地工商行政管理部门批文号码，企业名称预先核准通知书号码，企业营业执照号码，个体工商户营业执照号码，地税登记证号码，宗教事务管理部门的批文或证明号码，借款合同号码，国家外汇管理部门的批复文件号码，主管部门许可证号码，建筑施工及安装合同号码，组织机构占位号码，分支机构替代号码，SPV登记编码，其他。
3.其他客户： XX。
无法以枚举类型填报的，以“XX”报送，其中“XX”为银行自定义类型。
原则上，中国境内公民的“证件类别”应选择居民身份证。中国境内机构的“证件类别”应优先选择“法人和其他组织统一社会信用代码”。</v>
      </c>
      <c r="L1916" s="69" t="str">
        <f>INDEX(数据元说明!A:F,MATCH(I1916,数据元说明!C:C,0),6)</f>
        <v>C..60</v>
      </c>
      <c r="M1916" s="68" t="s">
        <v>4239</v>
      </c>
      <c r="N1916" s="68"/>
      <c r="O1916" s="68"/>
      <c r="P1916" s="69"/>
    </row>
    <row r="1917" ht="39.95" hidden="1" customHeight="1" spans="1:16">
      <c r="A1917" s="89"/>
      <c r="B1917" s="73"/>
      <c r="C1917" s="73" t="s">
        <v>313</v>
      </c>
      <c r="D1917" s="73" t="s">
        <v>4235</v>
      </c>
      <c r="E1917" s="90">
        <v>1108</v>
      </c>
      <c r="F1917" s="69" t="s">
        <v>1974</v>
      </c>
      <c r="G1917" s="90">
        <v>110807</v>
      </c>
      <c r="H1917" s="69" t="s">
        <v>1975</v>
      </c>
      <c r="I1917" s="69" t="s">
        <v>496</v>
      </c>
      <c r="J1917" s="67" t="str">
        <f>INDEX(数据元说明!A:F,MATCH(I1917,数据元说明!C:C,0),2)</f>
        <v>002003</v>
      </c>
      <c r="K1917" s="68" t="str">
        <f>INDEX(数据元说明!A:F,MATCH(I1917,数据元说明!C:C,0),5)</f>
        <v>与证件类别对应的证件号码。涉及个人身份证件时需按照本规范给定规则进行脱敏处理。</v>
      </c>
      <c r="L1917" s="69" t="str">
        <f>INDEX(数据元说明!A:F,MATCH(I1917,数据元说明!C:C,0),6)</f>
        <v>C..70</v>
      </c>
      <c r="M1917" s="68" t="s">
        <v>4240</v>
      </c>
      <c r="N1917" s="68"/>
      <c r="O1917" s="68"/>
      <c r="P1917" s="69"/>
    </row>
    <row r="1918" ht="39.95" hidden="1" customHeight="1" spans="1:16">
      <c r="A1918" s="89"/>
      <c r="B1918" s="73"/>
      <c r="C1918" s="73" t="s">
        <v>313</v>
      </c>
      <c r="D1918" s="73" t="s">
        <v>4235</v>
      </c>
      <c r="E1918" s="90">
        <v>1108</v>
      </c>
      <c r="F1918" s="69" t="s">
        <v>4216</v>
      </c>
      <c r="G1918" s="90">
        <v>110808</v>
      </c>
      <c r="H1918" s="69" t="s">
        <v>4217</v>
      </c>
      <c r="I1918" s="69" t="s">
        <v>746</v>
      </c>
      <c r="J1918" s="67" t="str">
        <f>INDEX(数据元说明!A:F,MATCH(I1918,数据元说明!C:C,0),2)</f>
        <v>005001</v>
      </c>
      <c r="K1918" s="68" t="str">
        <f>INDEX(数据元说明!A:F,MATCH(I1918,数据元说明!C:C,0),5)</f>
        <v>银行内部产品中文名称，银行自定义。</v>
      </c>
      <c r="L1918" s="69" t="str">
        <f>INDEX(数据元说明!A:F,MATCH(I1918,数据元说明!C:C,0),6)</f>
        <v>C..300</v>
      </c>
      <c r="M1918" s="69" t="s">
        <v>4241</v>
      </c>
      <c r="N1918" s="68"/>
      <c r="O1918" s="68"/>
      <c r="P1918" s="69"/>
    </row>
    <row r="1919" ht="39.95" hidden="1" customHeight="1" spans="1:16">
      <c r="A1919" s="89"/>
      <c r="B1919" s="73"/>
      <c r="C1919" s="73" t="s">
        <v>313</v>
      </c>
      <c r="D1919" s="73" t="s">
        <v>4235</v>
      </c>
      <c r="E1919" s="90">
        <v>1108</v>
      </c>
      <c r="F1919" s="69" t="s">
        <v>1176</v>
      </c>
      <c r="G1919" s="90">
        <v>110809</v>
      </c>
      <c r="H1919" s="69" t="s">
        <v>3618</v>
      </c>
      <c r="I1919" s="69" t="s">
        <v>1176</v>
      </c>
      <c r="J1919" s="144" t="str">
        <f>INDEX(数据元说明!A:F,MATCH(I1919,数据元说明!C:C,0),2)</f>
        <v>010012</v>
      </c>
      <c r="K1919" s="68" t="str">
        <f>INDEX(数据元说明!A:F,MATCH(I1919,数据元说明!C:C,0),5)</f>
        <v>登记机构赋予理财产品的标识码，该码具有唯一性。</v>
      </c>
      <c r="L1919" s="69" t="str">
        <f>INDEX(数据元说明!A:F,MATCH(I1919,数据元说明!C:C,0),6)</f>
        <v>C..30</v>
      </c>
      <c r="M1919" s="69" t="s">
        <v>1679</v>
      </c>
      <c r="N1919" s="68"/>
      <c r="O1919" s="68"/>
      <c r="P1919" s="69"/>
    </row>
    <row r="1920" ht="39.95" hidden="1" customHeight="1" spans="1:16">
      <c r="A1920" s="89"/>
      <c r="B1920" s="73"/>
      <c r="C1920" s="73" t="s">
        <v>313</v>
      </c>
      <c r="D1920" s="73" t="s">
        <v>4235</v>
      </c>
      <c r="E1920" s="90">
        <v>1108</v>
      </c>
      <c r="F1920" s="69" t="s">
        <v>4242</v>
      </c>
      <c r="G1920" s="90">
        <v>110810</v>
      </c>
      <c r="H1920" s="69" t="s">
        <v>4243</v>
      </c>
      <c r="I1920" s="69" t="s">
        <v>345</v>
      </c>
      <c r="J1920" s="67" t="str">
        <f>INDEX(数据元说明!A:F,MATCH(I1920,数据元说明!C:C,0),2)</f>
        <v>001005</v>
      </c>
      <c r="K1920" s="68" t="str">
        <f>INDEX(数据元说明!A:F,MATCH(I1920,数据元说明!C:C,0),5)</f>
        <v>YYYYMMDD，默认值99991231。</v>
      </c>
      <c r="L1920" s="69" t="str">
        <f>INDEX(数据元说明!A:F,MATCH(I1920,数据元说明!C:C,0),6)</f>
        <v>C8</v>
      </c>
      <c r="M1920" s="69" t="s">
        <v>4244</v>
      </c>
      <c r="N1920" s="68"/>
      <c r="O1920" s="69"/>
      <c r="P1920" s="74"/>
    </row>
    <row r="1921" ht="39.95" hidden="1" customHeight="1" spans="1:16">
      <c r="A1921" s="89"/>
      <c r="B1921" s="73"/>
      <c r="C1921" s="73" t="s">
        <v>313</v>
      </c>
      <c r="D1921" s="73" t="s">
        <v>4235</v>
      </c>
      <c r="E1921" s="90">
        <v>1108</v>
      </c>
      <c r="F1921" s="69" t="s">
        <v>4245</v>
      </c>
      <c r="G1921" s="90">
        <v>110811</v>
      </c>
      <c r="H1921" s="69" t="s">
        <v>4246</v>
      </c>
      <c r="I1921" s="69" t="s">
        <v>634</v>
      </c>
      <c r="J1921" s="67" t="str">
        <f>INDEX(数据元说明!A:F,MATCH(I1921,数据元说明!C:C,0),2)</f>
        <v>003008</v>
      </c>
      <c r="K1921" s="68" t="str">
        <f>INDEX(数据元说明!A:F,MATCH(I1921,数据元说明!C:C,0),5)</f>
        <v>与币种相对应金额。</v>
      </c>
      <c r="L1921" s="69" t="str">
        <f>INDEX(数据元说明!A:F,MATCH(I1921,数据元说明!C:C,0),6)</f>
        <v>D20.2</v>
      </c>
      <c r="M1921" s="69" t="s">
        <v>4247</v>
      </c>
      <c r="N1921" s="68"/>
      <c r="O1921" s="68"/>
      <c r="P1921" s="69"/>
    </row>
    <row r="1922" ht="39.95" hidden="1" customHeight="1" spans="1:16">
      <c r="A1922" s="89"/>
      <c r="B1922" s="73"/>
      <c r="C1922" s="73" t="s">
        <v>313</v>
      </c>
      <c r="D1922" s="73" t="s">
        <v>4235</v>
      </c>
      <c r="E1922" s="90">
        <v>1108</v>
      </c>
      <c r="F1922" s="69" t="s">
        <v>4248</v>
      </c>
      <c r="G1922" s="90">
        <v>110812</v>
      </c>
      <c r="H1922" s="69" t="s">
        <v>4249</v>
      </c>
      <c r="I1922" s="69" t="s">
        <v>1537</v>
      </c>
      <c r="J1922" s="144" t="str">
        <f>INDEX(数据元说明!A:F,MATCH(I1922,数据元说明!C:C,0),2)</f>
        <v>010102</v>
      </c>
      <c r="K1922" s="68" t="str">
        <f>INDEX(数据元说明!A:F,MATCH(I1922,数据元说明!C:C,0),5)</f>
        <v>折算人民币的金额</v>
      </c>
      <c r="L1922" s="69" t="str">
        <f>INDEX(数据元说明!A:F,MATCH(I1922,数据元说明!C:C,0),6)</f>
        <v>D20.2</v>
      </c>
      <c r="M1922" s="69" t="s">
        <v>4250</v>
      </c>
      <c r="N1922" s="68"/>
      <c r="O1922" s="68"/>
      <c r="P1922" s="69"/>
    </row>
    <row r="1923" ht="39.95" hidden="1" customHeight="1" spans="1:16">
      <c r="A1923" s="89"/>
      <c r="B1923" s="73"/>
      <c r="C1923" s="73" t="s">
        <v>313</v>
      </c>
      <c r="D1923" s="73" t="s">
        <v>4235</v>
      </c>
      <c r="E1923" s="90">
        <v>1108</v>
      </c>
      <c r="F1923" s="69" t="s">
        <v>4251</v>
      </c>
      <c r="G1923" s="90">
        <v>110813</v>
      </c>
      <c r="H1923" s="69" t="s">
        <v>4252</v>
      </c>
      <c r="I1923" s="69" t="s">
        <v>1418</v>
      </c>
      <c r="J1923" s="144" t="str">
        <f>INDEX(数据元说明!A:F,MATCH(I1923,数据元说明!C:C,0),2)</f>
        <v>010072</v>
      </c>
      <c r="K1923" s="68" t="str">
        <f>INDEX(数据元说明!A:F,MATCH(I1923,数据元说明!C:C,0),5)</f>
        <v>产品份额或资产的数量。</v>
      </c>
      <c r="L1923" s="69" t="str">
        <f>INDEX(数据元说明!A:F,MATCH(I1923,数据元说明!C:C,0),6)</f>
        <v>D20.6</v>
      </c>
      <c r="M1923" s="69" t="s">
        <v>4253</v>
      </c>
      <c r="N1923" s="68"/>
      <c r="O1923" s="68"/>
      <c r="P1923" s="69"/>
    </row>
    <row r="1924" ht="39.95" hidden="1" customHeight="1" spans="1:16">
      <c r="A1924" s="89"/>
      <c r="B1924" s="73"/>
      <c r="C1924" s="73" t="s">
        <v>313</v>
      </c>
      <c r="D1924" s="73" t="s">
        <v>4235</v>
      </c>
      <c r="E1924" s="90">
        <v>1108</v>
      </c>
      <c r="F1924" s="69" t="s">
        <v>1625</v>
      </c>
      <c r="G1924" s="90">
        <v>110814</v>
      </c>
      <c r="H1924" s="69" t="s">
        <v>1626</v>
      </c>
      <c r="I1924" s="69" t="s">
        <v>345</v>
      </c>
      <c r="J1924" s="67" t="str">
        <f>INDEX(数据元说明!A:F,MATCH(I1924,数据元说明!C:C,0),2)</f>
        <v>001005</v>
      </c>
      <c r="K1924" s="68" t="str">
        <f>INDEX(数据元说明!A:F,MATCH(I1924,数据元说明!C:C,0),5)</f>
        <v>YYYYMMDD，默认值99991231。</v>
      </c>
      <c r="L1924" s="69" t="str">
        <f>INDEX(数据元说明!A:F,MATCH(I1924,数据元说明!C:C,0),6)</f>
        <v>C8</v>
      </c>
      <c r="M1924" s="69" t="s">
        <v>1627</v>
      </c>
      <c r="N1924" s="68"/>
      <c r="O1924" s="68"/>
      <c r="P1924" s="69"/>
    </row>
  </sheetData>
  <protectedRanges>
    <protectedRange sqref="M142" name="区域1"/>
    <protectedRange sqref="M222" name="区域1_1"/>
    <protectedRange sqref="M223" name="区域1_2"/>
    <protectedRange sqref="M231" name="区域1_3"/>
    <protectedRange sqref="M232" name="区域1_4"/>
    <protectedRange sqref="M280" name="区域1_5"/>
    <protectedRange sqref="M343" name="区域1_6"/>
    <protectedRange sqref="M350" name="区域1_7"/>
    <protectedRange sqref="M367" name="区域1_8"/>
    <protectedRange sqref="M388" name="区域1_9"/>
    <protectedRange sqref="M404" name="区域1_10"/>
    <protectedRange sqref="M428" name="区域1_11"/>
    <protectedRange sqref="M513" name="区域1_12"/>
    <protectedRange sqref="M517" name="区域1_13"/>
    <protectedRange sqref="M538" name="区域1_14"/>
    <protectedRange sqref="M543" name="区域1_15"/>
    <protectedRange sqref="M572" name="区域1_16"/>
    <protectedRange sqref="M576" name="区域1_17"/>
    <protectedRange sqref="M597" name="区域1_18"/>
    <protectedRange sqref="M600" name="区域1_19"/>
    <protectedRange sqref="M625" name="区域1_20"/>
    <protectedRange sqref="M662" name="区域1_21"/>
    <protectedRange sqref="M663" name="区域1_22"/>
    <protectedRange sqref="M721" name="区域1_23"/>
    <protectedRange sqref="M722" name="区域1_24"/>
    <protectedRange sqref="M776" name="区域1_25"/>
    <protectedRange sqref="M792" name="区域1_26"/>
    <protectedRange sqref="M799" name="区域1_27"/>
    <protectedRange sqref="M849" name="区域1_28"/>
    <protectedRange sqref="M856" name="区域1_29"/>
    <protectedRange sqref="M875" name="区域1_30"/>
    <protectedRange sqref="M907" name="区域1_31"/>
    <protectedRange sqref="M933" name="区域1_32"/>
    <protectedRange sqref="M941" name="区域1_33"/>
    <protectedRange sqref="M962" name="区域1_34"/>
    <protectedRange sqref="M964" name="区域1_35"/>
    <protectedRange sqref="M1012" name="区域1_36"/>
    <protectedRange sqref="M1025" name="区域1_37"/>
    <protectedRange sqref="M1052" name="区域1_38"/>
    <protectedRange sqref="M1075" name="区域1_39"/>
    <protectedRange sqref="M1078" name="区域1_40"/>
    <protectedRange sqref="M1124" name="区域1_41"/>
    <protectedRange sqref="M1136" name="区域1_42"/>
    <protectedRange sqref="M1150" name="区域1_43"/>
    <protectedRange sqref="M1151" name="区域1_44"/>
    <protectedRange sqref="M1199" name="区域1_45"/>
    <protectedRange sqref="M1200" name="区域1_46"/>
    <protectedRange sqref="M1203" name="区域1_47"/>
    <protectedRange sqref="M1204" name="区域1_48"/>
    <protectedRange sqref="M1226" name="区域1_49"/>
    <protectedRange sqref="M1235" name="区域1_50"/>
    <protectedRange sqref="M1236" name="区域1_51"/>
    <protectedRange sqref="M1276" name="区域1_52"/>
    <protectedRange sqref="M1277" name="区域1_53"/>
    <protectedRange sqref="M1365" name="区域1_54"/>
    <protectedRange sqref="M1381" name="区域1_55"/>
    <protectedRange sqref="M1405" name="区域1_56"/>
    <protectedRange sqref="M1406" name="区域1_57"/>
  </protectedRanges>
  <autoFilter xmlns:etc="http://www.wps.cn/officeDocument/2017/etCustomData" ref="A4:P1924" etc:filterBottomFollowUsedRange="0">
    <filterColumn colId="3">
      <customFilters>
        <customFilter operator="equal" val="股东及关联方信息表"/>
        <customFilter operator="equal" val="关联关系表"/>
      </customFilters>
    </filterColumn>
    <extLst/>
  </autoFilter>
  <mergeCells count="17">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A2:P3"/>
  </mergeCells>
  <printOptions horizontalCentered="1" verticalCentered="1"/>
  <pageMargins left="0.393055555555556" right="0.393055555555556" top="0.393055555555556" bottom="0.590277777777778" header="0" footer="0.393055555555556"/>
  <pageSetup paperSize="9" scale="43" fitToHeight="0" orientation="landscape"/>
  <headerFooter alignWithMargins="0">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3"/>
  <sheetViews>
    <sheetView tabSelected="1" view="pageBreakPreview" zoomScaleNormal="100" topLeftCell="A7" workbookViewId="0">
      <selection activeCell="A1" sqref="A1:C2"/>
    </sheetView>
  </sheetViews>
  <sheetFormatPr defaultColWidth="9" defaultRowHeight="14.25" outlineLevelCol="2"/>
  <cols>
    <col min="2" max="2" width="41.25" customWidth="1"/>
    <col min="3" max="3" width="42.125" customWidth="1"/>
  </cols>
  <sheetData>
    <row r="1" spans="1:3">
      <c r="A1" s="26" t="s">
        <v>4254</v>
      </c>
      <c r="B1" s="26"/>
      <c r="C1" s="26"/>
    </row>
    <row r="2" ht="21" customHeight="1" spans="1:3">
      <c r="A2" s="27"/>
      <c r="B2" s="27"/>
      <c r="C2" s="27"/>
    </row>
    <row r="3" spans="1:3">
      <c r="A3" s="28" t="s">
        <v>4255</v>
      </c>
      <c r="B3" s="29" t="s">
        <v>4256</v>
      </c>
      <c r="C3" s="30" t="s">
        <v>4257</v>
      </c>
    </row>
    <row r="4" spans="1:3">
      <c r="A4" s="31" t="s">
        <v>4258</v>
      </c>
      <c r="B4" s="32" t="s">
        <v>4259</v>
      </c>
      <c r="C4" s="33" t="s">
        <v>4260</v>
      </c>
    </row>
    <row r="5" spans="1:3">
      <c r="A5" s="31"/>
      <c r="B5" s="34"/>
      <c r="C5" s="33" t="s">
        <v>4261</v>
      </c>
    </row>
    <row r="6" spans="1:3">
      <c r="A6" s="31"/>
      <c r="B6" s="34"/>
      <c r="C6" s="33" t="s">
        <v>4262</v>
      </c>
    </row>
    <row r="7" spans="1:3">
      <c r="A7" s="31"/>
      <c r="B7" s="35"/>
      <c r="C7" s="33" t="s">
        <v>4263</v>
      </c>
    </row>
    <row r="8" spans="1:3">
      <c r="A8" s="31"/>
      <c r="B8" s="32" t="s">
        <v>4264</v>
      </c>
      <c r="C8" s="33" t="s">
        <v>4265</v>
      </c>
    </row>
    <row r="9" spans="1:3">
      <c r="A9" s="31"/>
      <c r="B9" s="34"/>
      <c r="C9" s="33" t="s">
        <v>4266</v>
      </c>
    </row>
    <row r="10" spans="1:3">
      <c r="A10" s="31"/>
      <c r="B10" s="34"/>
      <c r="C10" s="33" t="s">
        <v>4267</v>
      </c>
    </row>
    <row r="11" spans="1:3">
      <c r="A11" s="31"/>
      <c r="B11" s="35"/>
      <c r="C11" s="33" t="s">
        <v>4263</v>
      </c>
    </row>
    <row r="12" spans="1:3">
      <c r="A12" s="31"/>
      <c r="B12" s="33" t="s">
        <v>4268</v>
      </c>
      <c r="C12" s="33" t="s">
        <v>4269</v>
      </c>
    </row>
    <row r="13" spans="1:3">
      <c r="A13" s="31"/>
      <c r="B13" s="33"/>
      <c r="C13" s="33" t="s">
        <v>4270</v>
      </c>
    </row>
    <row r="14" spans="1:3">
      <c r="A14" s="31"/>
      <c r="B14" s="32" t="s">
        <v>4271</v>
      </c>
      <c r="C14" s="33" t="s">
        <v>4272</v>
      </c>
    </row>
    <row r="15" spans="1:3">
      <c r="A15" s="31"/>
      <c r="B15" s="35"/>
      <c r="C15" s="33" t="s">
        <v>4273</v>
      </c>
    </row>
    <row r="16" spans="1:3">
      <c r="A16" s="31"/>
      <c r="B16" s="33" t="s">
        <v>4274</v>
      </c>
      <c r="C16" s="33" t="s">
        <v>4275</v>
      </c>
    </row>
    <row r="17" spans="1:3">
      <c r="A17" s="31"/>
      <c r="B17" s="33"/>
      <c r="C17" s="33" t="s">
        <v>4276</v>
      </c>
    </row>
    <row r="18" spans="1:3">
      <c r="A18" s="31"/>
      <c r="B18" s="33" t="s">
        <v>4277</v>
      </c>
      <c r="C18" s="33" t="s">
        <v>4278</v>
      </c>
    </row>
    <row r="19" spans="1:3">
      <c r="A19" s="31"/>
      <c r="B19" s="33"/>
      <c r="C19" s="33" t="s">
        <v>4279</v>
      </c>
    </row>
    <row r="20" spans="1:3">
      <c r="A20" s="31"/>
      <c r="B20" s="33" t="s">
        <v>4280</v>
      </c>
      <c r="C20" s="33" t="s">
        <v>4281</v>
      </c>
    </row>
    <row r="21" spans="1:3">
      <c r="A21" s="31"/>
      <c r="B21" s="33" t="s">
        <v>4282</v>
      </c>
      <c r="C21" s="33" t="s">
        <v>4283</v>
      </c>
    </row>
    <row r="22" spans="1:3">
      <c r="A22" s="31"/>
      <c r="B22" s="33"/>
      <c r="C22" s="33" t="s">
        <v>4284</v>
      </c>
    </row>
    <row r="23" spans="1:3">
      <c r="A23" s="31"/>
      <c r="B23" s="32" t="s">
        <v>4285</v>
      </c>
      <c r="C23" s="33" t="s">
        <v>4286</v>
      </c>
    </row>
    <row r="24" spans="1:3">
      <c r="A24" s="31"/>
      <c r="B24" s="34"/>
      <c r="C24" s="33" t="s">
        <v>4287</v>
      </c>
    </row>
    <row r="25" spans="1:3">
      <c r="A25" s="31"/>
      <c r="B25" s="34"/>
      <c r="C25" s="33" t="s">
        <v>4288</v>
      </c>
    </row>
    <row r="26" spans="1:3">
      <c r="A26" s="31"/>
      <c r="B26" s="34"/>
      <c r="C26" s="32" t="s">
        <v>4263</v>
      </c>
    </row>
    <row r="27" spans="1:3">
      <c r="A27" s="31"/>
      <c r="B27" s="33" t="s">
        <v>4289</v>
      </c>
      <c r="C27" s="32" t="s">
        <v>4290</v>
      </c>
    </row>
    <row r="28" spans="1:3">
      <c r="A28" s="36"/>
      <c r="B28" s="33"/>
      <c r="C28" s="37" t="s">
        <v>4291</v>
      </c>
    </row>
    <row r="29" spans="1:3">
      <c r="A29" s="38" t="s">
        <v>4292</v>
      </c>
      <c r="B29" s="34" t="s">
        <v>4293</v>
      </c>
      <c r="C29" s="35" t="s">
        <v>4294</v>
      </c>
    </row>
    <row r="30" spans="1:3">
      <c r="A30" s="36"/>
      <c r="B30" s="34"/>
      <c r="C30" s="33" t="s">
        <v>4295</v>
      </c>
    </row>
    <row r="31" spans="1:3">
      <c r="A31" s="36"/>
      <c r="B31" s="34"/>
      <c r="C31" s="33" t="s">
        <v>4296</v>
      </c>
    </row>
    <row r="32" spans="1:3">
      <c r="A32" s="36"/>
      <c r="B32" s="34"/>
      <c r="C32" s="33" t="s">
        <v>4297</v>
      </c>
    </row>
    <row r="33" spans="1:3">
      <c r="A33" s="36"/>
      <c r="B33" s="34"/>
      <c r="C33" s="33" t="s">
        <v>4298</v>
      </c>
    </row>
    <row r="34" spans="1:3">
      <c r="A34" s="36"/>
      <c r="B34" s="34"/>
      <c r="C34" s="33" t="s">
        <v>4299</v>
      </c>
    </row>
    <row r="35" spans="1:3">
      <c r="A35" s="36"/>
      <c r="B35" s="34"/>
      <c r="C35" s="33" t="s">
        <v>4300</v>
      </c>
    </row>
    <row r="36" spans="1:3">
      <c r="A36" s="36"/>
      <c r="B36" s="34"/>
      <c r="C36" s="33" t="s">
        <v>4301</v>
      </c>
    </row>
    <row r="37" spans="1:3">
      <c r="A37" s="36"/>
      <c r="B37" s="34"/>
      <c r="C37" s="33" t="s">
        <v>4302</v>
      </c>
    </row>
    <row r="38" spans="1:3">
      <c r="A38" s="36"/>
      <c r="B38" s="34"/>
      <c r="C38" s="33" t="s">
        <v>4303</v>
      </c>
    </row>
    <row r="39" spans="1:3">
      <c r="A39" s="36"/>
      <c r="B39" s="34"/>
      <c r="C39" s="33" t="s">
        <v>4304</v>
      </c>
    </row>
    <row r="40" spans="1:3">
      <c r="A40" s="36"/>
      <c r="B40" s="35"/>
      <c r="C40" s="33" t="s">
        <v>4263</v>
      </c>
    </row>
    <row r="41" spans="1:3">
      <c r="A41" s="36"/>
      <c r="B41" s="33" t="s">
        <v>4305</v>
      </c>
      <c r="C41" s="33" t="s">
        <v>4306</v>
      </c>
    </row>
    <row r="42" spans="1:3">
      <c r="A42" s="36"/>
      <c r="B42" s="33"/>
      <c r="C42" s="33" t="s">
        <v>4307</v>
      </c>
    </row>
    <row r="43" spans="1:3">
      <c r="A43" s="36"/>
      <c r="B43" s="33"/>
      <c r="C43" s="33" t="s">
        <v>4308</v>
      </c>
    </row>
    <row r="44" spans="1:3">
      <c r="A44" s="36"/>
      <c r="B44" s="33"/>
      <c r="C44" s="33" t="s">
        <v>4263</v>
      </c>
    </row>
    <row r="45" spans="1:3">
      <c r="A45" s="36"/>
      <c r="B45" s="33" t="s">
        <v>4309</v>
      </c>
      <c r="C45" s="33" t="s">
        <v>4310</v>
      </c>
    </row>
    <row r="46" spans="1:3">
      <c r="A46" s="36"/>
      <c r="B46" s="33"/>
      <c r="C46" s="33" t="s">
        <v>4311</v>
      </c>
    </row>
    <row r="47" spans="1:3">
      <c r="A47" s="36"/>
      <c r="B47" s="33"/>
      <c r="C47" s="33" t="s">
        <v>4312</v>
      </c>
    </row>
    <row r="48" spans="1:3">
      <c r="A48" s="36"/>
      <c r="B48" s="33"/>
      <c r="C48" s="33" t="s">
        <v>4313</v>
      </c>
    </row>
    <row r="49" spans="1:3">
      <c r="A49" s="36"/>
      <c r="B49" s="33"/>
      <c r="C49" s="33" t="s">
        <v>4314</v>
      </c>
    </row>
    <row r="50" spans="1:3">
      <c r="A50" s="36"/>
      <c r="B50" s="33"/>
      <c r="C50" s="33" t="s">
        <v>4263</v>
      </c>
    </row>
    <row r="51" spans="1:3">
      <c r="A51" s="36"/>
      <c r="B51" s="33" t="s">
        <v>4315</v>
      </c>
      <c r="C51" s="33" t="s">
        <v>4316</v>
      </c>
    </row>
    <row r="52" spans="1:3">
      <c r="A52" s="36"/>
      <c r="B52" s="33"/>
      <c r="C52" s="33" t="s">
        <v>4317</v>
      </c>
    </row>
    <row r="53" spans="1:3">
      <c r="A53" s="36"/>
      <c r="B53" s="33"/>
      <c r="C53" s="33" t="s">
        <v>4318</v>
      </c>
    </row>
    <row r="54" spans="1:3">
      <c r="A54" s="36"/>
      <c r="B54" s="33"/>
      <c r="C54" s="33" t="s">
        <v>4263</v>
      </c>
    </row>
    <row r="55" spans="1:3">
      <c r="A55" s="36"/>
      <c r="B55" s="33" t="s">
        <v>4319</v>
      </c>
      <c r="C55" s="33" t="s">
        <v>4320</v>
      </c>
    </row>
    <row r="56" spans="1:3">
      <c r="A56" s="36"/>
      <c r="B56" s="33"/>
      <c r="C56" s="33" t="s">
        <v>4321</v>
      </c>
    </row>
    <row r="57" spans="1:3">
      <c r="A57" s="36"/>
      <c r="B57" s="33"/>
      <c r="C57" s="33" t="s">
        <v>4322</v>
      </c>
    </row>
    <row r="58" spans="1:3">
      <c r="A58" s="36"/>
      <c r="B58" s="33"/>
      <c r="C58" s="33" t="s">
        <v>4323</v>
      </c>
    </row>
    <row r="59" spans="1:3">
      <c r="A59" s="36"/>
      <c r="B59" s="33"/>
      <c r="C59" s="33" t="s">
        <v>4324</v>
      </c>
    </row>
    <row r="60" spans="1:3">
      <c r="A60" s="36"/>
      <c r="B60" s="33"/>
      <c r="C60" s="33" t="s">
        <v>4263</v>
      </c>
    </row>
    <row r="61" spans="1:3">
      <c r="A61" s="36"/>
      <c r="B61" s="33" t="s">
        <v>4325</v>
      </c>
      <c r="C61" s="33" t="s">
        <v>4326</v>
      </c>
    </row>
    <row r="62" spans="1:3">
      <c r="A62" s="36"/>
      <c r="B62" s="33"/>
      <c r="C62" s="33" t="s">
        <v>4327</v>
      </c>
    </row>
    <row r="63" spans="1:3">
      <c r="A63" s="36"/>
      <c r="B63" s="33"/>
      <c r="C63" s="33" t="s">
        <v>4263</v>
      </c>
    </row>
  </sheetData>
  <mergeCells count="18">
    <mergeCell ref="A4:A28"/>
    <mergeCell ref="A29:A63"/>
    <mergeCell ref="B4:B7"/>
    <mergeCell ref="B8:B11"/>
    <mergeCell ref="B12:B13"/>
    <mergeCell ref="B14:B15"/>
    <mergeCell ref="B16:B17"/>
    <mergeCell ref="B18:B19"/>
    <mergeCell ref="B21:B22"/>
    <mergeCell ref="B23:B26"/>
    <mergeCell ref="B27:B28"/>
    <mergeCell ref="B29:B40"/>
    <mergeCell ref="B41:B44"/>
    <mergeCell ref="B45:B50"/>
    <mergeCell ref="B51:B54"/>
    <mergeCell ref="B55:B60"/>
    <mergeCell ref="B61:B63"/>
    <mergeCell ref="A1:C2"/>
  </mergeCell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1"/>
  <sheetViews>
    <sheetView workbookViewId="0">
      <selection activeCell="U18" sqref="U18"/>
    </sheetView>
  </sheetViews>
  <sheetFormatPr defaultColWidth="8.75" defaultRowHeight="14.25"/>
  <cols>
    <col min="1" max="1" width="18.125" style="1" customWidth="1"/>
  </cols>
  <sheetData>
    <row r="1" ht="78" customHeight="1" spans="1:44">
      <c r="A1" s="2" t="s">
        <v>4328</v>
      </c>
      <c r="B1" s="3" t="s">
        <v>4329</v>
      </c>
      <c r="C1" s="4" t="s">
        <v>4330</v>
      </c>
      <c r="D1" s="3" t="s">
        <v>4331</v>
      </c>
      <c r="E1" s="4" t="s">
        <v>4332</v>
      </c>
      <c r="F1" s="3" t="s">
        <v>4333</v>
      </c>
      <c r="G1" s="5" t="s">
        <v>4334</v>
      </c>
      <c r="H1" s="5" t="s">
        <v>4335</v>
      </c>
      <c r="I1" s="4" t="s">
        <v>4336</v>
      </c>
      <c r="J1" s="4" t="s">
        <v>4337</v>
      </c>
      <c r="K1" s="3" t="s">
        <v>4338</v>
      </c>
      <c r="L1" s="3" t="s">
        <v>4339</v>
      </c>
      <c r="M1" s="3" t="s">
        <v>4340</v>
      </c>
      <c r="N1" s="4" t="s">
        <v>4341</v>
      </c>
      <c r="O1" s="6" t="s">
        <v>4342</v>
      </c>
      <c r="P1" s="7"/>
      <c r="Q1" s="6" t="s">
        <v>4343</v>
      </c>
      <c r="R1" s="6" t="s">
        <v>4344</v>
      </c>
      <c r="S1" s="8"/>
      <c r="T1" s="3" t="s">
        <v>4345</v>
      </c>
      <c r="U1" s="3"/>
      <c r="V1" s="3" t="s">
        <v>4346</v>
      </c>
      <c r="W1" s="3"/>
      <c r="X1" s="3" t="s">
        <v>4347</v>
      </c>
      <c r="Y1" s="6"/>
      <c r="Z1" s="3" t="s">
        <v>4348</v>
      </c>
      <c r="AA1" s="3"/>
      <c r="AB1" s="3" t="s">
        <v>4349</v>
      </c>
      <c r="AC1" s="3" t="s">
        <v>4350</v>
      </c>
      <c r="AD1" s="3" t="s">
        <v>4351</v>
      </c>
      <c r="AE1" s="3" t="s">
        <v>4352</v>
      </c>
      <c r="AF1" s="3" t="s">
        <v>4353</v>
      </c>
      <c r="AG1" s="6" t="s">
        <v>4354</v>
      </c>
      <c r="AH1" s="8"/>
      <c r="AI1" s="3" t="s">
        <v>4355</v>
      </c>
      <c r="AJ1" s="3" t="s">
        <v>4356</v>
      </c>
      <c r="AK1" s="3" t="s">
        <v>4357</v>
      </c>
      <c r="AL1" s="3" t="s">
        <v>4358</v>
      </c>
      <c r="AM1" s="3" t="s">
        <v>4359</v>
      </c>
      <c r="AN1" s="6" t="s">
        <v>4360</v>
      </c>
      <c r="AO1" s="3" t="s">
        <v>4361</v>
      </c>
      <c r="AP1" s="3" t="s">
        <v>4362</v>
      </c>
      <c r="AQ1" s="3"/>
      <c r="AR1" s="3"/>
    </row>
    <row r="2" spans="1:44">
      <c r="A2" s="9" t="s">
        <v>4363</v>
      </c>
      <c r="B2" s="10" t="s">
        <v>4364</v>
      </c>
      <c r="C2" s="10" t="s">
        <v>4364</v>
      </c>
      <c r="D2" s="10" t="s">
        <v>4364</v>
      </c>
      <c r="E2" s="10" t="s">
        <v>4364</v>
      </c>
      <c r="F2" s="10" t="s">
        <v>4364</v>
      </c>
      <c r="G2" s="11" t="s">
        <v>4364</v>
      </c>
      <c r="H2" s="11" t="s">
        <v>4364</v>
      </c>
      <c r="I2" s="11" t="s">
        <v>4364</v>
      </c>
      <c r="J2" s="11" t="s">
        <v>4364</v>
      </c>
      <c r="K2" s="10" t="s">
        <v>4364</v>
      </c>
      <c r="L2" s="10" t="s">
        <v>4364</v>
      </c>
      <c r="M2" s="10" t="s">
        <v>4364</v>
      </c>
      <c r="N2" s="10" t="s">
        <v>4364</v>
      </c>
      <c r="O2" s="10" t="s">
        <v>4364</v>
      </c>
      <c r="P2" s="10" t="s">
        <v>4364</v>
      </c>
      <c r="Q2" s="10" t="s">
        <v>4364</v>
      </c>
      <c r="R2" s="12" t="s">
        <v>4364</v>
      </c>
      <c r="S2" s="10" t="s">
        <v>4364</v>
      </c>
      <c r="T2" s="10" t="s">
        <v>4364</v>
      </c>
      <c r="U2" s="10" t="s">
        <v>4364</v>
      </c>
      <c r="V2" s="10" t="s">
        <v>4364</v>
      </c>
      <c r="W2" s="10" t="s">
        <v>4364</v>
      </c>
      <c r="X2" s="13" t="s">
        <v>4364</v>
      </c>
      <c r="Y2" s="14" t="s">
        <v>4364</v>
      </c>
      <c r="Z2" s="10" t="s">
        <v>4364</v>
      </c>
      <c r="AA2" s="10" t="s">
        <v>4364</v>
      </c>
      <c r="AB2" s="10" t="s">
        <v>4364</v>
      </c>
      <c r="AC2" s="10" t="s">
        <v>4364</v>
      </c>
      <c r="AD2" s="10" t="s">
        <v>4364</v>
      </c>
      <c r="AE2" s="10" t="s">
        <v>4364</v>
      </c>
      <c r="AF2" s="10" t="s">
        <v>4364</v>
      </c>
      <c r="AG2" s="10" t="s">
        <v>4364</v>
      </c>
      <c r="AH2" s="10" t="s">
        <v>4364</v>
      </c>
      <c r="AI2" s="10" t="s">
        <v>4364</v>
      </c>
      <c r="AJ2" s="10" t="s">
        <v>4364</v>
      </c>
      <c r="AK2" s="10" t="s">
        <v>4364</v>
      </c>
      <c r="AL2" s="10" t="s">
        <v>4364</v>
      </c>
      <c r="AM2" s="10" t="s">
        <v>4364</v>
      </c>
      <c r="AN2" s="11" t="s">
        <v>4364</v>
      </c>
      <c r="AO2" s="10" t="s">
        <v>4364</v>
      </c>
      <c r="AP2" s="10" t="s">
        <v>4364</v>
      </c>
      <c r="AQ2" s="10" t="s">
        <v>4364</v>
      </c>
      <c r="AR2" s="10" t="s">
        <v>4364</v>
      </c>
    </row>
    <row r="3" spans="1:44">
      <c r="A3" s="9" t="s">
        <v>4365</v>
      </c>
      <c r="B3" s="10" t="s">
        <v>4364</v>
      </c>
      <c r="C3" s="10" t="s">
        <v>4364</v>
      </c>
      <c r="D3" s="10" t="s">
        <v>4364</v>
      </c>
      <c r="E3" s="10" t="s">
        <v>4364</v>
      </c>
      <c r="F3" s="10" t="s">
        <v>4364</v>
      </c>
      <c r="G3" s="11" t="s">
        <v>4364</v>
      </c>
      <c r="H3" s="11" t="s">
        <v>4364</v>
      </c>
      <c r="I3" s="11" t="s">
        <v>4364</v>
      </c>
      <c r="J3" s="11" t="s">
        <v>4364</v>
      </c>
      <c r="K3" s="10" t="s">
        <v>4364</v>
      </c>
      <c r="L3" s="10" t="s">
        <v>4364</v>
      </c>
      <c r="M3" s="10" t="s">
        <v>4364</v>
      </c>
      <c r="N3" s="10" t="s">
        <v>4364</v>
      </c>
      <c r="O3" s="10" t="s">
        <v>4364</v>
      </c>
      <c r="P3" s="10" t="s">
        <v>4364</v>
      </c>
      <c r="Q3" s="10" t="s">
        <v>4364</v>
      </c>
      <c r="R3" s="12" t="s">
        <v>4364</v>
      </c>
      <c r="S3" s="10" t="s">
        <v>4364</v>
      </c>
      <c r="T3" s="10" t="s">
        <v>4364</v>
      </c>
      <c r="U3" s="10" t="s">
        <v>4364</v>
      </c>
      <c r="V3" s="10" t="s">
        <v>4364</v>
      </c>
      <c r="W3" s="10" t="s">
        <v>4364</v>
      </c>
      <c r="X3" s="12" t="s">
        <v>4364</v>
      </c>
      <c r="Y3" s="11" t="s">
        <v>4364</v>
      </c>
      <c r="Z3" s="10" t="s">
        <v>4364</v>
      </c>
      <c r="AA3" s="10" t="s">
        <v>4364</v>
      </c>
      <c r="AB3" s="10" t="s">
        <v>4364</v>
      </c>
      <c r="AC3" s="10" t="s">
        <v>4364</v>
      </c>
      <c r="AD3" s="10" t="s">
        <v>4364</v>
      </c>
      <c r="AE3" s="10" t="s">
        <v>4364</v>
      </c>
      <c r="AF3" s="10" t="s">
        <v>4364</v>
      </c>
      <c r="AG3" s="10" t="s">
        <v>4364</v>
      </c>
      <c r="AH3" s="10" t="s">
        <v>4364</v>
      </c>
      <c r="AI3" s="10" t="s">
        <v>4364</v>
      </c>
      <c r="AJ3" s="10" t="s">
        <v>4364</v>
      </c>
      <c r="AK3" s="10" t="s">
        <v>4364</v>
      </c>
      <c r="AL3" s="10" t="s">
        <v>4364</v>
      </c>
      <c r="AM3" s="10" t="s">
        <v>4364</v>
      </c>
      <c r="AN3" s="11" t="s">
        <v>4364</v>
      </c>
      <c r="AO3" s="10" t="s">
        <v>4364</v>
      </c>
      <c r="AP3" s="10" t="s">
        <v>4364</v>
      </c>
      <c r="AQ3" s="10" t="s">
        <v>4364</v>
      </c>
      <c r="AR3" s="10" t="s">
        <v>4364</v>
      </c>
    </row>
    <row r="4" spans="1:44">
      <c r="A4" s="9" t="s">
        <v>4366</v>
      </c>
      <c r="B4" s="10" t="s">
        <v>4364</v>
      </c>
      <c r="C4" s="15" t="s">
        <v>4364</v>
      </c>
      <c r="D4" s="10" t="s">
        <v>4364</v>
      </c>
      <c r="E4" s="15" t="s">
        <v>4364</v>
      </c>
      <c r="F4" s="10" t="s">
        <v>4364</v>
      </c>
      <c r="G4" s="16" t="s">
        <v>4364</v>
      </c>
      <c r="H4" s="16" t="s">
        <v>4364</v>
      </c>
      <c r="I4" s="11" t="s">
        <v>4364</v>
      </c>
      <c r="J4" s="11" t="s">
        <v>4364</v>
      </c>
      <c r="K4" s="10" t="s">
        <v>4364</v>
      </c>
      <c r="L4" s="10" t="s">
        <v>4364</v>
      </c>
      <c r="M4" s="10" t="s">
        <v>4364</v>
      </c>
      <c r="N4" s="15" t="s">
        <v>4364</v>
      </c>
      <c r="O4" s="10" t="s">
        <v>4364</v>
      </c>
      <c r="P4" s="10" t="s">
        <v>4364</v>
      </c>
      <c r="Q4" s="10" t="s">
        <v>4364</v>
      </c>
      <c r="R4" s="12" t="s">
        <v>4364</v>
      </c>
      <c r="S4" s="10" t="s">
        <v>4364</v>
      </c>
      <c r="T4" s="10" t="s">
        <v>4364</v>
      </c>
      <c r="U4" s="10" t="s">
        <v>4364</v>
      </c>
      <c r="V4" s="10" t="s">
        <v>4364</v>
      </c>
      <c r="W4" s="10" t="s">
        <v>4364</v>
      </c>
      <c r="X4" s="12" t="s">
        <v>4364</v>
      </c>
      <c r="Y4" s="11" t="s">
        <v>4364</v>
      </c>
      <c r="Z4" s="10" t="s">
        <v>4364</v>
      </c>
      <c r="AA4" s="10" t="s">
        <v>4364</v>
      </c>
      <c r="AB4" s="10" t="s">
        <v>4364</v>
      </c>
      <c r="AC4" s="10" t="s">
        <v>4364</v>
      </c>
      <c r="AD4" s="10" t="s">
        <v>4364</v>
      </c>
      <c r="AE4" s="10" t="s">
        <v>4364</v>
      </c>
      <c r="AF4" s="10" t="s">
        <v>4364</v>
      </c>
      <c r="AG4" s="10" t="s">
        <v>4364</v>
      </c>
      <c r="AH4" s="10" t="s">
        <v>4364</v>
      </c>
      <c r="AI4" s="10" t="s">
        <v>4364</v>
      </c>
      <c r="AJ4" s="10" t="s">
        <v>4364</v>
      </c>
      <c r="AK4" s="10" t="s">
        <v>4364</v>
      </c>
      <c r="AL4" s="10" t="s">
        <v>4364</v>
      </c>
      <c r="AM4" s="10" t="s">
        <v>4364</v>
      </c>
      <c r="AN4" s="11" t="s">
        <v>4364</v>
      </c>
      <c r="AO4" s="10" t="s">
        <v>4364</v>
      </c>
      <c r="AP4" s="10" t="s">
        <v>4364</v>
      </c>
      <c r="AQ4" s="10" t="s">
        <v>4364</v>
      </c>
      <c r="AR4" s="10" t="s">
        <v>4364</v>
      </c>
    </row>
    <row r="5" spans="1:44">
      <c r="A5" s="17" t="s">
        <v>4367</v>
      </c>
      <c r="B5" s="15">
        <v>101</v>
      </c>
      <c r="C5" s="18">
        <v>102</v>
      </c>
      <c r="D5" s="15">
        <v>103</v>
      </c>
      <c r="E5" s="18">
        <v>104</v>
      </c>
      <c r="F5" s="15">
        <v>105</v>
      </c>
      <c r="G5" s="16">
        <v>106</v>
      </c>
      <c r="H5" s="16">
        <v>107</v>
      </c>
      <c r="I5" s="16">
        <v>201</v>
      </c>
      <c r="J5" s="16">
        <v>202</v>
      </c>
      <c r="K5" s="15">
        <v>203</v>
      </c>
      <c r="L5" s="15">
        <v>204</v>
      </c>
      <c r="M5" s="15">
        <v>205</v>
      </c>
      <c r="N5" s="19">
        <v>206</v>
      </c>
      <c r="O5" s="20">
        <v>207</v>
      </c>
      <c r="P5" s="20">
        <v>207</v>
      </c>
      <c r="Q5" s="20">
        <v>301</v>
      </c>
      <c r="R5" s="20">
        <v>401</v>
      </c>
      <c r="S5" s="15">
        <v>401</v>
      </c>
      <c r="T5" s="15">
        <v>402</v>
      </c>
      <c r="U5" s="15">
        <v>402</v>
      </c>
      <c r="V5" s="15">
        <v>402</v>
      </c>
      <c r="W5" s="15">
        <v>402</v>
      </c>
      <c r="X5" s="20">
        <v>403</v>
      </c>
      <c r="Y5" s="16">
        <v>403</v>
      </c>
      <c r="Z5" s="15">
        <v>404</v>
      </c>
      <c r="AA5" s="15">
        <v>404</v>
      </c>
      <c r="AB5" s="15">
        <v>405</v>
      </c>
      <c r="AC5" s="15">
        <v>406</v>
      </c>
      <c r="AD5" s="15">
        <v>501</v>
      </c>
      <c r="AE5" s="15">
        <v>502</v>
      </c>
      <c r="AF5" s="15">
        <v>503</v>
      </c>
      <c r="AG5" s="15">
        <v>504</v>
      </c>
      <c r="AH5" s="15">
        <v>504</v>
      </c>
      <c r="AI5" s="15">
        <v>505</v>
      </c>
      <c r="AJ5" s="15">
        <v>505</v>
      </c>
      <c r="AK5" s="15">
        <v>506</v>
      </c>
      <c r="AL5" s="15">
        <v>507</v>
      </c>
      <c r="AM5" s="15">
        <v>508</v>
      </c>
      <c r="AN5" s="16">
        <v>509</v>
      </c>
      <c r="AO5" s="15">
        <v>601</v>
      </c>
      <c r="AP5" s="15">
        <v>701</v>
      </c>
      <c r="AQ5" s="15">
        <v>701</v>
      </c>
      <c r="AR5" s="15">
        <v>701</v>
      </c>
    </row>
    <row r="6" ht="27" spans="1:44">
      <c r="A6" s="17" t="s">
        <v>4368</v>
      </c>
      <c r="B6" s="15" t="s">
        <v>4369</v>
      </c>
      <c r="C6" s="15" t="s">
        <v>4370</v>
      </c>
      <c r="D6" s="15" t="s">
        <v>4371</v>
      </c>
      <c r="E6" s="15" t="s">
        <v>4372</v>
      </c>
      <c r="F6" s="15" t="s">
        <v>4373</v>
      </c>
      <c r="G6" s="18" t="s">
        <v>4374</v>
      </c>
      <c r="H6" s="21" t="s">
        <v>4375</v>
      </c>
      <c r="I6" s="16" t="s">
        <v>4376</v>
      </c>
      <c r="J6" s="16" t="s">
        <v>4376</v>
      </c>
      <c r="K6" s="15" t="s">
        <v>4377</v>
      </c>
      <c r="L6" s="15" t="s">
        <v>4378</v>
      </c>
      <c r="M6" s="15" t="s">
        <v>4379</v>
      </c>
      <c r="N6" s="3" t="s">
        <v>4380</v>
      </c>
      <c r="O6" s="22" t="s">
        <v>4381</v>
      </c>
      <c r="P6" s="20"/>
      <c r="Q6" s="20" t="s">
        <v>4382</v>
      </c>
      <c r="R6" s="22" t="s">
        <v>4383</v>
      </c>
      <c r="S6" s="20"/>
      <c r="T6" s="16" t="s">
        <v>4384</v>
      </c>
      <c r="U6" s="20"/>
      <c r="V6" s="16" t="s">
        <v>4385</v>
      </c>
      <c r="W6" s="20"/>
      <c r="X6" s="22" t="s">
        <v>4386</v>
      </c>
      <c r="Y6" s="22"/>
      <c r="Z6" s="15" t="s">
        <v>4387</v>
      </c>
      <c r="AA6" s="15"/>
      <c r="AB6" s="15" t="s">
        <v>4388</v>
      </c>
      <c r="AC6" s="15" t="s">
        <v>4389</v>
      </c>
      <c r="AD6" s="15" t="s">
        <v>4390</v>
      </c>
      <c r="AE6" s="15" t="s">
        <v>4391</v>
      </c>
      <c r="AF6" s="15" t="s">
        <v>4392</v>
      </c>
      <c r="AG6" s="16" t="s">
        <v>4393</v>
      </c>
      <c r="AH6" s="20"/>
      <c r="AI6" s="15" t="s">
        <v>4394</v>
      </c>
      <c r="AJ6" s="15" t="s">
        <v>4395</v>
      </c>
      <c r="AK6" s="15" t="s">
        <v>4396</v>
      </c>
      <c r="AL6" s="15" t="s">
        <v>4397</v>
      </c>
      <c r="AM6" s="15" t="s">
        <v>4398</v>
      </c>
      <c r="AN6" s="16" t="s">
        <v>4399</v>
      </c>
      <c r="AO6" s="15" t="s">
        <v>4400</v>
      </c>
      <c r="AP6" s="15" t="s">
        <v>4401</v>
      </c>
      <c r="AQ6" s="15"/>
      <c r="AR6" s="15"/>
    </row>
    <row r="7" spans="1:44">
      <c r="A7" s="9" t="s">
        <v>4402</v>
      </c>
      <c r="B7" s="10" t="s">
        <v>4403</v>
      </c>
      <c r="C7" s="10" t="s">
        <v>4403</v>
      </c>
      <c r="D7" s="10" t="s">
        <v>4404</v>
      </c>
      <c r="E7" s="10" t="s">
        <v>4404</v>
      </c>
      <c r="F7" s="10" t="s">
        <v>4404</v>
      </c>
      <c r="G7" s="11" t="s">
        <v>4404</v>
      </c>
      <c r="H7" s="11" t="s">
        <v>4404</v>
      </c>
      <c r="I7" s="16" t="s">
        <v>4403</v>
      </c>
      <c r="J7" s="16" t="s">
        <v>4403</v>
      </c>
      <c r="K7" s="10" t="s">
        <v>4404</v>
      </c>
      <c r="L7" s="10" t="s">
        <v>4405</v>
      </c>
      <c r="M7" s="10" t="s">
        <v>4406</v>
      </c>
      <c r="N7" s="10" t="s">
        <v>4406</v>
      </c>
      <c r="O7" s="12" t="s">
        <v>4405</v>
      </c>
      <c r="P7" s="12" t="s">
        <v>4405</v>
      </c>
      <c r="Q7" s="12" t="s">
        <v>4405</v>
      </c>
      <c r="R7" s="12" t="s">
        <v>4403</v>
      </c>
      <c r="S7" s="10" t="s">
        <v>4403</v>
      </c>
      <c r="T7" s="10" t="s">
        <v>4404</v>
      </c>
      <c r="U7" s="10" t="s">
        <v>4404</v>
      </c>
      <c r="V7" s="10" t="s">
        <v>4404</v>
      </c>
      <c r="W7" s="10" t="s">
        <v>4404</v>
      </c>
      <c r="X7" s="12" t="s">
        <v>4405</v>
      </c>
      <c r="Y7" s="11" t="s">
        <v>4405</v>
      </c>
      <c r="Z7" s="10" t="s">
        <v>4405</v>
      </c>
      <c r="AA7" s="10" t="s">
        <v>4405</v>
      </c>
      <c r="AB7" s="10" t="s">
        <v>4407</v>
      </c>
      <c r="AC7" s="10" t="s">
        <v>4407</v>
      </c>
      <c r="AD7" s="10" t="s">
        <v>4403</v>
      </c>
      <c r="AE7" s="10" t="s">
        <v>4405</v>
      </c>
      <c r="AF7" s="10" t="s">
        <v>4405</v>
      </c>
      <c r="AG7" s="10" t="s">
        <v>4405</v>
      </c>
      <c r="AH7" s="10" t="s">
        <v>4405</v>
      </c>
      <c r="AI7" s="10" t="s">
        <v>4406</v>
      </c>
      <c r="AJ7" s="10" t="s">
        <v>4406</v>
      </c>
      <c r="AK7" s="15" t="s">
        <v>4404</v>
      </c>
      <c r="AL7" s="10" t="s">
        <v>4403</v>
      </c>
      <c r="AM7" s="10" t="s">
        <v>4403</v>
      </c>
      <c r="AN7" s="11" t="s">
        <v>4403</v>
      </c>
      <c r="AO7" s="15" t="s">
        <v>4404</v>
      </c>
      <c r="AP7" s="15" t="s">
        <v>4405</v>
      </c>
      <c r="AQ7" s="15" t="s">
        <v>4405</v>
      </c>
      <c r="AR7" s="15" t="s">
        <v>4405</v>
      </c>
    </row>
    <row r="8" spans="1:44">
      <c r="A8" s="9" t="s">
        <v>4408</v>
      </c>
      <c r="B8" s="10" t="s">
        <v>4409</v>
      </c>
      <c r="C8" s="10" t="s">
        <v>4410</v>
      </c>
      <c r="D8" s="10" t="s">
        <v>4411</v>
      </c>
      <c r="E8" s="10" t="s">
        <v>4411</v>
      </c>
      <c r="F8" s="10" t="s">
        <v>4412</v>
      </c>
      <c r="G8" s="10" t="s">
        <v>4412</v>
      </c>
      <c r="H8" s="23" t="s">
        <v>4412</v>
      </c>
      <c r="I8" s="11" t="s">
        <v>4413</v>
      </c>
      <c r="J8" s="11" t="s">
        <v>4413</v>
      </c>
      <c r="K8" s="10" t="s">
        <v>4414</v>
      </c>
      <c r="L8" s="10" t="s">
        <v>4415</v>
      </c>
      <c r="M8" s="10" t="s">
        <v>4416</v>
      </c>
      <c r="N8" s="10" t="s">
        <v>4417</v>
      </c>
      <c r="O8" s="12" t="s">
        <v>4418</v>
      </c>
      <c r="P8" s="12" t="s">
        <v>4419</v>
      </c>
      <c r="Q8" s="12" t="s">
        <v>4420</v>
      </c>
      <c r="R8" s="12" t="s">
        <v>4421</v>
      </c>
      <c r="S8" s="10" t="s">
        <v>4422</v>
      </c>
      <c r="T8" s="10" t="s">
        <v>4421</v>
      </c>
      <c r="U8" s="10" t="s">
        <v>4423</v>
      </c>
      <c r="V8" s="10" t="s">
        <v>4421</v>
      </c>
      <c r="W8" s="10" t="s">
        <v>4423</v>
      </c>
      <c r="X8" s="12" t="s">
        <v>4418</v>
      </c>
      <c r="Y8" s="11" t="s">
        <v>4424</v>
      </c>
      <c r="Z8" s="10" t="s">
        <v>4418</v>
      </c>
      <c r="AA8" s="10" t="s">
        <v>4419</v>
      </c>
      <c r="AB8" s="10" t="s">
        <v>4425</v>
      </c>
      <c r="AC8" s="10" t="s">
        <v>4426</v>
      </c>
      <c r="AD8" s="10" t="s">
        <v>4409</v>
      </c>
      <c r="AE8" s="10" t="s">
        <v>4427</v>
      </c>
      <c r="AF8" s="10" t="s">
        <v>4428</v>
      </c>
      <c r="AG8" s="10" t="s">
        <v>4429</v>
      </c>
      <c r="AH8" s="10" t="s">
        <v>4429</v>
      </c>
      <c r="AI8" s="10" t="s">
        <v>4430</v>
      </c>
      <c r="AJ8" s="10" t="s">
        <v>4430</v>
      </c>
      <c r="AK8" s="10" t="s">
        <v>4431</v>
      </c>
      <c r="AL8" s="10" t="s">
        <v>4410</v>
      </c>
      <c r="AM8" s="10" t="s">
        <v>4410</v>
      </c>
      <c r="AN8" s="11" t="s">
        <v>4410</v>
      </c>
      <c r="AO8" s="10" t="s">
        <v>4412</v>
      </c>
      <c r="AP8" s="10" t="s">
        <v>4432</v>
      </c>
      <c r="AQ8" s="10" t="s">
        <v>4432</v>
      </c>
      <c r="AR8" s="10" t="s">
        <v>4418</v>
      </c>
    </row>
    <row r="9" spans="1:44">
      <c r="A9" s="9" t="s">
        <v>4433</v>
      </c>
      <c r="B9" s="10" t="s">
        <v>4434</v>
      </c>
      <c r="C9" s="10" t="s">
        <v>4435</v>
      </c>
      <c r="D9" s="10" t="s">
        <v>4436</v>
      </c>
      <c r="E9" s="10" t="s">
        <v>4434</v>
      </c>
      <c r="F9" s="10" t="s">
        <v>4436</v>
      </c>
      <c r="G9" s="11" t="s">
        <v>4436</v>
      </c>
      <c r="H9" s="11" t="s">
        <v>4436</v>
      </c>
      <c r="I9" s="11" t="s">
        <v>4434</v>
      </c>
      <c r="J9" s="11" t="s">
        <v>4437</v>
      </c>
      <c r="K9" s="10" t="s">
        <v>4434</v>
      </c>
      <c r="L9" s="10" t="s">
        <v>4435</v>
      </c>
      <c r="M9" s="10" t="s">
        <v>4434</v>
      </c>
      <c r="N9" s="10" t="s">
        <v>4434</v>
      </c>
      <c r="O9" s="10" t="s">
        <v>4434</v>
      </c>
      <c r="P9" s="10" t="s">
        <v>4434</v>
      </c>
      <c r="Q9" s="12" t="s">
        <v>4435</v>
      </c>
      <c r="R9" s="12" t="s">
        <v>4436</v>
      </c>
      <c r="S9" s="10" t="s">
        <v>4436</v>
      </c>
      <c r="T9" s="10" t="s">
        <v>4434</v>
      </c>
      <c r="U9" s="10" t="s">
        <v>4434</v>
      </c>
      <c r="V9" s="10" t="s">
        <v>4434</v>
      </c>
      <c r="W9" s="10" t="s">
        <v>4434</v>
      </c>
      <c r="X9" s="12" t="s">
        <v>4436</v>
      </c>
      <c r="Y9" s="11" t="s">
        <v>4436</v>
      </c>
      <c r="Z9" s="10" t="s">
        <v>4436</v>
      </c>
      <c r="AA9" s="10" t="s">
        <v>4436</v>
      </c>
      <c r="AB9" s="10" t="s">
        <v>4436</v>
      </c>
      <c r="AC9" s="10" t="s">
        <v>4435</v>
      </c>
      <c r="AD9" s="10" t="s">
        <v>4436</v>
      </c>
      <c r="AE9" s="10" t="s">
        <v>4438</v>
      </c>
      <c r="AF9" s="10" t="s">
        <v>4435</v>
      </c>
      <c r="AG9" s="10" t="s">
        <v>4434</v>
      </c>
      <c r="AH9" s="10" t="s">
        <v>4434</v>
      </c>
      <c r="AI9" s="10" t="s">
        <v>4435</v>
      </c>
      <c r="AJ9" s="10" t="s">
        <v>4435</v>
      </c>
      <c r="AK9" s="10" t="s">
        <v>4434</v>
      </c>
      <c r="AL9" s="10" t="s">
        <v>4435</v>
      </c>
      <c r="AM9" s="10" t="s">
        <v>4435</v>
      </c>
      <c r="AN9" s="11" t="s">
        <v>4434</v>
      </c>
      <c r="AO9" s="10" t="s">
        <v>4436</v>
      </c>
      <c r="AP9" s="10" t="s">
        <v>4435</v>
      </c>
      <c r="AQ9" s="10" t="s">
        <v>4435</v>
      </c>
      <c r="AR9" s="10" t="s">
        <v>4435</v>
      </c>
    </row>
    <row r="10" spans="1:44">
      <c r="A10" s="9" t="s">
        <v>4439</v>
      </c>
      <c r="B10" s="10" t="s">
        <v>4440</v>
      </c>
      <c r="C10" s="10" t="s">
        <v>4440</v>
      </c>
      <c r="D10" s="10" t="s">
        <v>4440</v>
      </c>
      <c r="E10" s="10" t="s">
        <v>4440</v>
      </c>
      <c r="F10" s="10" t="s">
        <v>4440</v>
      </c>
      <c r="G10" s="11" t="s">
        <v>4440</v>
      </c>
      <c r="H10" s="11" t="s">
        <v>4440</v>
      </c>
      <c r="I10" s="11" t="s">
        <v>4441</v>
      </c>
      <c r="J10" s="11" t="s">
        <v>4441</v>
      </c>
      <c r="K10" s="10" t="s">
        <v>4441</v>
      </c>
      <c r="L10" s="10" t="s">
        <v>4441</v>
      </c>
      <c r="M10" s="10" t="s">
        <v>4441</v>
      </c>
      <c r="N10" s="10" t="s">
        <v>4441</v>
      </c>
      <c r="O10" s="10" t="s">
        <v>4441</v>
      </c>
      <c r="P10" s="10" t="s">
        <v>4441</v>
      </c>
      <c r="Q10" s="12" t="s">
        <v>4442</v>
      </c>
      <c r="R10" s="12" t="s">
        <v>4443</v>
      </c>
      <c r="S10" s="10" t="s">
        <v>4443</v>
      </c>
      <c r="T10" s="10" t="s">
        <v>4443</v>
      </c>
      <c r="U10" s="10" t="s">
        <v>4443</v>
      </c>
      <c r="V10" s="10" t="s">
        <v>4443</v>
      </c>
      <c r="W10" s="10" t="s">
        <v>4443</v>
      </c>
      <c r="X10" s="12" t="s">
        <v>4444</v>
      </c>
      <c r="Y10" s="11" t="s">
        <v>4444</v>
      </c>
      <c r="Z10" s="10" t="s">
        <v>4444</v>
      </c>
      <c r="AA10" s="10" t="s">
        <v>4444</v>
      </c>
      <c r="AB10" s="10" t="s">
        <v>4444</v>
      </c>
      <c r="AC10" s="10" t="s">
        <v>4444</v>
      </c>
      <c r="AD10" s="10" t="s">
        <v>4445</v>
      </c>
      <c r="AE10" s="10" t="s">
        <v>4445</v>
      </c>
      <c r="AF10" s="10" t="s">
        <v>4445</v>
      </c>
      <c r="AG10" s="10" t="s">
        <v>4445</v>
      </c>
      <c r="AH10" s="10" t="s">
        <v>4445</v>
      </c>
      <c r="AI10" s="10" t="s">
        <v>4445</v>
      </c>
      <c r="AJ10" s="10" t="s">
        <v>4445</v>
      </c>
      <c r="AK10" s="10" t="s">
        <v>4445</v>
      </c>
      <c r="AL10" s="10" t="s">
        <v>4445</v>
      </c>
      <c r="AM10" s="10" t="s">
        <v>4445</v>
      </c>
      <c r="AN10" s="10" t="s">
        <v>4445</v>
      </c>
      <c r="AO10" s="10" t="s">
        <v>4446</v>
      </c>
      <c r="AP10" s="10" t="s">
        <v>4445</v>
      </c>
      <c r="AQ10" s="10" t="s">
        <v>4444</v>
      </c>
      <c r="AR10" s="10" t="s">
        <v>4444</v>
      </c>
    </row>
    <row r="11" spans="1:44">
      <c r="A11" s="9" t="s">
        <v>4447</v>
      </c>
      <c r="B11" s="10" t="s">
        <v>69</v>
      </c>
      <c r="C11" s="10" t="s">
        <v>69</v>
      </c>
      <c r="D11" s="10" t="s">
        <v>69</v>
      </c>
      <c r="E11" s="10" t="s">
        <v>69</v>
      </c>
      <c r="F11" s="10" t="s">
        <v>69</v>
      </c>
      <c r="G11" s="11" t="s">
        <v>69</v>
      </c>
      <c r="H11" s="11" t="s">
        <v>69</v>
      </c>
      <c r="I11" s="11" t="s">
        <v>69</v>
      </c>
      <c r="J11" s="11" t="s">
        <v>69</v>
      </c>
      <c r="K11" s="10" t="s">
        <v>69</v>
      </c>
      <c r="L11" s="10" t="s">
        <v>69</v>
      </c>
      <c r="M11" s="10" t="s">
        <v>69</v>
      </c>
      <c r="N11" s="10" t="s">
        <v>69</v>
      </c>
      <c r="O11" s="10" t="s">
        <v>69</v>
      </c>
      <c r="P11" s="10" t="s">
        <v>69</v>
      </c>
      <c r="Q11" s="12" t="s">
        <v>69</v>
      </c>
      <c r="R11" s="12" t="s">
        <v>69</v>
      </c>
      <c r="S11" s="10" t="s">
        <v>69</v>
      </c>
      <c r="T11" s="10" t="s">
        <v>69</v>
      </c>
      <c r="U11" s="10" t="s">
        <v>69</v>
      </c>
      <c r="V11" s="10" t="s">
        <v>4448</v>
      </c>
      <c r="W11" s="10" t="s">
        <v>4448</v>
      </c>
      <c r="X11" s="12" t="s">
        <v>69</v>
      </c>
      <c r="Y11" s="11" t="s">
        <v>69</v>
      </c>
      <c r="Z11" s="10" t="s">
        <v>69</v>
      </c>
      <c r="AA11" s="10" t="s">
        <v>69</v>
      </c>
      <c r="AB11" s="10" t="s">
        <v>69</v>
      </c>
      <c r="AC11" s="10" t="s">
        <v>69</v>
      </c>
      <c r="AD11" s="10" t="s">
        <v>69</v>
      </c>
      <c r="AE11" s="10" t="s">
        <v>69</v>
      </c>
      <c r="AF11" s="10" t="s">
        <v>69</v>
      </c>
      <c r="AG11" s="10" t="s">
        <v>69</v>
      </c>
      <c r="AH11" s="10" t="s">
        <v>69</v>
      </c>
      <c r="AI11" s="10" t="s">
        <v>69</v>
      </c>
      <c r="AJ11" s="10" t="s">
        <v>4448</v>
      </c>
      <c r="AK11" s="10" t="s">
        <v>69</v>
      </c>
      <c r="AL11" s="10" t="s">
        <v>69</v>
      </c>
      <c r="AM11" s="10" t="s">
        <v>69</v>
      </c>
      <c r="AN11" s="11" t="s">
        <v>69</v>
      </c>
      <c r="AO11" s="10" t="s">
        <v>69</v>
      </c>
      <c r="AP11" s="10" t="s">
        <v>69</v>
      </c>
      <c r="AQ11" s="10" t="s">
        <v>69</v>
      </c>
      <c r="AR11" s="10" t="s">
        <v>69</v>
      </c>
    </row>
    <row r="12" spans="1:44">
      <c r="A12" s="9" t="s">
        <v>4449</v>
      </c>
      <c r="B12" s="10" t="s">
        <v>4450</v>
      </c>
      <c r="C12" s="10"/>
      <c r="D12" s="10" t="s">
        <v>4450</v>
      </c>
      <c r="E12" s="10" t="s">
        <v>4451</v>
      </c>
      <c r="F12" s="10" t="s">
        <v>4450</v>
      </c>
      <c r="G12" s="11" t="s">
        <v>4450</v>
      </c>
      <c r="H12" s="11" t="s">
        <v>4450</v>
      </c>
      <c r="I12" s="11" t="s">
        <v>4450</v>
      </c>
      <c r="J12" s="11" t="s">
        <v>4451</v>
      </c>
      <c r="K12" s="10" t="s">
        <v>4451</v>
      </c>
      <c r="L12" s="10" t="s">
        <v>4451</v>
      </c>
      <c r="M12" s="10" t="s">
        <v>4450</v>
      </c>
      <c r="N12" s="10" t="s">
        <v>4450</v>
      </c>
      <c r="O12" s="10" t="s">
        <v>4450</v>
      </c>
      <c r="P12" s="10" t="s">
        <v>4451</v>
      </c>
      <c r="Q12" s="12" t="s">
        <v>4451</v>
      </c>
      <c r="R12" s="12" t="s">
        <v>4450</v>
      </c>
      <c r="S12" s="10" t="s">
        <v>4450</v>
      </c>
      <c r="T12" s="10" t="s">
        <v>4450</v>
      </c>
      <c r="U12" s="10" t="s">
        <v>4450</v>
      </c>
      <c r="V12" s="10" t="s">
        <v>4450</v>
      </c>
      <c r="W12" s="10" t="s">
        <v>4450</v>
      </c>
      <c r="X12" s="12" t="s">
        <v>4451</v>
      </c>
      <c r="Y12" s="11" t="s">
        <v>4450</v>
      </c>
      <c r="Z12" s="10" t="s">
        <v>4451</v>
      </c>
      <c r="AA12" s="10" t="s">
        <v>4450</v>
      </c>
      <c r="AB12" s="10" t="s">
        <v>4450</v>
      </c>
      <c r="AC12" s="10" t="s">
        <v>4450</v>
      </c>
      <c r="AD12" s="10" t="s">
        <v>4451</v>
      </c>
      <c r="AE12" s="10" t="s">
        <v>4450</v>
      </c>
      <c r="AF12" s="10" t="s">
        <v>4452</v>
      </c>
      <c r="AG12" s="10" t="s">
        <v>4450</v>
      </c>
      <c r="AH12" s="10" t="s">
        <v>4452</v>
      </c>
      <c r="AI12" s="10" t="s">
        <v>4450</v>
      </c>
      <c r="AJ12" s="10" t="s">
        <v>4450</v>
      </c>
      <c r="AK12" s="10" t="s">
        <v>4450</v>
      </c>
      <c r="AL12" s="10" t="s">
        <v>4451</v>
      </c>
      <c r="AM12" s="10" t="s">
        <v>4451</v>
      </c>
      <c r="AN12" s="11" t="s">
        <v>4450</v>
      </c>
      <c r="AO12" s="10" t="s">
        <v>4451</v>
      </c>
      <c r="AP12" s="10" t="s">
        <v>4451</v>
      </c>
      <c r="AQ12" s="10" t="s">
        <v>4451</v>
      </c>
      <c r="AR12" s="10" t="s">
        <v>4450</v>
      </c>
    </row>
    <row r="13" spans="1:44">
      <c r="A13" s="9" t="s">
        <v>4453</v>
      </c>
      <c r="B13" s="10" t="s">
        <v>4364</v>
      </c>
      <c r="C13" s="10"/>
      <c r="D13" s="10" t="s">
        <v>4364</v>
      </c>
      <c r="E13" s="10" t="s">
        <v>4364</v>
      </c>
      <c r="F13" s="10" t="s">
        <v>4364</v>
      </c>
      <c r="G13" s="11" t="s">
        <v>4364</v>
      </c>
      <c r="H13" s="11" t="s">
        <v>4364</v>
      </c>
      <c r="I13" s="11" t="s">
        <v>4364</v>
      </c>
      <c r="J13" s="11" t="s">
        <v>4364</v>
      </c>
      <c r="K13" s="10" t="s">
        <v>4364</v>
      </c>
      <c r="L13" s="10" t="s">
        <v>4364</v>
      </c>
      <c r="M13" s="10" t="s">
        <v>4364</v>
      </c>
      <c r="N13" s="10" t="s">
        <v>4364</v>
      </c>
      <c r="O13" s="10" t="s">
        <v>4364</v>
      </c>
      <c r="P13" s="10" t="s">
        <v>4364</v>
      </c>
      <c r="Q13" s="10" t="s">
        <v>4364</v>
      </c>
      <c r="R13" s="10" t="s">
        <v>4364</v>
      </c>
      <c r="S13" s="10" t="s">
        <v>4364</v>
      </c>
      <c r="T13" s="10" t="s">
        <v>4364</v>
      </c>
      <c r="U13" s="10" t="s">
        <v>4364</v>
      </c>
      <c r="V13" s="10" t="s">
        <v>4364</v>
      </c>
      <c r="W13" s="10" t="s">
        <v>4364</v>
      </c>
      <c r="X13" s="10" t="s">
        <v>4364</v>
      </c>
      <c r="Y13" s="10" t="s">
        <v>4364</v>
      </c>
      <c r="Z13" s="10" t="s">
        <v>4364</v>
      </c>
      <c r="AA13" s="10" t="s">
        <v>4364</v>
      </c>
      <c r="AB13" s="10" t="s">
        <v>4364</v>
      </c>
      <c r="AC13" s="10" t="s">
        <v>4364</v>
      </c>
      <c r="AD13" s="10" t="s">
        <v>4364</v>
      </c>
      <c r="AE13" s="10" t="s">
        <v>4364</v>
      </c>
      <c r="AF13" s="10" t="s">
        <v>4364</v>
      </c>
      <c r="AG13" s="10" t="s">
        <v>4364</v>
      </c>
      <c r="AH13" s="10" t="s">
        <v>4364</v>
      </c>
      <c r="AI13" s="10" t="s">
        <v>4364</v>
      </c>
      <c r="AJ13" s="10" t="s">
        <v>4364</v>
      </c>
      <c r="AK13" s="10" t="s">
        <v>4364</v>
      </c>
      <c r="AL13" s="10" t="s">
        <v>4364</v>
      </c>
      <c r="AM13" s="10" t="s">
        <v>4364</v>
      </c>
      <c r="AN13" s="11" t="s">
        <v>4364</v>
      </c>
      <c r="AO13" s="10" t="s">
        <v>4364</v>
      </c>
      <c r="AP13" s="10" t="s">
        <v>4364</v>
      </c>
      <c r="AQ13" s="10" t="s">
        <v>4364</v>
      </c>
      <c r="AR13" s="10" t="s">
        <v>4364</v>
      </c>
    </row>
    <row r="14" spans="1:44">
      <c r="A14" s="9" t="s">
        <v>4454</v>
      </c>
      <c r="B14" s="10" t="s">
        <v>4451</v>
      </c>
      <c r="C14" s="10" t="s">
        <v>4451</v>
      </c>
      <c r="D14" s="10" t="s">
        <v>4451</v>
      </c>
      <c r="E14" s="10" t="s">
        <v>4450</v>
      </c>
      <c r="F14" s="10" t="s">
        <v>4451</v>
      </c>
      <c r="G14" s="11" t="s">
        <v>4451</v>
      </c>
      <c r="H14" s="11" t="s">
        <v>4451</v>
      </c>
      <c r="I14" s="11" t="s">
        <v>4451</v>
      </c>
      <c r="J14" s="11" t="s">
        <v>4450</v>
      </c>
      <c r="K14" s="10" t="s">
        <v>4450</v>
      </c>
      <c r="L14" s="10"/>
      <c r="M14" s="10" t="s">
        <v>4451</v>
      </c>
      <c r="N14" s="10" t="s">
        <v>4451</v>
      </c>
      <c r="O14" s="10" t="s">
        <v>4451</v>
      </c>
      <c r="P14" s="10" t="s">
        <v>4450</v>
      </c>
      <c r="Q14" s="12"/>
      <c r="R14" s="12" t="s">
        <v>4451</v>
      </c>
      <c r="S14" s="10" t="s">
        <v>4451</v>
      </c>
      <c r="T14" s="10" t="s">
        <v>4451</v>
      </c>
      <c r="U14" s="10" t="s">
        <v>4451</v>
      </c>
      <c r="V14" s="10" t="s">
        <v>4451</v>
      </c>
      <c r="W14" s="10" t="s">
        <v>4451</v>
      </c>
      <c r="X14" s="12" t="s">
        <v>4450</v>
      </c>
      <c r="Y14" s="11" t="s">
        <v>4451</v>
      </c>
      <c r="Z14" s="10" t="s">
        <v>4450</v>
      </c>
      <c r="AA14" s="10" t="s">
        <v>4451</v>
      </c>
      <c r="AB14" s="10" t="s">
        <v>4451</v>
      </c>
      <c r="AC14" s="10" t="s">
        <v>4451</v>
      </c>
      <c r="AD14" s="10" t="s">
        <v>4450</v>
      </c>
      <c r="AE14" s="10" t="s">
        <v>4451</v>
      </c>
      <c r="AF14" s="10" t="s">
        <v>4450</v>
      </c>
      <c r="AG14" s="10" t="s">
        <v>4451</v>
      </c>
      <c r="AH14" s="10" t="s">
        <v>4450</v>
      </c>
      <c r="AI14" s="10" t="s">
        <v>4452</v>
      </c>
      <c r="AJ14" s="10" t="s">
        <v>4452</v>
      </c>
      <c r="AK14" s="10" t="s">
        <v>4451</v>
      </c>
      <c r="AL14" s="10" t="s">
        <v>4450</v>
      </c>
      <c r="AM14" s="10" t="s">
        <v>4450</v>
      </c>
      <c r="AN14" s="11" t="s">
        <v>4451</v>
      </c>
      <c r="AO14" s="10"/>
      <c r="AP14" s="10" t="s">
        <v>4450</v>
      </c>
      <c r="AQ14" s="10" t="s">
        <v>4450</v>
      </c>
      <c r="AR14" s="10" t="s">
        <v>4451</v>
      </c>
    </row>
    <row r="15" spans="1:44">
      <c r="A15" s="9" t="s">
        <v>4455</v>
      </c>
      <c r="B15" s="10" t="s">
        <v>4364</v>
      </c>
      <c r="C15" s="10" t="s">
        <v>4364</v>
      </c>
      <c r="D15" s="10" t="s">
        <v>4364</v>
      </c>
      <c r="E15" s="10" t="s">
        <v>4364</v>
      </c>
      <c r="F15" s="10" t="s">
        <v>4364</v>
      </c>
      <c r="G15" s="10" t="s">
        <v>4364</v>
      </c>
      <c r="H15" s="11" t="s">
        <v>4364</v>
      </c>
      <c r="I15" s="10" t="s">
        <v>4364</v>
      </c>
      <c r="J15" s="11" t="s">
        <v>4364</v>
      </c>
      <c r="K15" s="10" t="s">
        <v>4364</v>
      </c>
      <c r="L15" s="10"/>
      <c r="M15" s="10" t="s">
        <v>4364</v>
      </c>
      <c r="N15" s="10" t="s">
        <v>4364</v>
      </c>
      <c r="O15" s="10" t="s">
        <v>4364</v>
      </c>
      <c r="P15" s="10" t="s">
        <v>4364</v>
      </c>
      <c r="Q15" s="10"/>
      <c r="R15" s="10" t="s">
        <v>4364</v>
      </c>
      <c r="S15" s="10" t="s">
        <v>4364</v>
      </c>
      <c r="T15" s="10" t="s">
        <v>4364</v>
      </c>
      <c r="U15" s="10" t="s">
        <v>4364</v>
      </c>
      <c r="V15" s="10" t="s">
        <v>4364</v>
      </c>
      <c r="W15" s="10" t="s">
        <v>4364</v>
      </c>
      <c r="X15" s="10" t="s">
        <v>4364</v>
      </c>
      <c r="Y15" s="10" t="s">
        <v>4364</v>
      </c>
      <c r="Z15" s="10" t="s">
        <v>4364</v>
      </c>
      <c r="AA15" s="10" t="s">
        <v>4364</v>
      </c>
      <c r="AB15" s="10" t="s">
        <v>4364</v>
      </c>
      <c r="AC15" s="10" t="s">
        <v>4364</v>
      </c>
      <c r="AD15" s="10" t="s">
        <v>4364</v>
      </c>
      <c r="AE15" s="10" t="s">
        <v>4364</v>
      </c>
      <c r="AF15" s="10" t="s">
        <v>4364</v>
      </c>
      <c r="AG15" s="10" t="s">
        <v>4364</v>
      </c>
      <c r="AH15" s="10" t="s">
        <v>4364</v>
      </c>
      <c r="AI15" s="10" t="s">
        <v>4364</v>
      </c>
      <c r="AJ15" s="10" t="s">
        <v>4364</v>
      </c>
      <c r="AK15" s="10" t="s">
        <v>4364</v>
      </c>
      <c r="AL15" s="10" t="s">
        <v>4364</v>
      </c>
      <c r="AM15" s="10" t="s">
        <v>4364</v>
      </c>
      <c r="AN15" s="11" t="s">
        <v>4364</v>
      </c>
      <c r="AO15" s="10"/>
      <c r="AP15" s="10" t="s">
        <v>4364</v>
      </c>
      <c r="AQ15" s="10" t="s">
        <v>4364</v>
      </c>
      <c r="AR15" s="10" t="s">
        <v>4364</v>
      </c>
    </row>
    <row r="16" spans="1:44">
      <c r="A16" s="17" t="s">
        <v>4456</v>
      </c>
      <c r="B16" s="15">
        <v>20210601</v>
      </c>
      <c r="C16" s="15">
        <v>20211214</v>
      </c>
      <c r="D16" s="15">
        <v>20211220</v>
      </c>
      <c r="E16" s="15">
        <v>20211201</v>
      </c>
      <c r="F16" s="15">
        <v>20211214</v>
      </c>
      <c r="G16" s="16">
        <v>20211214</v>
      </c>
      <c r="H16" s="15">
        <v>20211220</v>
      </c>
      <c r="I16" s="16">
        <v>20210329</v>
      </c>
      <c r="J16" s="16">
        <v>20210329</v>
      </c>
      <c r="K16" s="15">
        <v>20211207</v>
      </c>
      <c r="L16" s="15">
        <v>20210416</v>
      </c>
      <c r="M16" s="15">
        <v>20211207</v>
      </c>
      <c r="N16" s="15">
        <v>20211130</v>
      </c>
      <c r="O16" s="20">
        <v>20211224</v>
      </c>
      <c r="P16" s="20">
        <v>20211224</v>
      </c>
      <c r="Q16" s="20">
        <v>20200410</v>
      </c>
      <c r="R16" s="20">
        <v>20210525</v>
      </c>
      <c r="S16" s="15">
        <v>20210525</v>
      </c>
      <c r="T16" s="15">
        <v>20211207</v>
      </c>
      <c r="U16" s="15">
        <v>20211207</v>
      </c>
      <c r="V16" s="15">
        <v>20211207</v>
      </c>
      <c r="W16" s="15">
        <v>20211207</v>
      </c>
      <c r="X16" s="20">
        <v>20201215</v>
      </c>
      <c r="Y16" s="16">
        <v>20201215</v>
      </c>
      <c r="Z16" s="15">
        <v>20200521</v>
      </c>
      <c r="AA16" s="15">
        <v>20200521</v>
      </c>
      <c r="AB16" s="15">
        <v>20191023</v>
      </c>
      <c r="AC16" s="146" t="s">
        <v>4457</v>
      </c>
      <c r="AD16" s="15">
        <v>20211105</v>
      </c>
      <c r="AE16" s="15">
        <v>20211015</v>
      </c>
      <c r="AF16" s="146" t="s">
        <v>4458</v>
      </c>
      <c r="AG16" s="15">
        <v>20211224</v>
      </c>
      <c r="AH16" s="15">
        <v>20211224</v>
      </c>
      <c r="AI16" s="15">
        <v>20190405</v>
      </c>
      <c r="AJ16" s="15">
        <v>20190405</v>
      </c>
      <c r="AK16" s="15">
        <v>20211215</v>
      </c>
      <c r="AL16" s="15">
        <v>20211215</v>
      </c>
      <c r="AM16" s="15">
        <v>20211215</v>
      </c>
      <c r="AN16" s="16">
        <v>20211215</v>
      </c>
      <c r="AO16" s="15">
        <v>20211130</v>
      </c>
      <c r="AP16" s="15">
        <v>20120612</v>
      </c>
      <c r="AQ16" s="15"/>
      <c r="AR16" s="15"/>
    </row>
    <row r="17" spans="1:44">
      <c r="A17" s="17" t="s">
        <v>4459</v>
      </c>
      <c r="B17" s="146" t="s">
        <v>4460</v>
      </c>
      <c r="C17" s="146" t="s">
        <v>4460</v>
      </c>
      <c r="D17" s="146" t="s">
        <v>4460</v>
      </c>
      <c r="E17" s="15" t="s">
        <v>4460</v>
      </c>
      <c r="F17" s="15" t="s">
        <v>4460</v>
      </c>
      <c r="G17" s="16" t="s">
        <v>4460</v>
      </c>
      <c r="H17" s="147" t="s">
        <v>4460</v>
      </c>
      <c r="I17" s="16" t="s">
        <v>4460</v>
      </c>
      <c r="J17" s="147" t="s">
        <v>4460</v>
      </c>
      <c r="K17" s="146" t="s">
        <v>4460</v>
      </c>
      <c r="L17" s="15"/>
      <c r="M17" s="146" t="s">
        <v>4460</v>
      </c>
      <c r="N17" s="146" t="s">
        <v>4460</v>
      </c>
      <c r="O17" s="148" t="s">
        <v>4460</v>
      </c>
      <c r="P17" s="148" t="s">
        <v>4460</v>
      </c>
      <c r="Q17" s="20"/>
      <c r="R17" s="148" t="s">
        <v>4460</v>
      </c>
      <c r="S17" s="146" t="s">
        <v>4460</v>
      </c>
      <c r="T17" s="146" t="s">
        <v>4460</v>
      </c>
      <c r="U17" s="146" t="s">
        <v>4460</v>
      </c>
      <c r="V17" s="146" t="s">
        <v>4460</v>
      </c>
      <c r="W17" s="146" t="s">
        <v>4460</v>
      </c>
      <c r="X17" s="148" t="s">
        <v>4460</v>
      </c>
      <c r="Y17" s="147" t="s">
        <v>4460</v>
      </c>
      <c r="Z17" s="146" t="s">
        <v>4460</v>
      </c>
      <c r="AA17" s="146" t="s">
        <v>4460</v>
      </c>
      <c r="AB17" s="146" t="s">
        <v>4460</v>
      </c>
      <c r="AC17" s="146" t="s">
        <v>4460</v>
      </c>
      <c r="AD17" s="146" t="s">
        <v>4460</v>
      </c>
      <c r="AE17" s="146" t="s">
        <v>4460</v>
      </c>
      <c r="AF17" s="146" t="s">
        <v>4460</v>
      </c>
      <c r="AG17" s="146" t="s">
        <v>4460</v>
      </c>
      <c r="AH17" s="146" t="s">
        <v>4460</v>
      </c>
      <c r="AI17" s="146" t="s">
        <v>4460</v>
      </c>
      <c r="AJ17" s="146" t="s">
        <v>4460</v>
      </c>
      <c r="AK17" s="146" t="s">
        <v>4460</v>
      </c>
      <c r="AL17" s="146" t="s">
        <v>4460</v>
      </c>
      <c r="AM17" s="146" t="s">
        <v>4460</v>
      </c>
      <c r="AN17" s="147" t="s">
        <v>4460</v>
      </c>
      <c r="AO17" s="146" t="s">
        <v>4460</v>
      </c>
      <c r="AP17" s="146" t="s">
        <v>4460</v>
      </c>
      <c r="AQ17" s="15"/>
      <c r="AR17" s="15"/>
    </row>
    <row r="18" spans="1:44">
      <c r="A18" s="17" t="s">
        <v>4461</v>
      </c>
      <c r="B18" s="15">
        <v>20210603</v>
      </c>
      <c r="C18" s="15">
        <v>20211216</v>
      </c>
      <c r="D18" s="15">
        <v>20211222</v>
      </c>
      <c r="E18" s="15">
        <v>20211201</v>
      </c>
      <c r="F18" s="15">
        <v>20211214</v>
      </c>
      <c r="G18" s="16">
        <v>20211214</v>
      </c>
      <c r="H18" s="15">
        <v>20211220</v>
      </c>
      <c r="I18" s="16">
        <v>20220331</v>
      </c>
      <c r="J18" s="16">
        <v>20220331</v>
      </c>
      <c r="K18" s="15">
        <v>20220309</v>
      </c>
      <c r="L18" s="15"/>
      <c r="M18" s="15">
        <v>20220307</v>
      </c>
      <c r="N18" s="15"/>
      <c r="O18" s="20">
        <v>20220324</v>
      </c>
      <c r="P18" s="20">
        <v>20220324</v>
      </c>
      <c r="Q18" s="20"/>
      <c r="R18" s="20">
        <v>20210527</v>
      </c>
      <c r="S18" s="15">
        <v>20211227</v>
      </c>
      <c r="T18" s="15">
        <v>20211209</v>
      </c>
      <c r="U18" s="15">
        <v>20220110</v>
      </c>
      <c r="V18" s="15">
        <v>20211209</v>
      </c>
      <c r="W18" s="15">
        <v>20220110</v>
      </c>
      <c r="X18" s="20">
        <v>20201215</v>
      </c>
      <c r="Y18" s="16">
        <v>20201215</v>
      </c>
      <c r="Z18" s="15">
        <v>20200521</v>
      </c>
      <c r="AA18" s="15">
        <v>20200521</v>
      </c>
      <c r="AB18" s="15">
        <v>20191023</v>
      </c>
      <c r="AC18" s="146" t="s">
        <v>4462</v>
      </c>
      <c r="AD18" s="15">
        <v>20211126</v>
      </c>
      <c r="AE18" s="15">
        <v>20211029</v>
      </c>
      <c r="AF18" s="146" t="s">
        <v>4458</v>
      </c>
      <c r="AG18" s="15">
        <v>20220121</v>
      </c>
      <c r="AH18" s="15">
        <v>20220121</v>
      </c>
      <c r="AI18" s="15"/>
      <c r="AJ18" s="15"/>
      <c r="AK18" s="15">
        <v>20211217</v>
      </c>
      <c r="AL18" s="15">
        <v>20211217</v>
      </c>
      <c r="AM18" s="15">
        <v>20211217</v>
      </c>
      <c r="AN18" s="16">
        <v>20211217</v>
      </c>
      <c r="AO18" s="15"/>
      <c r="AP18" s="15">
        <v>20120912</v>
      </c>
      <c r="AQ18" s="15">
        <v>20120612</v>
      </c>
      <c r="AR18" s="15">
        <v>20120612</v>
      </c>
    </row>
    <row r="19" spans="1:44">
      <c r="A19" s="17" t="s">
        <v>4463</v>
      </c>
      <c r="B19" s="15">
        <v>20210603</v>
      </c>
      <c r="C19" s="15">
        <v>20211216</v>
      </c>
      <c r="D19" s="15">
        <v>20211222</v>
      </c>
      <c r="E19" s="15">
        <v>20211201</v>
      </c>
      <c r="F19" s="15">
        <v>20211214</v>
      </c>
      <c r="G19" s="16">
        <v>20211214</v>
      </c>
      <c r="H19" s="16">
        <v>20220915</v>
      </c>
      <c r="I19" s="16">
        <v>20220331</v>
      </c>
      <c r="J19" s="16">
        <v>20220331</v>
      </c>
      <c r="K19" s="15">
        <v>20220309</v>
      </c>
      <c r="L19" s="15">
        <v>202106</v>
      </c>
      <c r="M19" s="15">
        <v>20220307</v>
      </c>
      <c r="N19" s="15">
        <v>20211230</v>
      </c>
      <c r="O19" s="20">
        <v>20220324</v>
      </c>
      <c r="P19" s="20">
        <v>20220324</v>
      </c>
      <c r="Q19" s="20">
        <v>202009</v>
      </c>
      <c r="R19" s="20">
        <v>20210527</v>
      </c>
      <c r="S19" s="15">
        <v>20211227</v>
      </c>
      <c r="T19" s="15">
        <v>20211209</v>
      </c>
      <c r="U19" s="15">
        <v>20220110</v>
      </c>
      <c r="V19" s="15">
        <v>20211209</v>
      </c>
      <c r="W19" s="15">
        <v>20220110</v>
      </c>
      <c r="X19" s="20">
        <v>20201215</v>
      </c>
      <c r="Y19" s="16">
        <v>20201215</v>
      </c>
      <c r="Z19" s="15">
        <v>20200921</v>
      </c>
      <c r="AA19" s="15">
        <v>20200921</v>
      </c>
      <c r="AB19" s="15">
        <v>20221023</v>
      </c>
      <c r="AC19" s="146" t="s">
        <v>4464</v>
      </c>
      <c r="AD19" s="15">
        <v>20211126</v>
      </c>
      <c r="AE19" s="15">
        <v>20211124</v>
      </c>
      <c r="AF19" s="146" t="s">
        <v>4465</v>
      </c>
      <c r="AG19" s="15">
        <v>20220121</v>
      </c>
      <c r="AH19" s="15">
        <v>20220121</v>
      </c>
      <c r="AI19" s="15">
        <v>20190621</v>
      </c>
      <c r="AJ19" s="15">
        <v>20190621</v>
      </c>
      <c r="AK19" s="15">
        <v>20220314</v>
      </c>
      <c r="AL19" s="15">
        <v>20220314</v>
      </c>
      <c r="AM19" s="15">
        <v>20220314</v>
      </c>
      <c r="AN19" s="16">
        <v>20220314</v>
      </c>
      <c r="AO19" s="15"/>
      <c r="AP19" s="15">
        <v>20120912</v>
      </c>
      <c r="AQ19" s="15">
        <v>20121212</v>
      </c>
      <c r="AR19" s="15">
        <v>20121212</v>
      </c>
    </row>
    <row r="20" spans="1:44">
      <c r="A20" s="17" t="s">
        <v>4466</v>
      </c>
      <c r="B20" s="15">
        <v>20210603</v>
      </c>
      <c r="C20" s="15">
        <v>20211216</v>
      </c>
      <c r="D20" s="15">
        <v>20211222</v>
      </c>
      <c r="E20" s="15">
        <v>20211201</v>
      </c>
      <c r="F20" s="15">
        <v>20211214</v>
      </c>
      <c r="G20" s="16">
        <v>20211214</v>
      </c>
      <c r="H20" s="16">
        <v>20220915</v>
      </c>
      <c r="I20" s="16">
        <v>20220331</v>
      </c>
      <c r="J20" s="16">
        <v>20220331</v>
      </c>
      <c r="K20" s="15">
        <v>20220309</v>
      </c>
      <c r="L20" s="15">
        <v>202106</v>
      </c>
      <c r="M20" s="15">
        <v>20220307</v>
      </c>
      <c r="N20" s="15">
        <v>20211230</v>
      </c>
      <c r="O20" s="20">
        <v>20220324</v>
      </c>
      <c r="P20" s="20">
        <v>20220324</v>
      </c>
      <c r="Q20" s="20">
        <v>202009</v>
      </c>
      <c r="R20" s="20">
        <v>20211227</v>
      </c>
      <c r="S20" s="15">
        <v>20211227</v>
      </c>
      <c r="T20" s="15">
        <v>20220110</v>
      </c>
      <c r="U20" s="15">
        <v>20220110</v>
      </c>
      <c r="V20" s="15">
        <v>20220110</v>
      </c>
      <c r="W20" s="15">
        <v>20220110</v>
      </c>
      <c r="X20" s="20">
        <v>20211215</v>
      </c>
      <c r="Y20" s="16">
        <v>20211215</v>
      </c>
      <c r="Z20" s="15">
        <v>20220321</v>
      </c>
      <c r="AA20" s="15">
        <v>20220321</v>
      </c>
      <c r="AB20" s="15">
        <v>20221023</v>
      </c>
      <c r="AC20" s="146" t="s">
        <v>4464</v>
      </c>
      <c r="AD20" s="15">
        <v>20211126</v>
      </c>
      <c r="AE20" s="15">
        <v>20241029</v>
      </c>
      <c r="AF20" s="146" t="s">
        <v>4467</v>
      </c>
      <c r="AG20" s="15">
        <v>20221224</v>
      </c>
      <c r="AH20" s="15">
        <v>20221224</v>
      </c>
      <c r="AI20" s="15">
        <v>20190621</v>
      </c>
      <c r="AJ20" s="15">
        <v>20190621</v>
      </c>
      <c r="AK20" s="15">
        <v>20220316</v>
      </c>
      <c r="AL20" s="15">
        <v>20220316</v>
      </c>
      <c r="AM20" s="15" t="s">
        <v>4468</v>
      </c>
      <c r="AN20" s="16">
        <v>20220316</v>
      </c>
      <c r="AO20" s="15"/>
      <c r="AP20" s="15">
        <v>20120912</v>
      </c>
      <c r="AQ20" s="15">
        <v>20121212</v>
      </c>
      <c r="AR20" s="15">
        <v>20121212</v>
      </c>
    </row>
    <row r="21" spans="1:44">
      <c r="A21" s="9" t="s">
        <v>4469</v>
      </c>
      <c r="B21" s="10"/>
      <c r="C21" s="24"/>
      <c r="D21" s="10"/>
      <c r="E21" s="10"/>
      <c r="F21" s="15"/>
      <c r="G21" s="16"/>
      <c r="H21" s="16"/>
      <c r="I21" s="11"/>
      <c r="J21" s="11"/>
      <c r="K21" s="10"/>
      <c r="L21" s="10"/>
      <c r="M21" s="10"/>
      <c r="N21" s="25"/>
      <c r="O21" s="12"/>
      <c r="P21" s="12"/>
      <c r="Q21" s="20"/>
      <c r="R21" s="12"/>
      <c r="S21" s="10"/>
      <c r="T21" s="10"/>
      <c r="U21" s="10"/>
      <c r="V21" s="10"/>
      <c r="W21" s="10"/>
      <c r="X21" s="12" t="s">
        <v>4470</v>
      </c>
      <c r="Y21" s="11" t="s">
        <v>4470</v>
      </c>
      <c r="Z21" s="10" t="s">
        <v>4471</v>
      </c>
      <c r="AA21" s="10" t="s">
        <v>4471</v>
      </c>
      <c r="AB21" s="10"/>
      <c r="AC21" s="10"/>
      <c r="AD21" s="10"/>
      <c r="AE21" s="10" t="s">
        <v>4470</v>
      </c>
      <c r="AF21" s="10" t="s">
        <v>4470</v>
      </c>
      <c r="AG21" s="10" t="s">
        <v>4470</v>
      </c>
      <c r="AH21" s="10" t="s">
        <v>4470</v>
      </c>
      <c r="AI21" s="10"/>
      <c r="AJ21" s="10"/>
      <c r="AK21" s="10"/>
      <c r="AL21" s="10"/>
      <c r="AM21" s="10"/>
      <c r="AN21" s="11"/>
      <c r="AO21" s="10"/>
      <c r="AP21" s="10"/>
      <c r="AQ21" s="10"/>
      <c r="AR21" s="10"/>
    </row>
    <row r="22" spans="1:44">
      <c r="A22" s="9" t="s">
        <v>4472</v>
      </c>
      <c r="B22" s="10">
        <v>6360</v>
      </c>
      <c r="C22" s="10">
        <v>500</v>
      </c>
      <c r="D22" s="10">
        <v>100</v>
      </c>
      <c r="E22" s="10">
        <v>100</v>
      </c>
      <c r="F22" s="10">
        <v>4</v>
      </c>
      <c r="G22" s="11">
        <v>100</v>
      </c>
      <c r="H22" s="11">
        <v>5000</v>
      </c>
      <c r="I22" s="11">
        <v>300</v>
      </c>
      <c r="J22" s="11">
        <v>300</v>
      </c>
      <c r="K22" s="10">
        <v>0.81</v>
      </c>
      <c r="L22" s="10">
        <v>1000000</v>
      </c>
      <c r="M22" s="10">
        <v>6</v>
      </c>
      <c r="N22" s="10">
        <v>1.8</v>
      </c>
      <c r="O22" s="12">
        <v>5000000</v>
      </c>
      <c r="P22" s="12">
        <v>5000000</v>
      </c>
      <c r="Q22" s="12">
        <v>1000000</v>
      </c>
      <c r="R22" s="12">
        <v>1000</v>
      </c>
      <c r="S22" s="10">
        <v>1233</v>
      </c>
      <c r="T22" s="10">
        <v>300</v>
      </c>
      <c r="U22" s="10">
        <v>6729.537</v>
      </c>
      <c r="V22" s="10">
        <v>300</v>
      </c>
      <c r="W22" s="10">
        <v>6729.537</v>
      </c>
      <c r="X22" s="12">
        <v>1000</v>
      </c>
      <c r="Y22" s="11">
        <v>1000</v>
      </c>
      <c r="Z22" s="10">
        <v>1000</v>
      </c>
      <c r="AA22" s="10">
        <v>6500</v>
      </c>
      <c r="AB22" s="10">
        <v>100000000</v>
      </c>
      <c r="AC22" s="10">
        <v>10000000</v>
      </c>
      <c r="AD22" s="10">
        <v>6590</v>
      </c>
      <c r="AE22" s="10">
        <v>8000</v>
      </c>
      <c r="AF22" s="10">
        <v>10000000</v>
      </c>
      <c r="AG22" s="10">
        <v>5000000</v>
      </c>
      <c r="AH22" s="10">
        <v>5000000</v>
      </c>
      <c r="AI22" s="10">
        <v>22000000</v>
      </c>
      <c r="AJ22" s="10">
        <v>22000000</v>
      </c>
      <c r="AK22" s="10">
        <v>10</v>
      </c>
      <c r="AL22" s="10">
        <v>100</v>
      </c>
      <c r="AM22" s="10">
        <v>150</v>
      </c>
      <c r="AN22" s="11">
        <v>500</v>
      </c>
      <c r="AO22" s="10">
        <v>9000</v>
      </c>
      <c r="AP22" s="10">
        <v>200000</v>
      </c>
      <c r="AQ22" s="10">
        <v>200000</v>
      </c>
      <c r="AR22" s="10">
        <v>200000</v>
      </c>
    </row>
    <row r="23" spans="1:44">
      <c r="A23" s="9" t="s">
        <v>4473</v>
      </c>
      <c r="B23" s="10" t="s">
        <v>4474</v>
      </c>
      <c r="C23" s="10" t="s">
        <v>4422</v>
      </c>
      <c r="D23" s="10" t="s">
        <v>4475</v>
      </c>
      <c r="E23" s="10" t="s">
        <v>4475</v>
      </c>
      <c r="F23" s="10" t="s">
        <v>4476</v>
      </c>
      <c r="G23" s="11" t="s">
        <v>4476</v>
      </c>
      <c r="H23" s="11" t="s">
        <v>4476</v>
      </c>
      <c r="I23" s="11" t="s">
        <v>4421</v>
      </c>
      <c r="J23" s="11" t="s">
        <v>4421</v>
      </c>
      <c r="K23" s="10" t="s">
        <v>4475</v>
      </c>
      <c r="L23" s="10" t="s">
        <v>4474</v>
      </c>
      <c r="M23" s="10" t="s">
        <v>4477</v>
      </c>
      <c r="N23" s="10" t="s">
        <v>4478</v>
      </c>
      <c r="O23" s="12" t="s">
        <v>4474</v>
      </c>
      <c r="P23" s="12" t="s">
        <v>4474</v>
      </c>
      <c r="Q23" s="12" t="s">
        <v>4474</v>
      </c>
      <c r="R23" s="12" t="s">
        <v>4422</v>
      </c>
      <c r="S23" s="10" t="s">
        <v>4421</v>
      </c>
      <c r="T23" s="10" t="s">
        <v>4475</v>
      </c>
      <c r="U23" s="10" t="s">
        <v>4421</v>
      </c>
      <c r="V23" s="10" t="s">
        <v>4475</v>
      </c>
      <c r="W23" s="10" t="s">
        <v>4421</v>
      </c>
      <c r="X23" s="12" t="s">
        <v>4474</v>
      </c>
      <c r="Y23" s="11" t="s">
        <v>4474</v>
      </c>
      <c r="Z23" s="10" t="s">
        <v>4421</v>
      </c>
      <c r="AA23" s="10" t="s">
        <v>4474</v>
      </c>
      <c r="AB23" s="10" t="s">
        <v>4474</v>
      </c>
      <c r="AC23" s="10" t="s">
        <v>4474</v>
      </c>
      <c r="AD23" s="10" t="s">
        <v>4474</v>
      </c>
      <c r="AE23" s="10" t="s">
        <v>4422</v>
      </c>
      <c r="AF23" s="10" t="s">
        <v>4474</v>
      </c>
      <c r="AG23" s="10" t="s">
        <v>4474</v>
      </c>
      <c r="AH23" s="10" t="s">
        <v>4474</v>
      </c>
      <c r="AI23" s="10" t="s">
        <v>4479</v>
      </c>
      <c r="AJ23" s="10" t="s">
        <v>4479</v>
      </c>
      <c r="AK23" s="10" t="s">
        <v>4475</v>
      </c>
      <c r="AL23" s="10" t="s">
        <v>4421</v>
      </c>
      <c r="AM23" s="10" t="s">
        <v>4421</v>
      </c>
      <c r="AN23" s="11" t="s">
        <v>4474</v>
      </c>
      <c r="AO23" s="10" t="s">
        <v>4476</v>
      </c>
      <c r="AP23" s="10" t="s">
        <v>4421</v>
      </c>
      <c r="AQ23" s="10" t="s">
        <v>4421</v>
      </c>
      <c r="AR23" s="10" t="s">
        <v>4421</v>
      </c>
    </row>
    <row r="24" spans="1:44">
      <c r="A24" s="9" t="s">
        <v>4480</v>
      </c>
      <c r="B24" s="10">
        <v>1000</v>
      </c>
      <c r="C24" s="10">
        <v>564</v>
      </c>
      <c r="D24" s="10">
        <v>179740</v>
      </c>
      <c r="E24" s="10">
        <v>180000</v>
      </c>
      <c r="F24" s="10">
        <v>1462.79</v>
      </c>
      <c r="G24" s="11">
        <v>100</v>
      </c>
      <c r="H24" s="11">
        <v>50</v>
      </c>
      <c r="I24" s="11">
        <v>4549500</v>
      </c>
      <c r="J24" s="11">
        <v>4544100</v>
      </c>
      <c r="K24" s="10">
        <v>1504.4511</v>
      </c>
      <c r="L24" s="10">
        <v>9943000</v>
      </c>
      <c r="M24" s="10">
        <v>119082</v>
      </c>
      <c r="N24" s="10">
        <v>842.094</v>
      </c>
      <c r="O24" s="12">
        <v>440</v>
      </c>
      <c r="P24" s="12">
        <v>0</v>
      </c>
      <c r="Q24" s="12">
        <v>1028350</v>
      </c>
      <c r="R24" s="12">
        <v>1222</v>
      </c>
      <c r="S24" s="10">
        <v>1000</v>
      </c>
      <c r="T24" s="10">
        <v>6729</v>
      </c>
      <c r="U24" s="10">
        <v>300</v>
      </c>
      <c r="V24" s="10">
        <v>6729</v>
      </c>
      <c r="W24" s="10">
        <v>300</v>
      </c>
      <c r="X24" s="12">
        <v>263</v>
      </c>
      <c r="Y24" s="11">
        <v>50</v>
      </c>
      <c r="Z24" s="10">
        <v>600</v>
      </c>
      <c r="AA24" s="10">
        <v>10</v>
      </c>
      <c r="AB24" s="10">
        <v>250</v>
      </c>
      <c r="AC24" s="10">
        <v>1</v>
      </c>
      <c r="AD24" s="10">
        <v>20</v>
      </c>
      <c r="AE24" s="10">
        <v>0</v>
      </c>
      <c r="AF24" s="10">
        <v>1000</v>
      </c>
      <c r="AG24" s="10">
        <v>10500</v>
      </c>
      <c r="AH24" s="10">
        <v>10000</v>
      </c>
      <c r="AI24" s="10">
        <v>374000</v>
      </c>
      <c r="AJ24" s="10">
        <v>374000</v>
      </c>
      <c r="AK24" s="10">
        <v>350</v>
      </c>
      <c r="AL24" s="10">
        <v>45</v>
      </c>
      <c r="AM24" s="10">
        <v>78</v>
      </c>
      <c r="AN24" s="11">
        <v>300</v>
      </c>
      <c r="AO24" s="10">
        <v>3317940</v>
      </c>
      <c r="AP24" s="10">
        <v>200</v>
      </c>
      <c r="AQ24" s="10">
        <v>200</v>
      </c>
      <c r="AR24" s="10">
        <v>300</v>
      </c>
    </row>
    <row r="25" spans="1:44">
      <c r="A25" s="9" t="s">
        <v>4481</v>
      </c>
      <c r="B25" s="10" t="s">
        <v>4421</v>
      </c>
      <c r="C25" s="10" t="s">
        <v>4421</v>
      </c>
      <c r="D25" s="10" t="s">
        <v>4421</v>
      </c>
      <c r="E25" s="10" t="s">
        <v>4421</v>
      </c>
      <c r="F25" s="10" t="s">
        <v>4474</v>
      </c>
      <c r="G25" s="11" t="s">
        <v>4476</v>
      </c>
      <c r="H25" s="11" t="s">
        <v>4482</v>
      </c>
      <c r="I25" s="11" t="s">
        <v>4483</v>
      </c>
      <c r="J25" s="11" t="s">
        <v>4483</v>
      </c>
      <c r="K25" s="10" t="s">
        <v>4421</v>
      </c>
      <c r="L25" s="10" t="s">
        <v>4474</v>
      </c>
      <c r="M25" s="10" t="s">
        <v>4421</v>
      </c>
      <c r="N25" s="10" t="s">
        <v>4474</v>
      </c>
      <c r="O25" s="12" t="s">
        <v>4482</v>
      </c>
      <c r="P25" s="12" t="s">
        <v>4482</v>
      </c>
      <c r="Q25" s="12" t="s">
        <v>4474</v>
      </c>
      <c r="R25" s="12" t="s">
        <v>4421</v>
      </c>
      <c r="S25" s="10" t="s">
        <v>4422</v>
      </c>
      <c r="T25" s="10" t="s">
        <v>4421</v>
      </c>
      <c r="U25" s="10" t="s">
        <v>4475</v>
      </c>
      <c r="V25" s="10" t="s">
        <v>4421</v>
      </c>
      <c r="W25" s="10" t="s">
        <v>4475</v>
      </c>
      <c r="X25" s="12" t="s">
        <v>4482</v>
      </c>
      <c r="Y25" s="11" t="s">
        <v>4482</v>
      </c>
      <c r="Z25" s="10" t="s">
        <v>4482</v>
      </c>
      <c r="AA25" s="10" t="s">
        <v>4482</v>
      </c>
      <c r="AB25" s="10" t="s">
        <v>4482</v>
      </c>
      <c r="AC25" s="10" t="s">
        <v>4482</v>
      </c>
      <c r="AD25" s="10" t="s">
        <v>4474</v>
      </c>
      <c r="AE25" s="10" t="s">
        <v>4422</v>
      </c>
      <c r="AF25" s="10" t="s">
        <v>4474</v>
      </c>
      <c r="AG25" s="10" t="s">
        <v>4474</v>
      </c>
      <c r="AH25" s="10" t="s">
        <v>4474</v>
      </c>
      <c r="AI25" s="10" t="s">
        <v>4421</v>
      </c>
      <c r="AJ25" s="10" t="s">
        <v>4421</v>
      </c>
      <c r="AK25" s="10" t="s">
        <v>4421</v>
      </c>
      <c r="AL25" s="10" t="s">
        <v>4421</v>
      </c>
      <c r="AM25" s="10" t="s">
        <v>4421</v>
      </c>
      <c r="AN25" s="11" t="s">
        <v>4474</v>
      </c>
      <c r="AO25" s="10" t="s">
        <v>4474</v>
      </c>
      <c r="AP25" s="10" t="s">
        <v>4421</v>
      </c>
      <c r="AQ25" s="10" t="s">
        <v>4482</v>
      </c>
      <c r="AR25" s="10" t="s">
        <v>4482</v>
      </c>
    </row>
    <row r="26" spans="1:44">
      <c r="A26" s="9" t="s">
        <v>4484</v>
      </c>
      <c r="B26" s="10" t="s">
        <v>4485</v>
      </c>
      <c r="C26" s="10" t="s">
        <v>4486</v>
      </c>
      <c r="D26" s="10" t="s">
        <v>4487</v>
      </c>
      <c r="E26" s="10" t="s">
        <v>4485</v>
      </c>
      <c r="F26" s="10" t="s">
        <v>4485</v>
      </c>
      <c r="G26" s="11" t="s">
        <v>4485</v>
      </c>
      <c r="H26" s="11" t="s">
        <v>4488</v>
      </c>
      <c r="I26" s="11" t="s">
        <v>4485</v>
      </c>
      <c r="J26" s="11" t="s">
        <v>4485</v>
      </c>
      <c r="K26" s="10" t="s">
        <v>4485</v>
      </c>
      <c r="L26" s="10" t="s">
        <v>4485</v>
      </c>
      <c r="M26" s="10" t="s">
        <v>4485</v>
      </c>
      <c r="N26" s="10" t="s">
        <v>4485</v>
      </c>
      <c r="O26" s="10" t="s">
        <v>4485</v>
      </c>
      <c r="P26" s="10" t="s">
        <v>4485</v>
      </c>
      <c r="Q26" s="12" t="s">
        <v>4489</v>
      </c>
      <c r="R26" s="12" t="s">
        <v>4485</v>
      </c>
      <c r="S26" s="10" t="s">
        <v>4485</v>
      </c>
      <c r="T26" s="10" t="s">
        <v>4485</v>
      </c>
      <c r="U26" s="10" t="s">
        <v>4485</v>
      </c>
      <c r="V26" s="10" t="s">
        <v>4485</v>
      </c>
      <c r="W26" s="10" t="s">
        <v>4485</v>
      </c>
      <c r="X26" s="12" t="s">
        <v>4485</v>
      </c>
      <c r="Y26" s="11" t="s">
        <v>4485</v>
      </c>
      <c r="Z26" s="10" t="s">
        <v>4485</v>
      </c>
      <c r="AA26" s="10" t="s">
        <v>4485</v>
      </c>
      <c r="AB26" s="10" t="s">
        <v>4485</v>
      </c>
      <c r="AC26" s="10" t="s">
        <v>4485</v>
      </c>
      <c r="AD26" s="10" t="s">
        <v>4485</v>
      </c>
      <c r="AE26" s="10" t="s">
        <v>4485</v>
      </c>
      <c r="AF26" s="10" t="s">
        <v>4485</v>
      </c>
      <c r="AG26" s="10" t="s">
        <v>4485</v>
      </c>
      <c r="AH26" s="10" t="s">
        <v>4485</v>
      </c>
      <c r="AI26" s="10" t="s">
        <v>4485</v>
      </c>
      <c r="AJ26" s="10" t="s">
        <v>4485</v>
      </c>
      <c r="AK26" s="10" t="s">
        <v>4485</v>
      </c>
      <c r="AL26" s="10" t="s">
        <v>4485</v>
      </c>
      <c r="AM26" s="10" t="s">
        <v>4485</v>
      </c>
      <c r="AN26" s="11" t="s">
        <v>4485</v>
      </c>
      <c r="AO26" s="10" t="s">
        <v>4488</v>
      </c>
      <c r="AP26" s="10" t="s">
        <v>4485</v>
      </c>
      <c r="AQ26" s="10" t="s">
        <v>4485</v>
      </c>
      <c r="AR26" s="10" t="s">
        <v>4485</v>
      </c>
    </row>
    <row r="27" spans="1:44">
      <c r="A27" s="9" t="s">
        <v>4490</v>
      </c>
      <c r="B27" s="10" t="s">
        <v>4491</v>
      </c>
      <c r="C27" s="10" t="s">
        <v>4492</v>
      </c>
      <c r="D27" s="10" t="s">
        <v>4491</v>
      </c>
      <c r="E27" s="10" t="s">
        <v>4491</v>
      </c>
      <c r="F27" s="10" t="s">
        <v>4491</v>
      </c>
      <c r="G27" s="10" t="s">
        <v>4491</v>
      </c>
      <c r="H27" s="11" t="s">
        <v>4491</v>
      </c>
      <c r="I27" s="11" t="s">
        <v>4493</v>
      </c>
      <c r="J27" s="11" t="s">
        <v>4493</v>
      </c>
      <c r="K27" s="10" t="s">
        <v>4493</v>
      </c>
      <c r="L27" s="10" t="s">
        <v>4493</v>
      </c>
      <c r="M27" s="10" t="s">
        <v>4491</v>
      </c>
      <c r="N27" s="10" t="s">
        <v>4491</v>
      </c>
      <c r="O27" s="10" t="s">
        <v>4493</v>
      </c>
      <c r="P27" s="10" t="s">
        <v>4493</v>
      </c>
      <c r="Q27" s="10" t="s">
        <v>4491</v>
      </c>
      <c r="R27" s="12" t="s">
        <v>4491</v>
      </c>
      <c r="S27" s="10" t="s">
        <v>4491</v>
      </c>
      <c r="T27" s="10" t="s">
        <v>4491</v>
      </c>
      <c r="U27" s="10" t="s">
        <v>4491</v>
      </c>
      <c r="V27" s="10" t="s">
        <v>4491</v>
      </c>
      <c r="W27" s="10" t="s">
        <v>4491</v>
      </c>
      <c r="X27" s="12" t="s">
        <v>4493</v>
      </c>
      <c r="Y27" s="11" t="s">
        <v>4493</v>
      </c>
      <c r="Z27" s="10" t="s">
        <v>4493</v>
      </c>
      <c r="AA27" s="10" t="s">
        <v>4493</v>
      </c>
      <c r="AB27" s="10" t="s">
        <v>4491</v>
      </c>
      <c r="AC27" s="10" t="s">
        <v>4491</v>
      </c>
      <c r="AD27" s="10" t="s">
        <v>4491</v>
      </c>
      <c r="AE27" s="10" t="s">
        <v>4493</v>
      </c>
      <c r="AF27" s="10" t="s">
        <v>4491</v>
      </c>
      <c r="AG27" s="10" t="s">
        <v>4493</v>
      </c>
      <c r="AH27" s="10" t="s">
        <v>4493</v>
      </c>
      <c r="AI27" s="10" t="s">
        <v>4493</v>
      </c>
      <c r="AJ27" s="10" t="s">
        <v>4493</v>
      </c>
      <c r="AK27" s="10" t="s">
        <v>4493</v>
      </c>
      <c r="AL27" s="10" t="s">
        <v>4493</v>
      </c>
      <c r="AM27" s="10" t="s">
        <v>4493</v>
      </c>
      <c r="AN27" s="11" t="s">
        <v>4493</v>
      </c>
      <c r="AO27" s="10" t="s">
        <v>4491</v>
      </c>
      <c r="AP27" s="10" t="s">
        <v>4493</v>
      </c>
      <c r="AQ27" s="10" t="s">
        <v>4493</v>
      </c>
      <c r="AR27" s="10" t="s">
        <v>4493</v>
      </c>
    </row>
    <row r="28" spans="1:44">
      <c r="A28" s="9" t="s">
        <v>4494</v>
      </c>
      <c r="B28" s="10"/>
      <c r="C28" s="10"/>
      <c r="D28" s="10"/>
      <c r="E28" s="10"/>
      <c r="F28" s="10"/>
      <c r="G28" s="11"/>
      <c r="H28" s="11"/>
      <c r="I28" s="11"/>
      <c r="J28" s="11"/>
      <c r="K28" s="10"/>
      <c r="L28" s="10"/>
      <c r="M28" s="10"/>
      <c r="N28" s="10"/>
      <c r="O28" s="12"/>
      <c r="P28" s="12"/>
      <c r="Q28" s="12"/>
      <c r="R28" s="12"/>
      <c r="S28" s="10"/>
      <c r="T28" s="10"/>
      <c r="U28" s="10"/>
      <c r="V28" s="10"/>
      <c r="W28" s="10"/>
      <c r="X28" s="12"/>
      <c r="Y28" s="11"/>
      <c r="Z28" s="10"/>
      <c r="AA28" s="10"/>
      <c r="AB28" s="10"/>
      <c r="AC28" s="10"/>
      <c r="AD28" s="10" t="s">
        <v>4495</v>
      </c>
      <c r="AE28" s="10" t="s">
        <v>4496</v>
      </c>
      <c r="AF28" s="10" t="s">
        <v>4497</v>
      </c>
      <c r="AG28" s="10" t="s">
        <v>4497</v>
      </c>
      <c r="AH28" s="10" t="s">
        <v>4496</v>
      </c>
      <c r="AI28" s="10" t="s">
        <v>4495</v>
      </c>
      <c r="AJ28" s="10" t="s">
        <v>4495</v>
      </c>
      <c r="AK28" s="10" t="s">
        <v>4498</v>
      </c>
      <c r="AL28" s="10" t="s">
        <v>4495</v>
      </c>
      <c r="AM28" s="10" t="s">
        <v>4498</v>
      </c>
      <c r="AN28" s="11" t="s">
        <v>4499</v>
      </c>
      <c r="AO28" s="10"/>
      <c r="AP28" s="10" t="s">
        <v>4498</v>
      </c>
      <c r="AQ28" s="10"/>
      <c r="AR28" s="10"/>
    </row>
    <row r="29" spans="1:44">
      <c r="A29" s="9" t="s">
        <v>4500</v>
      </c>
      <c r="B29" s="10"/>
      <c r="C29" s="10"/>
      <c r="D29" s="10"/>
      <c r="E29" s="10"/>
      <c r="F29" s="10"/>
      <c r="G29" s="11"/>
      <c r="H29" s="11"/>
      <c r="I29" s="11"/>
      <c r="J29" s="11"/>
      <c r="K29" s="10"/>
      <c r="L29" s="10"/>
      <c r="M29" s="10"/>
      <c r="N29" s="10"/>
      <c r="O29" s="12"/>
      <c r="P29" s="12"/>
      <c r="Q29" s="12"/>
      <c r="R29" s="12"/>
      <c r="S29" s="10"/>
      <c r="T29" s="10"/>
      <c r="U29" s="10"/>
      <c r="V29" s="10"/>
      <c r="W29" s="10"/>
      <c r="X29" s="12"/>
      <c r="Y29" s="11"/>
      <c r="Z29" s="10"/>
      <c r="AA29" s="10"/>
      <c r="AB29" s="10"/>
      <c r="AC29" s="10"/>
      <c r="AD29" s="10" t="s">
        <v>4501</v>
      </c>
      <c r="AE29" s="10" t="s">
        <v>4501</v>
      </c>
      <c r="AF29" s="10" t="s">
        <v>4501</v>
      </c>
      <c r="AG29" s="10" t="s">
        <v>4501</v>
      </c>
      <c r="AH29" s="10" t="s">
        <v>4501</v>
      </c>
      <c r="AI29" s="10" t="s">
        <v>4501</v>
      </c>
      <c r="AJ29" s="10" t="s">
        <v>4501</v>
      </c>
      <c r="AK29" s="10" t="s">
        <v>4501</v>
      </c>
      <c r="AL29" s="10" t="s">
        <v>4501</v>
      </c>
      <c r="AM29" s="10" t="s">
        <v>4502</v>
      </c>
      <c r="AN29" s="11" t="s">
        <v>4502</v>
      </c>
      <c r="AO29" s="10"/>
      <c r="AP29" s="10" t="s">
        <v>4501</v>
      </c>
      <c r="AQ29" s="10"/>
      <c r="AR29" s="10"/>
    </row>
    <row r="30" spans="1:44">
      <c r="A30" s="17" t="s">
        <v>4503</v>
      </c>
      <c r="B30" s="10"/>
      <c r="C30" s="10"/>
      <c r="D30" s="10"/>
      <c r="E30" s="10"/>
      <c r="F30" s="10"/>
      <c r="G30" s="11"/>
      <c r="H30" s="11"/>
      <c r="I30" s="11"/>
      <c r="J30" s="11"/>
      <c r="K30" s="10"/>
      <c r="L30" s="10"/>
      <c r="M30" s="10"/>
      <c r="N30" s="10"/>
      <c r="O30" s="12"/>
      <c r="P30" s="12"/>
      <c r="Q30" s="12"/>
      <c r="R30" s="12"/>
      <c r="S30" s="10"/>
      <c r="T30" s="10"/>
      <c r="U30" s="10"/>
      <c r="V30" s="10"/>
      <c r="W30" s="10"/>
      <c r="X30" s="12"/>
      <c r="Y30" s="11"/>
      <c r="Z30" s="10"/>
      <c r="AA30" s="10"/>
      <c r="AB30" s="10"/>
      <c r="AC30" s="10"/>
      <c r="AD30" s="10">
        <v>1000</v>
      </c>
      <c r="AE30" s="10">
        <v>0</v>
      </c>
      <c r="AF30" s="10">
        <v>150</v>
      </c>
      <c r="AG30" s="10">
        <v>405</v>
      </c>
      <c r="AH30" s="10">
        <v>380</v>
      </c>
      <c r="AI30" s="10">
        <v>17820000</v>
      </c>
      <c r="AJ30" s="10">
        <v>17820000</v>
      </c>
      <c r="AK30" s="10">
        <v>16500</v>
      </c>
      <c r="AL30" s="10">
        <v>1.135</v>
      </c>
      <c r="AM30" s="10">
        <v>1.15</v>
      </c>
      <c r="AN30" s="11"/>
      <c r="AO30" s="10"/>
      <c r="AP30" s="10">
        <v>200</v>
      </c>
      <c r="AQ30" s="10"/>
      <c r="AR30" s="10"/>
    </row>
    <row r="31" spans="1:44">
      <c r="A31" s="9" t="s">
        <v>4504</v>
      </c>
      <c r="B31" s="10"/>
      <c r="C31" s="10"/>
      <c r="D31" s="10"/>
      <c r="E31" s="10"/>
      <c r="F31" s="10"/>
      <c r="G31" s="11"/>
      <c r="H31" s="11"/>
      <c r="I31" s="11"/>
      <c r="J31" s="11"/>
      <c r="K31" s="10"/>
      <c r="L31" s="10"/>
      <c r="M31" s="10"/>
      <c r="N31" s="10"/>
      <c r="O31" s="12"/>
      <c r="P31" s="12"/>
      <c r="Q31" s="12"/>
      <c r="R31" s="12"/>
      <c r="S31" s="10"/>
      <c r="T31" s="10"/>
      <c r="U31" s="10"/>
      <c r="V31" s="10"/>
      <c r="W31" s="10"/>
      <c r="X31" s="12"/>
      <c r="Y31" s="11"/>
      <c r="Z31" s="10"/>
      <c r="AA31" s="10"/>
      <c r="AB31" s="10"/>
      <c r="AC31" s="10"/>
      <c r="AD31" s="10" t="s">
        <v>4421</v>
      </c>
      <c r="AE31" s="10" t="s">
        <v>4482</v>
      </c>
      <c r="AF31" s="10" t="s">
        <v>4482</v>
      </c>
      <c r="AG31" s="10" t="s">
        <v>4482</v>
      </c>
      <c r="AH31" s="10" t="s">
        <v>4482</v>
      </c>
      <c r="AI31" s="10" t="s">
        <v>4421</v>
      </c>
      <c r="AJ31" s="10" t="s">
        <v>4421</v>
      </c>
      <c r="AK31" s="10" t="s">
        <v>4421</v>
      </c>
      <c r="AL31" s="10" t="s">
        <v>4410</v>
      </c>
      <c r="AM31" s="10" t="s">
        <v>4410</v>
      </c>
      <c r="AN31" s="11"/>
      <c r="AO31" s="10"/>
      <c r="AP31" s="10" t="s">
        <v>4482</v>
      </c>
      <c r="AQ31" s="10"/>
      <c r="AR31" s="10"/>
    </row>
    <row r="32" spans="1:44">
      <c r="A32" s="9" t="s">
        <v>4505</v>
      </c>
      <c r="B32" s="10" t="s">
        <v>4506</v>
      </c>
      <c r="C32" s="10" t="s">
        <v>4506</v>
      </c>
      <c r="D32" s="10" t="s">
        <v>4506</v>
      </c>
      <c r="E32" s="10" t="s">
        <v>4507</v>
      </c>
      <c r="F32" s="10" t="s">
        <v>4506</v>
      </c>
      <c r="G32" s="10" t="s">
        <v>4506</v>
      </c>
      <c r="H32" s="10" t="s">
        <v>4506</v>
      </c>
      <c r="I32" s="11" t="s">
        <v>4506</v>
      </c>
      <c r="J32" s="11" t="s">
        <v>4506</v>
      </c>
      <c r="K32" s="10" t="s">
        <v>4507</v>
      </c>
      <c r="L32" s="10" t="s">
        <v>4506</v>
      </c>
      <c r="M32" s="10" t="s">
        <v>4507</v>
      </c>
      <c r="N32" s="10" t="s">
        <v>4507</v>
      </c>
      <c r="O32" s="10" t="s">
        <v>4506</v>
      </c>
      <c r="P32" s="10" t="s">
        <v>4506</v>
      </c>
      <c r="Q32" s="12" t="s">
        <v>4507</v>
      </c>
      <c r="R32" s="12" t="s">
        <v>4506</v>
      </c>
      <c r="S32" s="10" t="s">
        <v>4506</v>
      </c>
      <c r="T32" s="10" t="s">
        <v>4507</v>
      </c>
      <c r="U32" s="10" t="s">
        <v>4507</v>
      </c>
      <c r="V32" s="10" t="s">
        <v>4507</v>
      </c>
      <c r="W32" s="10" t="s">
        <v>4507</v>
      </c>
      <c r="X32" s="12" t="s">
        <v>4506</v>
      </c>
      <c r="Y32" s="11" t="s">
        <v>4506</v>
      </c>
      <c r="Z32" s="10" t="s">
        <v>4506</v>
      </c>
      <c r="AA32" s="10" t="s">
        <v>4506</v>
      </c>
      <c r="AB32" s="10" t="s">
        <v>4506</v>
      </c>
      <c r="AC32" s="10" t="s">
        <v>4506</v>
      </c>
      <c r="AD32" s="10" t="s">
        <v>4506</v>
      </c>
      <c r="AE32" s="10" t="s">
        <v>4506</v>
      </c>
      <c r="AF32" s="10" t="s">
        <v>4506</v>
      </c>
      <c r="AG32" s="10" t="s">
        <v>4506</v>
      </c>
      <c r="AH32" s="10" t="s">
        <v>4506</v>
      </c>
      <c r="AI32" s="10" t="s">
        <v>4506</v>
      </c>
      <c r="AJ32" s="10" t="s">
        <v>4506</v>
      </c>
      <c r="AK32" s="10" t="s">
        <v>4506</v>
      </c>
      <c r="AL32" s="10" t="s">
        <v>4506</v>
      </c>
      <c r="AM32" s="10" t="s">
        <v>4506</v>
      </c>
      <c r="AN32" s="11" t="s">
        <v>4506</v>
      </c>
      <c r="AO32" s="10" t="s">
        <v>4507</v>
      </c>
      <c r="AP32" s="11" t="s">
        <v>4506</v>
      </c>
      <c r="AQ32" s="11" t="s">
        <v>4506</v>
      </c>
      <c r="AR32" s="10" t="s">
        <v>4506</v>
      </c>
    </row>
    <row r="33" spans="1:44">
      <c r="A33" s="9" t="s">
        <v>4508</v>
      </c>
      <c r="B33" s="10"/>
      <c r="C33" s="10"/>
      <c r="D33" s="10"/>
      <c r="E33" s="10"/>
      <c r="F33" s="10"/>
      <c r="G33" s="11"/>
      <c r="H33" s="11"/>
      <c r="I33" s="11" t="s">
        <v>4509</v>
      </c>
      <c r="J33" s="11" t="s">
        <v>4509</v>
      </c>
      <c r="K33" s="10" t="s">
        <v>4510</v>
      </c>
      <c r="L33" s="10"/>
      <c r="M33" s="10" t="s">
        <v>4511</v>
      </c>
      <c r="N33" s="10"/>
      <c r="O33" s="12"/>
      <c r="P33" s="12"/>
      <c r="Q33" s="12"/>
      <c r="R33" s="12" t="s">
        <v>4510</v>
      </c>
      <c r="S33" s="10" t="s">
        <v>4510</v>
      </c>
      <c r="T33" s="10" t="s">
        <v>4511</v>
      </c>
      <c r="U33" s="10" t="s">
        <v>4511</v>
      </c>
      <c r="V33" s="10" t="s">
        <v>4511</v>
      </c>
      <c r="W33" s="10" t="s">
        <v>4511</v>
      </c>
      <c r="X33" s="12" t="s">
        <v>4510</v>
      </c>
      <c r="Y33" s="11" t="s">
        <v>4510</v>
      </c>
      <c r="Z33" s="10" t="s">
        <v>4510</v>
      </c>
      <c r="AA33" s="10" t="s">
        <v>4510</v>
      </c>
      <c r="AB33" s="10" t="s">
        <v>4510</v>
      </c>
      <c r="AC33" s="10" t="s">
        <v>4510</v>
      </c>
      <c r="AD33" s="10" t="s">
        <v>4510</v>
      </c>
      <c r="AE33" s="10"/>
      <c r="AF33" s="10" t="s">
        <v>4510</v>
      </c>
      <c r="AG33" s="10"/>
      <c r="AH33" s="10"/>
      <c r="AI33" s="10" t="s">
        <v>4511</v>
      </c>
      <c r="AJ33" s="10" t="s">
        <v>4511</v>
      </c>
      <c r="AK33" s="10" t="s">
        <v>4510</v>
      </c>
      <c r="AL33" s="10" t="s">
        <v>4511</v>
      </c>
      <c r="AM33" s="10" t="s">
        <v>4511</v>
      </c>
      <c r="AN33" s="11" t="s">
        <v>4510</v>
      </c>
      <c r="AO33" s="10"/>
      <c r="AP33" s="10"/>
      <c r="AQ33" s="10"/>
      <c r="AR33" s="10"/>
    </row>
    <row r="34" spans="1:44">
      <c r="A34" s="9" t="s">
        <v>4512</v>
      </c>
      <c r="B34" s="10"/>
      <c r="C34" s="10" t="s">
        <v>4513</v>
      </c>
      <c r="D34" s="10"/>
      <c r="E34" s="10"/>
      <c r="F34" s="10"/>
      <c r="G34" s="11"/>
      <c r="H34" s="11"/>
      <c r="I34" s="11"/>
      <c r="J34" s="11"/>
      <c r="K34" s="10"/>
      <c r="L34" s="10" t="s">
        <v>4513</v>
      </c>
      <c r="M34" s="10"/>
      <c r="N34" s="10"/>
      <c r="O34" s="12"/>
      <c r="P34" s="12"/>
      <c r="Q34" s="12" t="s">
        <v>4489</v>
      </c>
      <c r="R34" s="23"/>
      <c r="S34" s="10"/>
      <c r="T34" s="10"/>
      <c r="U34" s="10"/>
      <c r="V34" s="10"/>
      <c r="W34" s="10"/>
      <c r="X34" s="12"/>
      <c r="Y34" s="11"/>
      <c r="Z34" s="10"/>
      <c r="AA34" s="10"/>
      <c r="AB34" s="10"/>
      <c r="AC34" s="10"/>
      <c r="AD34" s="10"/>
      <c r="AE34" s="10"/>
      <c r="AF34" s="10"/>
      <c r="AG34" s="10"/>
      <c r="AH34" s="10"/>
      <c r="AI34" s="10"/>
      <c r="AJ34" s="10"/>
      <c r="AK34" s="10"/>
      <c r="AL34" s="10"/>
      <c r="AM34" s="10"/>
      <c r="AN34" s="23"/>
      <c r="AO34" s="10"/>
      <c r="AP34" s="10"/>
      <c r="AQ34" s="10"/>
      <c r="AR34" s="10"/>
    </row>
    <row r="35" spans="1:44">
      <c r="A35" s="9" t="s">
        <v>4514</v>
      </c>
      <c r="B35" s="10"/>
      <c r="C35" s="10"/>
      <c r="D35" s="10"/>
      <c r="E35" s="10"/>
      <c r="F35" s="10"/>
      <c r="G35" s="11"/>
      <c r="H35" s="11"/>
      <c r="I35" s="11"/>
      <c r="J35" s="11"/>
      <c r="K35" s="10"/>
      <c r="L35" s="10"/>
      <c r="M35" s="10"/>
      <c r="N35" s="10"/>
      <c r="O35" s="12"/>
      <c r="P35" s="12"/>
      <c r="Q35" s="12"/>
      <c r="R35" s="12"/>
      <c r="S35" s="10"/>
      <c r="T35" s="10"/>
      <c r="U35" s="10"/>
      <c r="V35" s="10">
        <v>2812.5</v>
      </c>
      <c r="W35" s="10">
        <v>2812.5</v>
      </c>
      <c r="X35" s="12"/>
      <c r="Y35" s="11"/>
      <c r="Z35" s="10"/>
      <c r="AA35" s="10"/>
      <c r="AB35" s="10"/>
      <c r="AC35" s="10"/>
      <c r="AD35" s="10"/>
      <c r="AE35" s="10"/>
      <c r="AF35" s="10"/>
      <c r="AG35" s="10"/>
      <c r="AH35" s="10"/>
      <c r="AI35" s="10"/>
      <c r="AJ35" s="10">
        <v>370000</v>
      </c>
      <c r="AK35" s="10"/>
      <c r="AL35" s="10"/>
      <c r="AM35" s="10"/>
      <c r="AN35" s="11"/>
      <c r="AO35" s="10"/>
      <c r="AP35" s="10"/>
      <c r="AQ35" s="10"/>
      <c r="AR35" s="10"/>
    </row>
    <row r="36" spans="1:44">
      <c r="A36" s="9" t="s">
        <v>4515</v>
      </c>
      <c r="B36" s="10"/>
      <c r="C36" s="10"/>
      <c r="D36" s="10"/>
      <c r="E36" s="10"/>
      <c r="F36" s="10"/>
      <c r="G36" s="11"/>
      <c r="H36" s="11"/>
      <c r="I36" s="11"/>
      <c r="J36" s="11"/>
      <c r="K36" s="10"/>
      <c r="L36" s="10"/>
      <c r="M36" s="10"/>
      <c r="N36" s="10"/>
      <c r="O36" s="12"/>
      <c r="P36" s="12"/>
      <c r="Q36" s="12"/>
      <c r="R36" s="12"/>
      <c r="S36" s="10"/>
      <c r="T36" s="10"/>
      <c r="U36" s="10"/>
      <c r="V36" s="10" t="s">
        <v>4421</v>
      </c>
      <c r="W36" s="10" t="s">
        <v>4421</v>
      </c>
      <c r="X36" s="12"/>
      <c r="Y36" s="11"/>
      <c r="Z36" s="10"/>
      <c r="AA36" s="10"/>
      <c r="AB36" s="10"/>
      <c r="AC36" s="10"/>
      <c r="AD36" s="10"/>
      <c r="AE36" s="10"/>
      <c r="AF36" s="10"/>
      <c r="AG36" s="10"/>
      <c r="AH36" s="10"/>
      <c r="AI36" s="10"/>
      <c r="AJ36" s="10" t="s">
        <v>4421</v>
      </c>
      <c r="AK36" s="10"/>
      <c r="AL36" s="10"/>
      <c r="AM36" s="10"/>
      <c r="AN36" s="11"/>
      <c r="AO36" s="10"/>
      <c r="AP36" s="10"/>
      <c r="AQ36" s="10"/>
      <c r="AR36" s="10"/>
    </row>
    <row r="37" spans="1:44">
      <c r="A37" s="9" t="s">
        <v>4516</v>
      </c>
      <c r="B37" s="10"/>
      <c r="C37" s="10"/>
      <c r="D37" s="10"/>
      <c r="E37" s="10"/>
      <c r="F37" s="10"/>
      <c r="G37" s="11"/>
      <c r="H37" s="11"/>
      <c r="I37" s="11"/>
      <c r="J37" s="11"/>
      <c r="K37" s="10"/>
      <c r="L37" s="10"/>
      <c r="M37" s="10"/>
      <c r="N37" s="10"/>
      <c r="O37" s="12"/>
      <c r="P37" s="12"/>
      <c r="Q37" s="12"/>
      <c r="R37" s="12"/>
      <c r="S37" s="10"/>
      <c r="T37" s="10"/>
      <c r="U37" s="10"/>
      <c r="V37" s="10">
        <v>20211215</v>
      </c>
      <c r="W37" s="10">
        <v>20211215</v>
      </c>
      <c r="X37" s="12"/>
      <c r="Y37" s="11"/>
      <c r="Z37" s="10"/>
      <c r="AA37" s="10"/>
      <c r="AB37" s="10"/>
      <c r="AC37" s="10"/>
      <c r="AD37" s="10"/>
      <c r="AE37" s="10"/>
      <c r="AF37" s="10"/>
      <c r="AG37" s="10"/>
      <c r="AH37" s="10"/>
      <c r="AI37" s="10"/>
      <c r="AJ37" s="10">
        <v>20190531</v>
      </c>
      <c r="AK37" s="10"/>
      <c r="AL37" s="10"/>
      <c r="AM37" s="10"/>
      <c r="AN37" s="11"/>
      <c r="AO37" s="10"/>
      <c r="AP37" s="10"/>
      <c r="AQ37" s="10"/>
      <c r="AR37" s="10"/>
    </row>
    <row r="38" spans="1:44">
      <c r="A38" s="9" t="s">
        <v>4517</v>
      </c>
      <c r="B38" s="10" t="s">
        <v>4364</v>
      </c>
      <c r="C38" s="10" t="s">
        <v>4364</v>
      </c>
      <c r="D38" s="10" t="s">
        <v>4364</v>
      </c>
      <c r="E38" s="10" t="s">
        <v>4364</v>
      </c>
      <c r="F38" s="10" t="s">
        <v>4364</v>
      </c>
      <c r="G38" s="11" t="s">
        <v>4364</v>
      </c>
      <c r="H38" s="11" t="s">
        <v>4364</v>
      </c>
      <c r="I38" s="11" t="s">
        <v>4364</v>
      </c>
      <c r="J38" s="11" t="s">
        <v>4364</v>
      </c>
      <c r="K38" s="10" t="s">
        <v>4364</v>
      </c>
      <c r="L38" s="10" t="s">
        <v>4364</v>
      </c>
      <c r="M38" s="10" t="s">
        <v>4364</v>
      </c>
      <c r="N38" s="10" t="s">
        <v>4364</v>
      </c>
      <c r="O38" s="10" t="s">
        <v>4364</v>
      </c>
      <c r="P38" s="10" t="s">
        <v>4364</v>
      </c>
      <c r="Q38" s="10" t="s">
        <v>4364</v>
      </c>
      <c r="R38" s="12" t="s">
        <v>4364</v>
      </c>
      <c r="S38" s="10" t="s">
        <v>4364</v>
      </c>
      <c r="T38" s="10" t="s">
        <v>4364</v>
      </c>
      <c r="U38" s="10" t="s">
        <v>4364</v>
      </c>
      <c r="V38" s="10" t="s">
        <v>4364</v>
      </c>
      <c r="W38" s="10" t="s">
        <v>4364</v>
      </c>
      <c r="X38" s="12" t="s">
        <v>4364</v>
      </c>
      <c r="Y38" s="11" t="s">
        <v>4364</v>
      </c>
      <c r="Z38" s="10" t="s">
        <v>4364</v>
      </c>
      <c r="AA38" s="10" t="s">
        <v>4364</v>
      </c>
      <c r="AB38" s="10" t="s">
        <v>4364</v>
      </c>
      <c r="AC38" s="10" t="s">
        <v>4364</v>
      </c>
      <c r="AD38" s="10" t="s">
        <v>4364</v>
      </c>
      <c r="AE38" s="10" t="s">
        <v>4364</v>
      </c>
      <c r="AF38" s="10" t="s">
        <v>4364</v>
      </c>
      <c r="AG38" s="10" t="s">
        <v>4364</v>
      </c>
      <c r="AH38" s="10" t="s">
        <v>4364</v>
      </c>
      <c r="AI38" s="10" t="s">
        <v>4364</v>
      </c>
      <c r="AJ38" s="10" t="s">
        <v>4364</v>
      </c>
      <c r="AK38" s="10" t="s">
        <v>4364</v>
      </c>
      <c r="AL38" s="10" t="s">
        <v>4364</v>
      </c>
      <c r="AM38" s="10" t="s">
        <v>4364</v>
      </c>
      <c r="AN38" s="11" t="s">
        <v>4364</v>
      </c>
      <c r="AO38" s="10" t="s">
        <v>4364</v>
      </c>
      <c r="AP38" s="10" t="s">
        <v>4364</v>
      </c>
      <c r="AQ38" s="10" t="s">
        <v>4364</v>
      </c>
      <c r="AR38" s="10" t="s">
        <v>4364</v>
      </c>
    </row>
    <row r="39" spans="1:44">
      <c r="A39" s="9" t="s">
        <v>4518</v>
      </c>
      <c r="B39" s="10" t="s">
        <v>4364</v>
      </c>
      <c r="C39" s="10" t="s">
        <v>4364</v>
      </c>
      <c r="D39" s="10" t="s">
        <v>4364</v>
      </c>
      <c r="E39" s="10" t="s">
        <v>4364</v>
      </c>
      <c r="F39" s="10" t="s">
        <v>4364</v>
      </c>
      <c r="G39" s="11" t="s">
        <v>4364</v>
      </c>
      <c r="H39" s="11" t="s">
        <v>4364</v>
      </c>
      <c r="I39" s="11" t="s">
        <v>4364</v>
      </c>
      <c r="J39" s="11" t="s">
        <v>4364</v>
      </c>
      <c r="K39" s="10" t="s">
        <v>4364</v>
      </c>
      <c r="L39" s="10" t="s">
        <v>4364</v>
      </c>
      <c r="M39" s="10" t="s">
        <v>4364</v>
      </c>
      <c r="N39" s="10" t="s">
        <v>4364</v>
      </c>
      <c r="O39" s="10" t="s">
        <v>4364</v>
      </c>
      <c r="P39" s="10" t="s">
        <v>4364</v>
      </c>
      <c r="Q39" s="10" t="s">
        <v>4364</v>
      </c>
      <c r="R39" s="12" t="s">
        <v>4364</v>
      </c>
      <c r="S39" s="10" t="s">
        <v>4364</v>
      </c>
      <c r="T39" s="10" t="s">
        <v>4364</v>
      </c>
      <c r="U39" s="10" t="s">
        <v>4364</v>
      </c>
      <c r="V39" s="10" t="s">
        <v>4364</v>
      </c>
      <c r="W39" s="10" t="s">
        <v>4364</v>
      </c>
      <c r="X39" s="12" t="s">
        <v>4364</v>
      </c>
      <c r="Y39" s="11" t="s">
        <v>4364</v>
      </c>
      <c r="Z39" s="10" t="s">
        <v>4364</v>
      </c>
      <c r="AA39" s="10" t="s">
        <v>4364</v>
      </c>
      <c r="AB39" s="10" t="s">
        <v>4364</v>
      </c>
      <c r="AC39" s="10" t="s">
        <v>4364</v>
      </c>
      <c r="AD39" s="10" t="s">
        <v>4364</v>
      </c>
      <c r="AE39" s="10" t="s">
        <v>4364</v>
      </c>
      <c r="AF39" s="10" t="s">
        <v>4364</v>
      </c>
      <c r="AG39" s="10" t="s">
        <v>4364</v>
      </c>
      <c r="AH39" s="10" t="s">
        <v>4364</v>
      </c>
      <c r="AI39" s="10" t="s">
        <v>4364</v>
      </c>
      <c r="AJ39" s="10" t="s">
        <v>4364</v>
      </c>
      <c r="AK39" s="10" t="s">
        <v>4364</v>
      </c>
      <c r="AL39" s="10" t="s">
        <v>4364</v>
      </c>
      <c r="AM39" s="10" t="s">
        <v>4364</v>
      </c>
      <c r="AN39" s="11" t="s">
        <v>4364</v>
      </c>
      <c r="AO39" s="10" t="s">
        <v>4364</v>
      </c>
      <c r="AP39" s="10" t="s">
        <v>4364</v>
      </c>
      <c r="AQ39" s="10" t="s">
        <v>4364</v>
      </c>
      <c r="AR39" s="10" t="s">
        <v>4364</v>
      </c>
    </row>
    <row r="40" spans="1:44">
      <c r="A40" s="9" t="s">
        <v>4519</v>
      </c>
      <c r="B40" s="10" t="s">
        <v>4364</v>
      </c>
      <c r="C40" s="10" t="s">
        <v>4364</v>
      </c>
      <c r="D40" s="10" t="s">
        <v>4364</v>
      </c>
      <c r="E40" s="10" t="s">
        <v>4364</v>
      </c>
      <c r="F40" s="10" t="s">
        <v>4364</v>
      </c>
      <c r="G40" s="11" t="s">
        <v>4364</v>
      </c>
      <c r="H40" s="11" t="s">
        <v>4364</v>
      </c>
      <c r="I40" s="11" t="s">
        <v>4364</v>
      </c>
      <c r="J40" s="11" t="s">
        <v>4364</v>
      </c>
      <c r="K40" s="10" t="s">
        <v>4364</v>
      </c>
      <c r="L40" s="10" t="s">
        <v>4364</v>
      </c>
      <c r="M40" s="10" t="s">
        <v>4364</v>
      </c>
      <c r="N40" s="10" t="s">
        <v>4364</v>
      </c>
      <c r="O40" s="10" t="s">
        <v>4364</v>
      </c>
      <c r="P40" s="10" t="s">
        <v>4364</v>
      </c>
      <c r="Q40" s="10" t="s">
        <v>4364</v>
      </c>
      <c r="R40" s="12" t="s">
        <v>4364</v>
      </c>
      <c r="S40" s="10" t="s">
        <v>4364</v>
      </c>
      <c r="T40" s="10" t="s">
        <v>4364</v>
      </c>
      <c r="U40" s="10" t="s">
        <v>4364</v>
      </c>
      <c r="V40" s="10" t="s">
        <v>4364</v>
      </c>
      <c r="W40" s="10" t="s">
        <v>4364</v>
      </c>
      <c r="X40" s="12" t="s">
        <v>4364</v>
      </c>
      <c r="Y40" s="11" t="s">
        <v>4364</v>
      </c>
      <c r="Z40" s="10" t="s">
        <v>4364</v>
      </c>
      <c r="AA40" s="10" t="s">
        <v>4364</v>
      </c>
      <c r="AB40" s="10" t="s">
        <v>4364</v>
      </c>
      <c r="AC40" s="10" t="s">
        <v>4364</v>
      </c>
      <c r="AD40" s="10" t="s">
        <v>4364</v>
      </c>
      <c r="AE40" s="10" t="s">
        <v>4364</v>
      </c>
      <c r="AF40" s="10" t="s">
        <v>4364</v>
      </c>
      <c r="AG40" s="10" t="s">
        <v>4364</v>
      </c>
      <c r="AH40" s="10" t="s">
        <v>4364</v>
      </c>
      <c r="AI40" s="10" t="s">
        <v>4364</v>
      </c>
      <c r="AJ40" s="10" t="s">
        <v>4364</v>
      </c>
      <c r="AK40" s="10" t="s">
        <v>4364</v>
      </c>
      <c r="AL40" s="10" t="s">
        <v>4364</v>
      </c>
      <c r="AM40" s="10" t="s">
        <v>4364</v>
      </c>
      <c r="AN40" s="11" t="s">
        <v>4520</v>
      </c>
      <c r="AO40" s="10" t="s">
        <v>4364</v>
      </c>
      <c r="AP40" s="10" t="s">
        <v>4364</v>
      </c>
      <c r="AQ40" s="10" t="s">
        <v>4364</v>
      </c>
      <c r="AR40" s="10" t="s">
        <v>4364</v>
      </c>
    </row>
    <row r="41" spans="1:44">
      <c r="A41" s="17" t="s">
        <v>4521</v>
      </c>
      <c r="B41" s="15">
        <v>20210630</v>
      </c>
      <c r="C41" s="15">
        <v>20211231</v>
      </c>
      <c r="D41" s="15">
        <v>20211231</v>
      </c>
      <c r="E41" s="15" t="s">
        <v>4522</v>
      </c>
      <c r="F41" s="15">
        <v>20211231</v>
      </c>
      <c r="G41" s="16">
        <v>20211231</v>
      </c>
      <c r="H41" s="16" t="s">
        <v>4522</v>
      </c>
      <c r="I41" s="16" t="s">
        <v>4522</v>
      </c>
      <c r="J41" s="16" t="s">
        <v>4522</v>
      </c>
      <c r="K41" s="15" t="s">
        <v>4522</v>
      </c>
      <c r="L41" s="15">
        <v>20211231</v>
      </c>
      <c r="M41" s="15" t="s">
        <v>4522</v>
      </c>
      <c r="N41" s="15">
        <v>20211231</v>
      </c>
      <c r="O41" s="15" t="s">
        <v>4522</v>
      </c>
      <c r="P41" s="15" t="s">
        <v>4522</v>
      </c>
      <c r="Q41" s="20">
        <v>20200430</v>
      </c>
      <c r="R41" s="20">
        <v>20210531</v>
      </c>
      <c r="S41" s="15">
        <v>20210531</v>
      </c>
      <c r="T41" s="15">
        <v>20211231</v>
      </c>
      <c r="U41" s="15">
        <v>20211231</v>
      </c>
      <c r="V41" s="15">
        <v>20211231</v>
      </c>
      <c r="W41" s="15">
        <v>20211231</v>
      </c>
      <c r="X41" s="20">
        <v>20201231</v>
      </c>
      <c r="Y41" s="16">
        <v>20201231</v>
      </c>
      <c r="Z41" s="15">
        <v>20200531</v>
      </c>
      <c r="AA41" s="15">
        <v>20200531</v>
      </c>
      <c r="AB41" s="15" t="s">
        <v>4522</v>
      </c>
      <c r="AC41" s="15">
        <v>20191231</v>
      </c>
      <c r="AD41" s="15">
        <v>20211130</v>
      </c>
      <c r="AE41" s="15">
        <v>20211031</v>
      </c>
      <c r="AF41" s="15">
        <v>20210331</v>
      </c>
      <c r="AG41" s="15">
        <v>20210331</v>
      </c>
      <c r="AH41" s="15">
        <v>20210331</v>
      </c>
      <c r="AI41" s="15">
        <v>20190430</v>
      </c>
      <c r="AJ41" s="15">
        <v>20190531</v>
      </c>
      <c r="AK41" s="15">
        <v>20211231</v>
      </c>
      <c r="AL41" s="15">
        <v>20211231</v>
      </c>
      <c r="AM41" s="15">
        <v>20211231</v>
      </c>
      <c r="AN41" s="16">
        <v>20211231</v>
      </c>
      <c r="AO41" s="15" t="s">
        <v>4522</v>
      </c>
      <c r="AP41" s="15">
        <v>20120630</v>
      </c>
      <c r="AQ41" s="15">
        <v>20120630</v>
      </c>
      <c r="AR41" s="15">
        <v>20120630</v>
      </c>
    </row>
  </sheetData>
  <mergeCells count="16">
    <mergeCell ref="O1:P1"/>
    <mergeCell ref="R1:S1"/>
    <mergeCell ref="T1:U1"/>
    <mergeCell ref="V1:W1"/>
    <mergeCell ref="X1:Y1"/>
    <mergeCell ref="Z1:AA1"/>
    <mergeCell ref="AG1:AH1"/>
    <mergeCell ref="AP1:AR1"/>
    <mergeCell ref="O6:P6"/>
    <mergeCell ref="R6:S6"/>
    <mergeCell ref="T6:U6"/>
    <mergeCell ref="V6:W6"/>
    <mergeCell ref="X6:Y6"/>
    <mergeCell ref="Z6:AA6"/>
    <mergeCell ref="AG6:AH6"/>
    <mergeCell ref="AP6:AR6"/>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rrUserId title="区域1" rangeCreator="" othersAccessPermission="edit"/>
    <arrUserId title="区域1_1" rangeCreator="" othersAccessPermission="edit"/>
    <arrUserId title="区域1_2" rangeCreator="" othersAccessPermission="edit"/>
    <arrUserId title="区域1_3" rangeCreator="" othersAccessPermission="edit"/>
    <arrUserId title="区域1_4" rangeCreator="" othersAccessPermission="edit"/>
    <arrUserId title="区域1_5" rangeCreator="" othersAccessPermission="edit"/>
    <arrUserId title="区域1_6" rangeCreator="" othersAccessPermission="edit"/>
    <arrUserId title="区域1_7" rangeCreator="" othersAccessPermission="edit"/>
    <arrUserId title="区域1_8" rangeCreator="" othersAccessPermission="edit"/>
    <arrUserId title="区域1_9" rangeCreator="" othersAccessPermission="edit"/>
    <arrUserId title="区域1_10" rangeCreator="" othersAccessPermission="edit"/>
    <arrUserId title="区域1_11" rangeCreator="" othersAccessPermission="edit"/>
    <arrUserId title="区域1_12" rangeCreator="" othersAccessPermission="edit"/>
    <arrUserId title="区域1_13" rangeCreator="" othersAccessPermission="edit"/>
    <arrUserId title="区域1_14" rangeCreator="" othersAccessPermission="edit"/>
    <arrUserId title="区域1_15" rangeCreator="" othersAccessPermission="edit"/>
    <arrUserId title="区域1_16" rangeCreator="" othersAccessPermission="edit"/>
    <arrUserId title="区域1_17" rangeCreator="" othersAccessPermission="edit"/>
    <arrUserId title="区域1_18" rangeCreator="" othersAccessPermission="edit"/>
    <arrUserId title="区域1_19" rangeCreator="" othersAccessPermission="edit"/>
    <arrUserId title="区域1_20" rangeCreator="" othersAccessPermission="edit"/>
    <arrUserId title="区域1_21" rangeCreator="" othersAccessPermission="edit"/>
    <arrUserId title="区域1_22" rangeCreator="" othersAccessPermission="edit"/>
    <arrUserId title="区域1_23" rangeCreator="" othersAccessPermission="edit"/>
    <arrUserId title="区域1_24" rangeCreator="" othersAccessPermission="edit"/>
    <arrUserId title="区域1_25" rangeCreator="" othersAccessPermission="edit"/>
    <arrUserId title="区域1_26" rangeCreator="" othersAccessPermission="edit"/>
    <arrUserId title="区域1_27" rangeCreator="" othersAccessPermission="edit"/>
    <arrUserId title="区域1_28" rangeCreator="" othersAccessPermission="edit"/>
    <arrUserId title="区域1_29" rangeCreator="" othersAccessPermission="edit"/>
    <arrUserId title="区域1_30" rangeCreator="" othersAccessPermission="edit"/>
    <arrUserId title="区域1_31" rangeCreator="" othersAccessPermission="edit"/>
    <arrUserId title="区域1_32" rangeCreator="" othersAccessPermission="edit"/>
    <arrUserId title="区域1_33" rangeCreator="" othersAccessPermission="edit"/>
    <arrUserId title="区域1_34" rangeCreator="" othersAccessPermission="edit"/>
    <arrUserId title="区域1_35" rangeCreator="" othersAccessPermission="edit"/>
    <arrUserId title="区域1_36" rangeCreator="" othersAccessPermission="edit"/>
    <arrUserId title="区域1_37" rangeCreator="" othersAccessPermission="edit"/>
    <arrUserId title="区域1_38" rangeCreator="" othersAccessPermission="edit"/>
    <arrUserId title="区域1_39" rangeCreator="" othersAccessPermission="edit"/>
    <arrUserId title="区域1_40" rangeCreator="" othersAccessPermission="edit"/>
    <arrUserId title="区域1_41" rangeCreator="" othersAccessPermission="edit"/>
    <arrUserId title="区域1_42" rangeCreator="" othersAccessPermission="edit"/>
    <arrUserId title="区域1_43" rangeCreator="" othersAccessPermission="edit"/>
    <arrUserId title="区域1_44" rangeCreator="" othersAccessPermission="edit"/>
    <arrUserId title="区域1_45" rangeCreator="" othersAccessPermission="edit"/>
    <arrUserId title="区域1_46" rangeCreator="" othersAccessPermission="edit"/>
    <arrUserId title="区域1_47" rangeCreator="" othersAccessPermission="edit"/>
    <arrUserId title="区域1_48" rangeCreator="" othersAccessPermission="edit"/>
    <arrUserId title="区域1_49" rangeCreator="" othersAccessPermission="edit"/>
    <arrUserId title="区域1_50" rangeCreator="" othersAccessPermission="edit"/>
    <arrUserId title="区域1_51" rangeCreator="" othersAccessPermission="edit"/>
    <arrUserId title="区域1_52" rangeCreator="" othersAccessPermission="edit"/>
    <arrUserId title="区域1_53" rangeCreator="" othersAccessPermission="edit"/>
    <arrUserId title="区域1_54" rangeCreator="" othersAccessPermission="edit"/>
    <arrUserId title="区域1_55" rangeCreator="" othersAccessPermission="edit"/>
    <arrUserId title="区域1_56" rangeCreator="" othersAccessPermission="edit"/>
    <arrUserId title="区域1_57"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表格说明</vt:lpstr>
      <vt:lpstr>表结构总览</vt:lpstr>
      <vt:lpstr>数据元说明</vt:lpstr>
      <vt:lpstr>数据结构</vt:lpstr>
      <vt:lpstr>自营报送范围</vt:lpstr>
      <vt:lpstr>即期及衍生品交易信息表填报示例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dc:creator>
  <cp:lastModifiedBy>马克</cp:lastModifiedBy>
  <dcterms:created xsi:type="dcterms:W3CDTF">2012-04-21T08:50:00Z</dcterms:created>
  <cp:lastPrinted>2014-09-30T18:08:00Z</cp:lastPrinted>
  <dcterms:modified xsi:type="dcterms:W3CDTF">2026-05-18T10:50:04Z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KSOReadingLayout">
    <vt:bool>true</vt:bool>
  </property>
  <property fmtid="{D5CDD505-2E9C-101B-9397-08002B2CF9AE}" pid="4" name="ICV">
    <vt:lpwstr>04D86E88AC9D4B4299A48BD098FC8677</vt:lpwstr>
  </property>
  <property fmtid="{D5CDD505-2E9C-101B-9397-08002B2CF9AE}" pid="5" name="CalculationRule">
    <vt:i4>0</vt:i4>
  </property>
</Properties>
</file>